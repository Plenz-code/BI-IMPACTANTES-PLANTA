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064" documentId="8_{1D11E9C4-FEA4-4128-910F-91CB6BBF9255}" xr6:coauthVersionLast="47" xr6:coauthVersionMax="47" xr10:uidLastSave="{9D37BE13-8115-42B8-B163-8CDE0FBF9CA6}"/>
  <bookViews>
    <workbookView xWindow="-110" yWindow="-110" windowWidth="25820" windowHeight="15500" tabRatio="500" firstSheet="2" activeTab="2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98" i="4" l="1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F727" i="5"/>
  <c r="L726" i="5"/>
  <c r="F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F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E729" i="3"/>
  <c r="L728" i="3"/>
  <c r="F728" i="3"/>
  <c r="L727" i="3"/>
  <c r="F727" i="3"/>
  <c r="L726" i="3"/>
  <c r="F726" i="3"/>
  <c r="L725" i="3"/>
  <c r="F725" i="3"/>
  <c r="L724" i="3"/>
  <c r="F724" i="3"/>
  <c r="L723" i="3"/>
  <c r="F723" i="3"/>
  <c r="L722" i="3"/>
  <c r="F722" i="3"/>
  <c r="L721" i="3"/>
  <c r="F721" i="3"/>
  <c r="L720" i="3"/>
  <c r="F720" i="3"/>
  <c r="L719" i="3"/>
  <c r="F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F717" i="3"/>
  <c r="E716" i="3"/>
  <c r="L715" i="3"/>
  <c r="F715" i="3"/>
  <c r="L714" i="3"/>
  <c r="F714" i="3"/>
  <c r="L713" i="3"/>
  <c r="F713" i="3"/>
  <c r="L712" i="3"/>
  <c r="F712" i="3"/>
  <c r="L711" i="3"/>
  <c r="F711" i="3"/>
  <c r="L710" i="3"/>
  <c r="F710" i="3"/>
  <c r="L709" i="3"/>
  <c r="F709" i="3"/>
  <c r="L708" i="3"/>
  <c r="F708" i="3"/>
  <c r="L707" i="3"/>
  <c r="F707" i="3"/>
  <c r="L706" i="3"/>
  <c r="F706" i="3"/>
  <c r="L705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<sst xmlns="http://schemas.openxmlformats.org/spreadsheetml/2006/main" count="7778" uniqueCount="354">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</sst>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 x14ac:knownFonts="1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1">
    <xf numFmtId="0" fontId="0" fillId="0" borderId="0"/>
  </cellStyleXfs>
  <cellXfs count="109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0" fillId="17" borderId="0" xfId="0" applyFill="1"/>
    <xf numFmtId="0" fontId="3" fillId="2" borderId="1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4296875" defaultRowHeight="14.5" x14ac:dyDescent="0.35"/>
  <cols>
    <col min="1" max="1" width="8.54296875" customWidth="1"/>
    <col min="2" max="2" width="17.453125" customWidth="1"/>
    <col min="3" max="3" width="21.453125" customWidth="1"/>
    <col min="4" max="6" width="16" hidden="1" customWidth="1"/>
    <col min="7" max="7" width="34" customWidth="1"/>
  </cols>
  <sheetData>
    <row r="1" spans="1:7" ht="31.5" customHeight="1" x14ac:dyDescent="0.35">
      <c r="A1" s="102" t="s">
        <v>0</v>
      </c>
      <c r="B1" s="102"/>
      <c r="C1" s="102"/>
      <c r="D1" s="102"/>
      <c r="E1" s="102"/>
      <c r="F1" s="102"/>
      <c r="G1" s="102"/>
    </row>
    <row r="2" spans="1:7" ht="25.4" customHeight="1" x14ac:dyDescent="0.35">
      <c r="A2" s="103"/>
      <c r="B2" s="10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 x14ac:dyDescent="0.35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 x14ac:dyDescent="0.35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 x14ac:dyDescent="0.35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 x14ac:dyDescent="0.35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 x14ac:dyDescent="0.35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 x14ac:dyDescent="0.35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 x14ac:dyDescent="0.35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 x14ac:dyDescent="0.35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 x14ac:dyDescent="0.35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 x14ac:dyDescent="0.35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 x14ac:dyDescent="0.35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 x14ac:dyDescent="0.35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 x14ac:dyDescent="0.35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 x14ac:dyDescent="0.35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 x14ac:dyDescent="0.35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 x14ac:dyDescent="0.35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 x14ac:dyDescent="0.35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 x14ac:dyDescent="0.35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 x14ac:dyDescent="0.35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 x14ac:dyDescent="0.35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 x14ac:dyDescent="0.35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 x14ac:dyDescent="0.35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 x14ac:dyDescent="0.35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 x14ac:dyDescent="0.35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 x14ac:dyDescent="0.35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 x14ac:dyDescent="0.35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 x14ac:dyDescent="0.35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 x14ac:dyDescent="0.35">
      <c r="A30" s="47">
        <v>27</v>
      </c>
      <c r="B30" s="48">
        <v>46200</v>
      </c>
      <c r="C30" s="49">
        <f>IFERROR(Britador!N730,"")</f>
        <v>2700000</v>
      </c>
      <c r="D30" s="49">
        <f>IFERROR('Linha 1'!N730,"")</f>
        <v>1360000</v>
      </c>
      <c r="E30" s="49">
        <f>IFERROR('Linha 2'!N730,"")</f>
        <v>1960000</v>
      </c>
      <c r="F30" s="49">
        <f>IFERROR('Linha 3'!N730,"")</f>
        <v>2000000</v>
      </c>
      <c r="G30" s="50">
        <f t="shared" si="0"/>
        <v>5320000</v>
      </c>
    </row>
    <row r="31" spans="1:7" ht="15.75" customHeight="1" x14ac:dyDescent="0.35">
      <c r="A31" s="51">
        <v>28</v>
      </c>
      <c r="B31" s="52">
        <v>46201</v>
      </c>
      <c r="C31" s="53">
        <f>IFERROR(Britador!N757,"")</f>
        <v>0</v>
      </c>
      <c r="D31" s="53">
        <f>IFERROR('Linha 1'!N757,"")</f>
        <v>0</v>
      </c>
      <c r="E31" s="53">
        <f>IFERROR('Linha 2'!N757,"")</f>
        <v>0</v>
      </c>
      <c r="F31" s="53">
        <f>IFERROR('Linha 3'!N757,"")</f>
        <v>0</v>
      </c>
      <c r="G31" s="54">
        <f t="shared" si="0"/>
        <v>0</v>
      </c>
    </row>
    <row r="32" spans="1:7" ht="15.75" customHeight="1" x14ac:dyDescent="0.35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 x14ac:dyDescent="0.35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 x14ac:dyDescent="0.35">
      <c r="A34" s="104" t="s">
        <v>9</v>
      </c>
      <c r="B34" s="104"/>
      <c r="C34" s="55">
        <f t="shared" ref="C34:G34" si="1">IFERROR(SUM(C4:C33),"")</f>
        <v>47315590</v>
      </c>
      <c r="D34" s="55">
        <f t="shared" si="1"/>
        <v>23602420</v>
      </c>
      <c r="E34" s="55">
        <f t="shared" si="1"/>
        <v>10532600</v>
      </c>
      <c r="F34" s="55">
        <f t="shared" si="1"/>
        <v>26933925</v>
      </c>
      <c r="G34" s="55">
        <f t="shared" si="1"/>
        <v>61068945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11" zoomScale="85" zoomScaleNormal="85" workbookViewId="0">
      <selection activeCell="M43" sqref="M43"/>
    </sheetView>
  </sheetViews>
  <sheetFormatPr defaultColWidth="8.54296875" defaultRowHeight="14.5" x14ac:dyDescent="0.35"/>
  <cols>
    <col min="1" max="1" width="14" customWidth="1"/>
    <col min="2" max="2" width="2" customWidth="1"/>
    <col min="3" max="3" width="17.5429687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796875" customWidth="1"/>
    <col min="10" max="10" width="45.26953125" customWidth="1"/>
    <col min="11" max="11" width="42.1796875" customWidth="1"/>
    <col min="12" max="12" width="36" customWidth="1"/>
    <col min="13" max="13" width="45.81640625" customWidth="1"/>
  </cols>
  <sheetData>
    <row r="1" spans="1:13" ht="27.75" customHeight="1" x14ac:dyDescent="0.35">
      <c r="A1" s="105" t="s">
        <v>10</v>
      </c>
      <c r="B1" s="105"/>
      <c r="C1" s="105"/>
      <c r="D1" s="105"/>
      <c r="E1" s="105"/>
      <c r="F1" s="105"/>
      <c r="G1" s="105"/>
      <c r="H1" s="106"/>
      <c r="I1" s="107" t="s">
        <v>11</v>
      </c>
      <c r="J1" s="107"/>
      <c r="K1" s="107"/>
      <c r="L1" s="107"/>
      <c r="M1" s="107"/>
    </row>
    <row r="2" spans="1:13" ht="4.5" customHeight="1" x14ac:dyDescent="0.35">
      <c r="H2" s="106"/>
    </row>
    <row r="3" spans="1:13" ht="21.75" customHeight="1" x14ac:dyDescent="0.35">
      <c r="A3" s="1" t="s">
        <v>12</v>
      </c>
      <c r="C3" s="1" t="s">
        <v>13</v>
      </c>
      <c r="E3" s="1" t="s">
        <v>14</v>
      </c>
      <c r="G3" s="1" t="s">
        <v>15</v>
      </c>
      <c r="H3" s="10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 x14ac:dyDescent="0.35">
      <c r="A4" s="3" t="s">
        <v>21</v>
      </c>
      <c r="C4" s="3" t="s">
        <v>22</v>
      </c>
      <c r="E4" s="3" t="s">
        <v>16</v>
      </c>
      <c r="G4" s="3" t="s">
        <v>23</v>
      </c>
      <c r="H4" s="10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 x14ac:dyDescent="0.35">
      <c r="A5" s="4" t="s">
        <v>29</v>
      </c>
      <c r="C5" s="4" t="s">
        <v>30</v>
      </c>
      <c r="E5" s="4" t="s">
        <v>17</v>
      </c>
      <c r="G5" s="4" t="s">
        <v>31</v>
      </c>
      <c r="H5" s="10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 x14ac:dyDescent="0.35">
      <c r="A6" s="3" t="s">
        <v>37</v>
      </c>
      <c r="C6" s="3" t="s">
        <v>38</v>
      </c>
      <c r="E6" s="3" t="s">
        <v>18</v>
      </c>
      <c r="G6" s="3" t="s">
        <v>39</v>
      </c>
      <c r="H6" s="10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 x14ac:dyDescent="0.35">
      <c r="A7" s="4" t="s">
        <v>45</v>
      </c>
      <c r="C7" s="4" t="s">
        <v>46</v>
      </c>
      <c r="E7" s="3" t="s">
        <v>19</v>
      </c>
      <c r="G7" s="4" t="s">
        <v>47</v>
      </c>
      <c r="H7" s="10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 x14ac:dyDescent="0.35">
      <c r="A8" s="3"/>
      <c r="C8" s="3"/>
      <c r="E8" s="4" t="s">
        <v>20</v>
      </c>
      <c r="G8" s="3" t="s">
        <v>52</v>
      </c>
      <c r="H8" s="10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 x14ac:dyDescent="0.35">
      <c r="A9" s="4"/>
      <c r="C9" s="4"/>
      <c r="E9" s="4"/>
      <c r="G9" s="4" t="s">
        <v>57</v>
      </c>
      <c r="H9" s="10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 x14ac:dyDescent="0.35">
      <c r="A10" s="3"/>
      <c r="C10" s="3"/>
      <c r="E10" s="3"/>
      <c r="G10" s="3" t="s">
        <v>63</v>
      </c>
      <c r="H10" s="10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 x14ac:dyDescent="0.35">
      <c r="A11" s="4"/>
      <c r="C11" s="4"/>
      <c r="E11" s="4"/>
      <c r="G11" s="4" t="s">
        <v>69</v>
      </c>
      <c r="H11" s="10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 x14ac:dyDescent="0.35">
      <c r="A12" s="3"/>
      <c r="C12" s="3"/>
      <c r="E12" s="3"/>
      <c r="G12" s="3" t="s">
        <v>75</v>
      </c>
      <c r="H12" s="10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 x14ac:dyDescent="0.35">
      <c r="A13" s="4"/>
      <c r="C13" s="4"/>
      <c r="E13" s="4"/>
      <c r="G13" s="4" t="s">
        <v>80</v>
      </c>
      <c r="H13" s="10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 x14ac:dyDescent="0.35">
      <c r="A14" s="3"/>
      <c r="C14" s="3"/>
      <c r="E14" s="3"/>
      <c r="G14" s="3" t="s">
        <v>85</v>
      </c>
      <c r="H14" s="10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 x14ac:dyDescent="0.35">
      <c r="A15" s="4"/>
      <c r="C15" s="4"/>
      <c r="E15" s="4"/>
      <c r="G15" s="4" t="s">
        <v>90</v>
      </c>
      <c r="H15" s="10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 x14ac:dyDescent="0.35">
      <c r="A16" s="3"/>
      <c r="C16" s="3"/>
      <c r="E16" s="3"/>
      <c r="G16" s="3" t="s">
        <v>95</v>
      </c>
      <c r="H16" s="106"/>
      <c r="I16" s="3"/>
      <c r="J16" s="3"/>
      <c r="K16" s="3" t="s">
        <v>96</v>
      </c>
      <c r="L16" s="3" t="s">
        <v>97</v>
      </c>
      <c r="M16" s="3" t="s">
        <v>98</v>
      </c>
    </row>
    <row r="17" spans="1:13" ht="15.75" customHeight="1" x14ac:dyDescent="0.35">
      <c r="A17" s="4"/>
      <c r="C17" s="4"/>
      <c r="E17" s="4"/>
      <c r="G17" s="4" t="s">
        <v>99</v>
      </c>
      <c r="H17" s="106"/>
      <c r="I17" s="4"/>
      <c r="J17" s="4"/>
      <c r="K17" s="4" t="s">
        <v>100</v>
      </c>
      <c r="L17" s="4" t="s">
        <v>101</v>
      </c>
      <c r="M17" s="4" t="s">
        <v>102</v>
      </c>
    </row>
    <row r="18" spans="1:13" ht="15.75" customHeight="1" x14ac:dyDescent="0.35">
      <c r="A18" s="3"/>
      <c r="C18" s="3"/>
      <c r="E18" s="3"/>
      <c r="G18" s="3" t="s">
        <v>103</v>
      </c>
      <c r="H18" s="106"/>
      <c r="I18" s="3"/>
      <c r="J18" s="3"/>
      <c r="K18" s="3" t="s">
        <v>104</v>
      </c>
      <c r="L18" s="3" t="s">
        <v>105</v>
      </c>
      <c r="M18" s="3" t="s">
        <v>106</v>
      </c>
    </row>
    <row r="19" spans="1:13" ht="15.75" customHeight="1" x14ac:dyDescent="0.35">
      <c r="A19" s="4"/>
      <c r="C19" s="4"/>
      <c r="E19" s="4"/>
      <c r="G19" s="4" t="s">
        <v>107</v>
      </c>
      <c r="H19" s="106"/>
      <c r="I19" s="4"/>
      <c r="J19" s="4"/>
      <c r="K19" s="4" t="s">
        <v>108</v>
      </c>
      <c r="L19" s="4"/>
      <c r="M19" s="4" t="s">
        <v>109</v>
      </c>
    </row>
    <row r="20" spans="1:13" ht="15.75" customHeight="1" x14ac:dyDescent="0.35">
      <c r="A20" s="3"/>
      <c r="C20" s="3"/>
      <c r="E20" s="3"/>
      <c r="G20" s="3" t="s">
        <v>110</v>
      </c>
      <c r="H20" s="106"/>
      <c r="I20" s="3"/>
      <c r="J20" s="3"/>
      <c r="K20" s="3" t="s">
        <v>111</v>
      </c>
      <c r="L20" s="3"/>
      <c r="M20" s="3" t="s">
        <v>112</v>
      </c>
    </row>
    <row r="21" spans="1:13" ht="15.75" customHeight="1" x14ac:dyDescent="0.35">
      <c r="A21" s="4"/>
      <c r="C21" s="4"/>
      <c r="E21" s="4"/>
      <c r="G21" s="4" t="s">
        <v>113</v>
      </c>
      <c r="H21" s="106"/>
      <c r="I21" s="4"/>
      <c r="J21" s="4"/>
      <c r="K21" s="4" t="s">
        <v>114</v>
      </c>
      <c r="L21" s="4"/>
      <c r="M21" s="4" t="s">
        <v>115</v>
      </c>
    </row>
    <row r="22" spans="1:13" ht="15.75" customHeight="1" x14ac:dyDescent="0.35">
      <c r="A22" s="3"/>
      <c r="C22" s="3"/>
      <c r="E22" s="3"/>
      <c r="G22" s="3" t="s">
        <v>116</v>
      </c>
      <c r="H22" s="106"/>
      <c r="I22" s="3"/>
      <c r="J22" s="3"/>
      <c r="K22" s="3" t="s">
        <v>117</v>
      </c>
      <c r="L22" s="3"/>
      <c r="M22" s="3" t="s">
        <v>118</v>
      </c>
    </row>
    <row r="23" spans="1:13" ht="15.75" customHeight="1" x14ac:dyDescent="0.35">
      <c r="A23" s="4"/>
      <c r="C23" s="4"/>
      <c r="E23" s="4"/>
      <c r="G23" s="4" t="s">
        <v>119</v>
      </c>
      <c r="H23" s="106"/>
      <c r="I23" s="4"/>
      <c r="J23" s="4"/>
      <c r="K23" s="4" t="s">
        <v>120</v>
      </c>
      <c r="L23" s="4"/>
      <c r="M23" s="4" t="s">
        <v>121</v>
      </c>
    </row>
    <row r="24" spans="1:13" ht="15.75" customHeight="1" x14ac:dyDescent="0.35">
      <c r="A24" s="3"/>
      <c r="C24" s="3"/>
      <c r="E24" s="3"/>
      <c r="G24" s="3" t="s">
        <v>122</v>
      </c>
      <c r="H24" s="106"/>
      <c r="I24" s="3"/>
      <c r="J24" s="3"/>
      <c r="K24" s="3" t="s">
        <v>123</v>
      </c>
      <c r="L24" s="3"/>
      <c r="M24" s="3" t="s">
        <v>124</v>
      </c>
    </row>
    <row r="25" spans="1:13" ht="15.75" customHeight="1" x14ac:dyDescent="0.35">
      <c r="A25" s="4"/>
      <c r="C25" s="4"/>
      <c r="E25" s="4"/>
      <c r="G25" s="4" t="s">
        <v>125</v>
      </c>
      <c r="H25" s="106"/>
      <c r="I25" s="4"/>
      <c r="J25" s="4"/>
      <c r="K25" s="4" t="s">
        <v>126</v>
      </c>
      <c r="L25" s="4"/>
      <c r="M25" s="4" t="s">
        <v>127</v>
      </c>
    </row>
    <row r="26" spans="1:13" ht="15.75" customHeight="1" x14ac:dyDescent="0.35">
      <c r="A26" s="3"/>
      <c r="C26" s="3"/>
      <c r="E26" s="3"/>
      <c r="G26" s="3" t="s">
        <v>128</v>
      </c>
      <c r="H26" s="106"/>
      <c r="I26" s="3"/>
      <c r="J26" s="3"/>
      <c r="K26" s="3" t="s">
        <v>129</v>
      </c>
      <c r="L26" s="3"/>
      <c r="M26" s="3"/>
    </row>
    <row r="27" spans="1:13" ht="15.75" customHeight="1" x14ac:dyDescent="0.35">
      <c r="A27" s="4"/>
      <c r="C27" s="4"/>
      <c r="E27" s="4"/>
      <c r="G27" s="4" t="s">
        <v>130</v>
      </c>
      <c r="H27" s="106"/>
      <c r="I27" s="4"/>
      <c r="J27" s="4"/>
      <c r="K27" s="4" t="s">
        <v>121</v>
      </c>
      <c r="L27" s="4"/>
      <c r="M27" s="4" t="s">
        <v>62</v>
      </c>
    </row>
    <row r="28" spans="1:13" ht="15.75" customHeight="1" x14ac:dyDescent="0.35">
      <c r="A28" s="3"/>
      <c r="C28" s="3"/>
      <c r="E28" s="3"/>
      <c r="G28" s="3" t="s">
        <v>131</v>
      </c>
      <c r="H28" s="106"/>
      <c r="I28" s="3"/>
      <c r="J28" s="3"/>
      <c r="K28" s="3" t="s">
        <v>124</v>
      </c>
      <c r="L28" s="3"/>
      <c r="M28" s="3" t="s">
        <v>132</v>
      </c>
    </row>
    <row r="29" spans="1:13" ht="15.75" customHeight="1" x14ac:dyDescent="0.35">
      <c r="A29" s="4"/>
      <c r="C29" s="4"/>
      <c r="E29" s="4"/>
      <c r="G29" s="4" t="s">
        <v>133</v>
      </c>
      <c r="H29" s="106"/>
      <c r="I29" s="4"/>
      <c r="J29" s="4"/>
      <c r="K29" s="4" t="s">
        <v>134</v>
      </c>
      <c r="L29" s="4"/>
      <c r="M29" s="4" t="s">
        <v>135</v>
      </c>
    </row>
    <row r="30" spans="1:13" ht="15.75" customHeight="1" x14ac:dyDescent="0.35">
      <c r="A30" s="3"/>
      <c r="C30" s="3"/>
      <c r="E30" s="3"/>
      <c r="G30" s="3" t="s">
        <v>136</v>
      </c>
      <c r="H30" s="106"/>
      <c r="I30" s="3"/>
      <c r="J30" s="3"/>
      <c r="K30" s="3" t="s">
        <v>137</v>
      </c>
      <c r="L30" s="3"/>
      <c r="M30" s="3" t="s">
        <v>138</v>
      </c>
    </row>
    <row r="31" spans="1:13" ht="15.75" customHeight="1" x14ac:dyDescent="0.35">
      <c r="A31" s="4"/>
      <c r="C31" s="4"/>
      <c r="E31" s="4"/>
      <c r="G31" s="4" t="s">
        <v>139</v>
      </c>
      <c r="H31" s="106"/>
      <c r="I31" s="4"/>
      <c r="J31" s="4"/>
      <c r="K31" s="5" t="s">
        <v>140</v>
      </c>
      <c r="L31" s="4"/>
      <c r="M31" s="4" t="s">
        <v>141</v>
      </c>
    </row>
    <row r="32" spans="1:13" ht="15.75" customHeight="1" x14ac:dyDescent="0.35">
      <c r="A32" s="3"/>
      <c r="C32" s="3"/>
      <c r="E32" s="3"/>
      <c r="G32" s="3" t="s">
        <v>142</v>
      </c>
      <c r="H32" s="106"/>
      <c r="I32" s="3"/>
      <c r="J32" s="3"/>
      <c r="K32" s="3" t="s">
        <v>143</v>
      </c>
      <c r="L32" s="3"/>
      <c r="M32" t="s">
        <v>144</v>
      </c>
    </row>
    <row r="33" spans="1:13" ht="15.75" customHeight="1" x14ac:dyDescent="0.35">
      <c r="A33" s="4"/>
      <c r="C33" s="4"/>
      <c r="E33" s="4"/>
      <c r="G33" s="4" t="s">
        <v>145</v>
      </c>
      <c r="H33" s="106"/>
      <c r="I33" s="4"/>
      <c r="J33" s="4"/>
      <c r="K33" s="66" t="s">
        <v>146</v>
      </c>
      <c r="L33" s="4"/>
      <c r="M33" s="4" t="s">
        <v>20</v>
      </c>
    </row>
    <row r="34" spans="1:13" ht="15.75" customHeight="1" x14ac:dyDescent="0.35">
      <c r="A34" s="3"/>
      <c r="C34" s="3"/>
      <c r="E34" s="3"/>
      <c r="G34" s="3" t="s">
        <v>147</v>
      </c>
      <c r="H34" s="106"/>
      <c r="I34" s="3"/>
      <c r="J34" s="3"/>
      <c r="K34" s="3" t="s">
        <v>79</v>
      </c>
      <c r="L34" s="3"/>
      <c r="M34" s="3" t="s">
        <v>148</v>
      </c>
    </row>
    <row r="35" spans="1:13" ht="15.75" customHeight="1" x14ac:dyDescent="0.35">
      <c r="A35" s="4"/>
      <c r="C35" s="4"/>
      <c r="E35" s="4"/>
      <c r="G35" s="4" t="s">
        <v>149</v>
      </c>
      <c r="H35" s="106"/>
      <c r="I35" s="4"/>
      <c r="J35" s="4"/>
      <c r="K35" s="4" t="s">
        <v>150</v>
      </c>
      <c r="L35" s="4"/>
      <c r="M35" s="4" t="s">
        <v>151</v>
      </c>
    </row>
    <row r="36" spans="1:13" ht="15.75" customHeight="1" x14ac:dyDescent="0.35">
      <c r="A36" s="3"/>
      <c r="C36" s="3"/>
      <c r="E36" s="3"/>
      <c r="G36" s="3" t="s">
        <v>152</v>
      </c>
      <c r="H36" s="106"/>
      <c r="I36" s="3"/>
      <c r="J36" s="3"/>
      <c r="K36" s="3" t="s">
        <v>153</v>
      </c>
      <c r="L36" s="3"/>
      <c r="M36" s="3" t="s">
        <v>154</v>
      </c>
    </row>
    <row r="37" spans="1:13" ht="15.75" customHeight="1" x14ac:dyDescent="0.35">
      <c r="A37" s="4"/>
      <c r="C37" s="4"/>
      <c r="E37" s="4"/>
      <c r="G37" s="4" t="s">
        <v>155</v>
      </c>
      <c r="H37" s="106"/>
      <c r="I37" s="4"/>
      <c r="J37" s="4"/>
      <c r="K37" s="4" t="s">
        <v>156</v>
      </c>
      <c r="L37" s="4"/>
      <c r="M37" s="4" t="s">
        <v>157</v>
      </c>
    </row>
    <row r="38" spans="1:13" ht="15.75" customHeight="1" x14ac:dyDescent="0.35">
      <c r="A38" s="3"/>
      <c r="C38" s="3"/>
      <c r="E38" s="3"/>
      <c r="G38" s="3"/>
      <c r="H38" s="106"/>
      <c r="I38" s="3"/>
      <c r="J38" s="3"/>
      <c r="K38" s="3" t="s">
        <v>158</v>
      </c>
      <c r="L38" s="3"/>
      <c r="M38" s="3" t="s">
        <v>159</v>
      </c>
    </row>
    <row r="39" spans="1:13" ht="15.75" customHeight="1" x14ac:dyDescent="0.35">
      <c r="A39" s="4"/>
      <c r="C39" s="4"/>
      <c r="E39" s="4"/>
      <c r="G39" s="4"/>
      <c r="H39" s="106"/>
      <c r="I39" s="4"/>
      <c r="J39" s="4"/>
      <c r="K39" s="4" t="s">
        <v>160</v>
      </c>
      <c r="L39" s="4"/>
      <c r="M39" s="4" t="s">
        <v>161</v>
      </c>
    </row>
    <row r="40" spans="1:13" ht="15.75" customHeight="1" x14ac:dyDescent="0.35">
      <c r="A40" s="3"/>
      <c r="C40" s="3"/>
      <c r="E40" s="3"/>
      <c r="G40" s="3"/>
      <c r="H40" s="106"/>
      <c r="I40" s="3"/>
      <c r="J40" s="3"/>
      <c r="K40" s="3" t="s">
        <v>162</v>
      </c>
      <c r="L40" s="3"/>
      <c r="M40" s="3" t="s">
        <v>163</v>
      </c>
    </row>
    <row r="41" spans="1:13" ht="15.75" customHeight="1" x14ac:dyDescent="0.35">
      <c r="A41" s="4"/>
      <c r="C41" s="4"/>
      <c r="E41" s="4"/>
      <c r="G41" s="4"/>
      <c r="H41" s="106"/>
      <c r="I41" s="4"/>
      <c r="J41" s="4"/>
      <c r="K41" s="4" t="s">
        <v>164</v>
      </c>
      <c r="L41" s="4"/>
      <c r="M41" s="4" t="s">
        <v>165</v>
      </c>
    </row>
    <row r="42" spans="1:13" ht="15.75" customHeight="1" x14ac:dyDescent="0.35">
      <c r="A42" s="3"/>
      <c r="C42" s="3"/>
      <c r="E42" s="3"/>
      <c r="G42" s="3"/>
      <c r="H42" s="106"/>
      <c r="I42" s="3"/>
      <c r="J42" s="3"/>
      <c r="K42" s="3" t="s">
        <v>166</v>
      </c>
      <c r="L42" s="3"/>
      <c r="M42" s="3" t="s">
        <v>167</v>
      </c>
    </row>
    <row r="43" spans="1:13" ht="15.75" customHeight="1" x14ac:dyDescent="0.35">
      <c r="A43" s="4"/>
      <c r="C43" s="4"/>
      <c r="E43" s="4"/>
      <c r="G43" s="4"/>
      <c r="H43" s="106"/>
      <c r="I43" s="4"/>
      <c r="J43" s="4"/>
      <c r="K43" s="4" t="s">
        <v>168</v>
      </c>
      <c r="L43" s="4"/>
      <c r="M43" s="4"/>
    </row>
    <row r="44" spans="1:13" ht="15.75" customHeight="1" x14ac:dyDescent="0.35">
      <c r="A44" s="3"/>
      <c r="C44" s="3"/>
      <c r="E44" s="3"/>
      <c r="G44" s="3"/>
      <c r="H44" s="106"/>
      <c r="I44" s="3"/>
      <c r="J44" s="3"/>
      <c r="K44" s="3" t="s">
        <v>169</v>
      </c>
      <c r="L44" s="3"/>
      <c r="M44" s="3"/>
    </row>
    <row r="45" spans="1:13" ht="15.75" customHeight="1" x14ac:dyDescent="0.35">
      <c r="A45" s="4"/>
      <c r="C45" s="4"/>
      <c r="E45" s="4"/>
      <c r="G45" s="4"/>
      <c r="H45" s="106"/>
      <c r="I45" s="4"/>
      <c r="J45" s="4"/>
      <c r="K45" s="4"/>
      <c r="L45" s="4"/>
      <c r="M45" s="4"/>
    </row>
    <row r="46" spans="1:13" ht="15.75" customHeight="1" x14ac:dyDescent="0.35">
      <c r="A46" s="3"/>
      <c r="C46" s="3"/>
      <c r="E46" s="3"/>
      <c r="G46" s="3"/>
      <c r="H46" s="106"/>
      <c r="I46" s="3"/>
      <c r="J46" s="3"/>
      <c r="K46" s="3" t="s">
        <v>170</v>
      </c>
      <c r="L46" s="3"/>
      <c r="M46" s="3"/>
    </row>
    <row r="47" spans="1:13" ht="15.75" customHeight="1" x14ac:dyDescent="0.35">
      <c r="A47" s="4"/>
      <c r="C47" s="4"/>
      <c r="E47" s="4"/>
      <c r="G47" s="4"/>
      <c r="H47" s="106"/>
      <c r="I47" s="4"/>
      <c r="J47" s="4"/>
      <c r="K47" s="4" t="s">
        <v>171</v>
      </c>
      <c r="L47" s="4"/>
      <c r="M47" s="4"/>
    </row>
    <row r="48" spans="1:13" ht="15.75" customHeight="1" x14ac:dyDescent="0.35">
      <c r="A48" s="3"/>
      <c r="C48" s="3"/>
      <c r="E48" s="3"/>
      <c r="G48" s="3"/>
      <c r="H48" s="106"/>
      <c r="I48" s="3"/>
      <c r="J48" s="3"/>
      <c r="K48" s="3" t="s">
        <v>172</v>
      </c>
      <c r="L48" s="3"/>
      <c r="M48" s="3"/>
    </row>
    <row r="49" spans="1:13" ht="18" customHeight="1" x14ac:dyDescent="0.35">
      <c r="H49" s="106"/>
      <c r="I49" s="4"/>
      <c r="J49" s="4"/>
      <c r="K49" s="4" t="s">
        <v>173</v>
      </c>
      <c r="L49" s="4"/>
      <c r="M49" s="4"/>
    </row>
    <row r="50" spans="1:13" ht="21" customHeight="1" x14ac:dyDescent="0.35">
      <c r="A50" s="6" t="s">
        <v>174</v>
      </c>
      <c r="B50" s="6"/>
      <c r="C50" s="6"/>
      <c r="D50" s="6"/>
      <c r="E50" s="6"/>
      <c r="F50" s="6"/>
      <c r="G50" s="6"/>
      <c r="H50" s="106"/>
      <c r="I50" s="3"/>
      <c r="J50" s="3"/>
      <c r="K50" s="3"/>
      <c r="L50" s="3"/>
      <c r="M50" s="3"/>
    </row>
    <row r="51" spans="1:13" ht="24" customHeight="1" x14ac:dyDescent="0.35">
      <c r="H51" s="106"/>
      <c r="I51" s="4"/>
      <c r="J51" s="4"/>
      <c r="K51" s="4"/>
      <c r="L51" s="4"/>
      <c r="M51" s="4"/>
    </row>
    <row r="52" spans="1:13" ht="24" customHeight="1" x14ac:dyDescent="0.35">
      <c r="H52" s="106"/>
      <c r="I52" s="3"/>
      <c r="J52" s="3"/>
      <c r="K52" s="3"/>
      <c r="L52" s="3"/>
      <c r="M52" s="3"/>
    </row>
    <row r="53" spans="1:13" ht="36" customHeight="1" x14ac:dyDescent="0.35">
      <c r="H53" s="106"/>
      <c r="I53" s="4"/>
      <c r="J53" s="4"/>
      <c r="K53" s="4"/>
      <c r="L53" s="4"/>
      <c r="M53" s="4"/>
    </row>
    <row r="54" spans="1:13" ht="15" customHeight="1" x14ac:dyDescent="0.35">
      <c r="H54" s="106"/>
      <c r="I54" s="3"/>
      <c r="J54" s="3"/>
      <c r="K54" s="3"/>
      <c r="L54" s="3"/>
      <c r="M54" s="3"/>
    </row>
    <row r="55" spans="1:13" ht="15" customHeight="1" x14ac:dyDescent="0.35">
      <c r="H55" s="106"/>
      <c r="I55" s="4"/>
      <c r="J55" s="4"/>
      <c r="K55" s="4"/>
      <c r="L55" s="4"/>
      <c r="M55" s="4"/>
    </row>
    <row r="56" spans="1:13" ht="15" customHeight="1" x14ac:dyDescent="0.35">
      <c r="H56" s="106"/>
      <c r="I56" s="3"/>
      <c r="J56" s="3"/>
      <c r="K56" s="3"/>
      <c r="L56" s="3"/>
      <c r="M56" s="3"/>
    </row>
    <row r="57" spans="1:13" ht="15" customHeight="1" x14ac:dyDescent="0.35">
      <c r="H57" s="106"/>
      <c r="I57" s="4"/>
      <c r="J57" s="4"/>
      <c r="K57" s="4"/>
      <c r="L57" s="4"/>
      <c r="M57" s="4"/>
    </row>
    <row r="58" spans="1:13" ht="15" customHeight="1" x14ac:dyDescent="0.35">
      <c r="H58" s="106"/>
      <c r="I58" s="3"/>
      <c r="J58" s="3"/>
      <c r="K58" s="3"/>
      <c r="L58" s="3"/>
      <c r="M58" s="3"/>
    </row>
    <row r="59" spans="1:13" ht="15" customHeight="1" x14ac:dyDescent="0.35">
      <c r="H59" s="106"/>
      <c r="I59" s="4"/>
      <c r="J59" s="4"/>
      <c r="K59" s="4"/>
      <c r="L59" s="4"/>
      <c r="M59" s="4"/>
    </row>
    <row r="60" spans="1:13" ht="15" customHeight="1" x14ac:dyDescent="0.35">
      <c r="H60" s="106"/>
      <c r="I60" s="3"/>
      <c r="J60" s="3"/>
      <c r="K60" s="3"/>
      <c r="L60" s="3"/>
      <c r="M60" s="3"/>
    </row>
    <row r="61" spans="1:13" ht="15" customHeight="1" x14ac:dyDescent="0.35">
      <c r="H61" s="106"/>
      <c r="I61" s="4"/>
      <c r="J61" s="4"/>
      <c r="K61" s="4"/>
      <c r="L61" s="4"/>
      <c r="M61" s="4"/>
    </row>
    <row r="62" spans="1:13" ht="15" customHeight="1" x14ac:dyDescent="0.35">
      <c r="H62" s="106"/>
      <c r="I62" s="3"/>
      <c r="J62" s="3"/>
      <c r="K62" s="3"/>
      <c r="L62" s="3"/>
      <c r="M62" s="3"/>
    </row>
    <row r="63" spans="1:13" ht="15" customHeight="1" x14ac:dyDescent="0.35">
      <c r="H63" s="106"/>
      <c r="I63" s="4"/>
      <c r="J63" s="4"/>
      <c r="K63" s="4"/>
      <c r="L63" s="4"/>
      <c r="M63" s="4"/>
    </row>
    <row r="64" spans="1:13" ht="15" customHeight="1" x14ac:dyDescent="0.35">
      <c r="H64" s="106"/>
      <c r="I64" s="3"/>
      <c r="J64" s="3"/>
      <c r="K64" s="3"/>
      <c r="L64" s="3"/>
      <c r="M64" s="3"/>
    </row>
    <row r="65" spans="8:13" ht="15" customHeight="1" x14ac:dyDescent="0.35">
      <c r="H65" s="106"/>
      <c r="I65" s="4"/>
      <c r="J65" s="4"/>
      <c r="K65" s="4"/>
      <c r="L65" s="4"/>
      <c r="M65" s="4"/>
    </row>
    <row r="66" spans="8:13" ht="15" customHeight="1" x14ac:dyDescent="0.35">
      <c r="H66" s="106"/>
      <c r="I66" s="3"/>
      <c r="J66" s="3"/>
      <c r="K66" s="3"/>
      <c r="L66" s="3"/>
      <c r="M66" s="3"/>
    </row>
    <row r="67" spans="8:13" ht="15" customHeight="1" x14ac:dyDescent="0.35">
      <c r="H67" s="106"/>
      <c r="I67" s="4"/>
      <c r="J67" s="4"/>
      <c r="K67" s="4"/>
      <c r="L67" s="4"/>
      <c r="M67" s="4"/>
    </row>
    <row r="68" spans="8:13" ht="15" customHeight="1" x14ac:dyDescent="0.35">
      <c r="H68" s="106"/>
      <c r="I68" s="3"/>
      <c r="J68" s="3"/>
      <c r="K68" s="3"/>
      <c r="L68" s="3"/>
      <c r="M68" s="3"/>
    </row>
    <row r="69" spans="8:13" ht="15" customHeight="1" x14ac:dyDescent="0.35">
      <c r="H69" s="106"/>
      <c r="I69" s="4"/>
      <c r="J69" s="4"/>
      <c r="K69" s="4"/>
      <c r="L69" s="4"/>
      <c r="M69" s="4"/>
    </row>
    <row r="70" spans="8:13" ht="15" customHeight="1" x14ac:dyDescent="0.35">
      <c r="H70" s="106"/>
      <c r="I70" s="3"/>
      <c r="J70" s="3"/>
      <c r="K70" s="3"/>
      <c r="L70" s="3"/>
      <c r="M70" s="3"/>
    </row>
    <row r="71" spans="8:13" ht="15" customHeight="1" x14ac:dyDescent="0.35">
      <c r="H71" s="106"/>
      <c r="I71" s="4"/>
      <c r="J71" s="4"/>
      <c r="K71" s="4"/>
      <c r="L71" s="4"/>
      <c r="M71" s="4"/>
    </row>
    <row r="72" spans="8:13" ht="15" customHeight="1" x14ac:dyDescent="0.35">
      <c r="H72" s="106"/>
      <c r="I72" s="3"/>
      <c r="J72" s="3"/>
      <c r="K72" s="3"/>
      <c r="L72" s="3"/>
      <c r="M72" s="3"/>
    </row>
    <row r="73" spans="8:13" ht="15" customHeight="1" x14ac:dyDescent="0.35">
      <c r="H73" s="106"/>
      <c r="I73" s="4"/>
      <c r="J73" s="4"/>
      <c r="K73" s="4"/>
      <c r="L73" s="4"/>
      <c r="M73" s="4"/>
    </row>
    <row r="74" spans="8:13" ht="15" customHeight="1" x14ac:dyDescent="0.35">
      <c r="H74" s="106"/>
      <c r="I74" s="3"/>
      <c r="J74" s="3"/>
      <c r="K74" s="3"/>
      <c r="L74" s="3"/>
      <c r="M74" s="3"/>
    </row>
    <row r="75" spans="8:13" ht="15" customHeight="1" x14ac:dyDescent="0.35">
      <c r="H75" s="106"/>
      <c r="I75" s="4"/>
      <c r="J75" s="4"/>
      <c r="K75" s="4"/>
      <c r="L75" s="4"/>
      <c r="M75" s="4"/>
    </row>
    <row r="76" spans="8:13" ht="15" customHeight="1" x14ac:dyDescent="0.35"/>
    <row r="77" spans="8:13" ht="15" customHeight="1" x14ac:dyDescent="0.35"/>
    <row r="78" spans="8:13" ht="15" customHeight="1" x14ac:dyDescent="0.35"/>
    <row r="79" spans="8:13" ht="15" customHeight="1" x14ac:dyDescent="0.35"/>
    <row r="80" spans="8:13" ht="15" customHeight="1" x14ac:dyDescent="0.35"/>
    <row r="81" ht="15" customHeight="1" x14ac:dyDescent="0.35"/>
    <row r="82" ht="15" customHeight="1" x14ac:dyDescent="0.35"/>
    <row r="83" ht="15" customHeight="1" x14ac:dyDescent="0.35"/>
    <row r="84" ht="15" customHeight="1" x14ac:dyDescent="0.35"/>
    <row r="85" ht="15" customHeight="1" x14ac:dyDescent="0.35"/>
    <row r="86" ht="15" customHeight="1" x14ac:dyDescent="0.35"/>
    <row r="87" ht="15" customHeight="1" x14ac:dyDescent="0.35"/>
    <row r="88" ht="15" customHeight="1" x14ac:dyDescent="0.35"/>
    <row r="89" ht="15" customHeight="1" x14ac:dyDescent="0.35"/>
    <row r="90" ht="15" customHeight="1" x14ac:dyDescent="0.35"/>
    <row r="91" ht="15" customHeight="1" x14ac:dyDescent="0.35"/>
    <row r="92" ht="15" customHeight="1" x14ac:dyDescent="0.35"/>
    <row r="93" ht="15" customHeight="1" x14ac:dyDescent="0.35"/>
    <row r="94" ht="15" customHeight="1" x14ac:dyDescent="0.35"/>
    <row r="95" ht="15" customHeight="1" x14ac:dyDescent="0.35"/>
    <row r="96" ht="15" customHeight="1" x14ac:dyDescent="0.35"/>
    <row r="97" ht="15" customHeight="1" x14ac:dyDescent="0.35"/>
    <row r="98" ht="15" customHeight="1" x14ac:dyDescent="0.35"/>
    <row r="99" ht="15" customHeight="1" x14ac:dyDescent="0.35"/>
    <row r="100" ht="15" customHeight="1" x14ac:dyDescent="0.35"/>
    <row r="101" ht="15" customHeight="1" x14ac:dyDescent="0.35"/>
    <row r="102" ht="15" customHeight="1" x14ac:dyDescent="0.35"/>
    <row r="103" ht="15" customHeight="1" x14ac:dyDescent="0.35"/>
    <row r="104" ht="15" customHeight="1" x14ac:dyDescent="0.35"/>
    <row r="105" ht="15" customHeight="1" x14ac:dyDescent="0.35"/>
    <row r="106" ht="15" customHeight="1" x14ac:dyDescent="0.35"/>
    <row r="107" ht="15" customHeight="1" x14ac:dyDescent="0.35"/>
    <row r="108" ht="15" customHeight="1" x14ac:dyDescent="0.35"/>
    <row r="109" ht="15" customHeight="1" x14ac:dyDescent="0.35"/>
    <row r="110" ht="15" customHeight="1" x14ac:dyDescent="0.35"/>
    <row r="111" ht="15" customHeight="1" x14ac:dyDescent="0.35"/>
    <row r="112" ht="15" customHeight="1" x14ac:dyDescent="0.35"/>
    <row r="113" ht="15" customHeight="1" x14ac:dyDescent="0.35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P811"/>
  <sheetViews>
    <sheetView showGridLines="0" tabSelected="1" topLeftCell="C1" zoomScale="80" zoomScaleNormal="80" workbookViewId="0">
      <pane ySplit="1" topLeftCell="A697" activePane="bottomLeft" state="frozen"/>
      <selection pane="bottomLeft" activeCell="N729" sqref="N729"/>
    </sheetView>
  </sheetViews>
  <sheetFormatPr defaultColWidth="8.54296875" defaultRowHeight="14.5" x14ac:dyDescent="0.3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796875" style="7" customWidth="1"/>
    <col min="8" max="8" width="23.453125" style="7" customWidth="1"/>
    <col min="9" max="9" width="43.1796875" style="7" customWidth="1"/>
    <col min="10" max="10" width="14" style="7" customWidth="1"/>
    <col min="11" max="11" width="13.1796875" style="7" customWidth="1"/>
    <col min="12" max="12" width="14" style="74" customWidth="1"/>
    <col min="13" max="13" width="50.453125" style="7" customWidth="1"/>
    <col min="14" max="14" width="14" style="7" customWidth="1"/>
  </cols>
  <sheetData>
    <row r="1" spans="1:14" ht="37.5" customHeight="1" x14ac:dyDescent="0.35">
      <c r="A1" s="57" t="s">
        <v>7</v>
      </c>
      <c r="B1" s="8" t="s">
        <v>175</v>
      </c>
      <c r="C1" s="8" t="s">
        <v>12</v>
      </c>
      <c r="D1" s="8" t="s">
        <v>13</v>
      </c>
      <c r="E1" s="8" t="s">
        <v>176</v>
      </c>
      <c r="F1" s="8" t="s">
        <v>177</v>
      </c>
      <c r="G1" s="8" t="s">
        <v>14</v>
      </c>
      <c r="H1" s="8" t="s">
        <v>15</v>
      </c>
      <c r="I1" s="8" t="s">
        <v>178</v>
      </c>
      <c r="J1" s="8" t="s">
        <v>179</v>
      </c>
      <c r="K1" s="8" t="s">
        <v>180</v>
      </c>
      <c r="L1" s="69" t="s">
        <v>181</v>
      </c>
      <c r="M1" s="8" t="s">
        <v>182</v>
      </c>
      <c r="N1" s="8" t="s">
        <v>183</v>
      </c>
    </row>
    <row r="2" spans="1:14" ht="15" customHeight="1" x14ac:dyDescent="0.35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184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 x14ac:dyDescent="0.35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 x14ac:dyDescent="0.35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 x14ac:dyDescent="0.35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 x14ac:dyDescent="0.35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 x14ac:dyDescent="0.35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 x14ac:dyDescent="0.35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 x14ac:dyDescent="0.35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 x14ac:dyDescent="0.35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 x14ac:dyDescent="0.35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 x14ac:dyDescent="0.35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 x14ac:dyDescent="0.35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 x14ac:dyDescent="0.35">
      <c r="A14" s="108" t="s">
        <v>185</v>
      </c>
      <c r="B14" s="108"/>
      <c r="C14" s="108"/>
      <c r="D14" s="10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186</v>
      </c>
      <c r="N14" s="20">
        <v>2154940</v>
      </c>
    </row>
    <row r="15" spans="1:14" ht="15" customHeight="1" x14ac:dyDescent="0.35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118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 x14ac:dyDescent="0.35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118</v>
      </c>
      <c r="J16" s="13"/>
      <c r="K16" s="13"/>
      <c r="L16" s="70" t="str">
        <f t="shared" si="4"/>
        <v/>
      </c>
      <c r="M16" s="11"/>
      <c r="N16" s="14"/>
    </row>
    <row r="17" spans="1:14" ht="15" customHeight="1" x14ac:dyDescent="0.35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118</v>
      </c>
      <c r="J17" s="13"/>
      <c r="K17" s="13"/>
      <c r="L17" s="71" t="str">
        <f t="shared" si="4"/>
        <v/>
      </c>
      <c r="M17" s="11"/>
      <c r="N17" s="14"/>
    </row>
    <row r="18" spans="1:14" ht="15" customHeight="1" x14ac:dyDescent="0.35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118</v>
      </c>
      <c r="J18" s="13"/>
      <c r="K18" s="13"/>
      <c r="L18" s="70" t="str">
        <f t="shared" si="4"/>
        <v/>
      </c>
      <c r="M18" s="11"/>
      <c r="N18" s="14"/>
    </row>
    <row r="19" spans="1:14" ht="15" customHeight="1" x14ac:dyDescent="0.35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118</v>
      </c>
      <c r="J19" s="13"/>
      <c r="K19" s="13"/>
      <c r="L19" s="71" t="str">
        <f t="shared" si="4"/>
        <v/>
      </c>
      <c r="M19" s="11"/>
      <c r="N19" s="14"/>
    </row>
    <row r="20" spans="1:14" ht="15" customHeight="1" x14ac:dyDescent="0.35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118</v>
      </c>
      <c r="J20" s="13"/>
      <c r="K20" s="13"/>
      <c r="L20" s="70" t="str">
        <f t="shared" si="4"/>
        <v/>
      </c>
      <c r="M20" s="11"/>
      <c r="N20" s="14"/>
    </row>
    <row r="21" spans="1:14" ht="15" customHeight="1" x14ac:dyDescent="0.35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118</v>
      </c>
      <c r="J21" s="13"/>
      <c r="K21" s="13"/>
      <c r="L21" s="71" t="str">
        <f t="shared" si="4"/>
        <v/>
      </c>
      <c r="M21" s="11"/>
      <c r="N21" s="14"/>
    </row>
    <row r="22" spans="1:14" ht="15" customHeight="1" x14ac:dyDescent="0.35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118</v>
      </c>
      <c r="J22" s="13"/>
      <c r="K22" s="13"/>
      <c r="L22" s="70" t="str">
        <f t="shared" si="4"/>
        <v/>
      </c>
      <c r="M22" s="11"/>
      <c r="N22" s="14"/>
    </row>
    <row r="23" spans="1:14" ht="15" customHeight="1" x14ac:dyDescent="0.35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118</v>
      </c>
      <c r="J23" s="13"/>
      <c r="K23" s="13"/>
      <c r="L23" s="71" t="str">
        <f t="shared" si="4"/>
        <v/>
      </c>
      <c r="M23" s="11"/>
      <c r="N23" s="14"/>
    </row>
    <row r="24" spans="1:14" ht="15" customHeight="1" x14ac:dyDescent="0.35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118</v>
      </c>
      <c r="J24" s="13"/>
      <c r="K24" s="13"/>
      <c r="L24" s="70" t="str">
        <f t="shared" si="4"/>
        <v/>
      </c>
      <c r="M24" s="11"/>
      <c r="N24" s="14"/>
    </row>
    <row r="25" spans="1:14" ht="15" customHeight="1" x14ac:dyDescent="0.35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118</v>
      </c>
      <c r="J25" s="13"/>
      <c r="K25" s="13"/>
      <c r="L25" s="71" t="str">
        <f t="shared" si="4"/>
        <v/>
      </c>
      <c r="M25" s="11"/>
      <c r="N25" s="14"/>
    </row>
    <row r="26" spans="1:14" ht="15" customHeight="1" x14ac:dyDescent="0.35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118</v>
      </c>
      <c r="J26" s="13"/>
      <c r="K26" s="13"/>
      <c r="L26" s="70" t="str">
        <f t="shared" si="4"/>
        <v/>
      </c>
      <c r="M26" s="11"/>
      <c r="N26" s="14"/>
    </row>
    <row r="27" spans="1:14" ht="15.75" customHeight="1" x14ac:dyDescent="0.35">
      <c r="A27" s="108" t="s">
        <v>187</v>
      </c>
      <c r="B27" s="108"/>
      <c r="C27" s="108"/>
      <c r="D27" s="10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186</v>
      </c>
      <c r="N27" s="20">
        <v>0</v>
      </c>
    </row>
    <row r="28" spans="1:14" ht="18" customHeight="1" x14ac:dyDescent="0.35">
      <c r="A28" s="98" t="s">
        <v>188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189</v>
      </c>
      <c r="N28" s="23">
        <f>IFERROR(N14+N27,"")</f>
        <v>2154940</v>
      </c>
    </row>
    <row r="29" spans="1:14" ht="15" customHeight="1" x14ac:dyDescent="0.35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 x14ac:dyDescent="0.35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 x14ac:dyDescent="0.35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 x14ac:dyDescent="0.35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 x14ac:dyDescent="0.35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 x14ac:dyDescent="0.35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 x14ac:dyDescent="0.35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 x14ac:dyDescent="0.35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 x14ac:dyDescent="0.35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136</v>
      </c>
      <c r="I37" s="16" t="s">
        <v>190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 x14ac:dyDescent="0.35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 x14ac:dyDescent="0.35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 x14ac:dyDescent="0.35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 x14ac:dyDescent="0.35">
      <c r="A41" s="108" t="s">
        <v>185</v>
      </c>
      <c r="B41" s="108"/>
      <c r="C41" s="108"/>
      <c r="D41" s="10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186</v>
      </c>
      <c r="N41" s="20">
        <v>1270000</v>
      </c>
    </row>
    <row r="42" spans="1:14" ht="15" customHeight="1" x14ac:dyDescent="0.35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 x14ac:dyDescent="0.35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 x14ac:dyDescent="0.35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 x14ac:dyDescent="0.35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 x14ac:dyDescent="0.35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 x14ac:dyDescent="0.35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 x14ac:dyDescent="0.35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 x14ac:dyDescent="0.35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 x14ac:dyDescent="0.35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 x14ac:dyDescent="0.35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 x14ac:dyDescent="0.35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 x14ac:dyDescent="0.35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 x14ac:dyDescent="0.35">
      <c r="A54" s="108" t="s">
        <v>187</v>
      </c>
      <c r="B54" s="108"/>
      <c r="C54" s="108"/>
      <c r="D54" s="10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186</v>
      </c>
      <c r="N54" s="20">
        <v>125660</v>
      </c>
    </row>
    <row r="55" spans="1:14" ht="18" customHeight="1" x14ac:dyDescent="0.35">
      <c r="A55" s="98" t="s">
        <v>188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189</v>
      </c>
      <c r="N55" s="23">
        <f>IFERROR(N41+N54,"")</f>
        <v>1395660</v>
      </c>
    </row>
    <row r="56" spans="1:14" ht="15" customHeight="1" x14ac:dyDescent="0.35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 x14ac:dyDescent="0.35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 x14ac:dyDescent="0.35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 x14ac:dyDescent="0.35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 x14ac:dyDescent="0.35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 x14ac:dyDescent="0.35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 x14ac:dyDescent="0.35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 x14ac:dyDescent="0.35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 x14ac:dyDescent="0.35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 x14ac:dyDescent="0.35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 x14ac:dyDescent="0.35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 x14ac:dyDescent="0.35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 x14ac:dyDescent="0.35">
      <c r="A68" s="108" t="s">
        <v>185</v>
      </c>
      <c r="B68" s="108"/>
      <c r="C68" s="108"/>
      <c r="D68" s="10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186</v>
      </c>
      <c r="N68" s="20">
        <v>126600</v>
      </c>
    </row>
    <row r="69" spans="1:14" ht="15" customHeight="1" x14ac:dyDescent="0.35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 x14ac:dyDescent="0.35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 x14ac:dyDescent="0.35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 x14ac:dyDescent="0.35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 x14ac:dyDescent="0.35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 x14ac:dyDescent="0.35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 x14ac:dyDescent="0.35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 x14ac:dyDescent="0.35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 x14ac:dyDescent="0.35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 x14ac:dyDescent="0.35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 x14ac:dyDescent="0.35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 x14ac:dyDescent="0.35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 x14ac:dyDescent="0.35">
      <c r="A81" s="108" t="s">
        <v>187</v>
      </c>
      <c r="B81" s="108"/>
      <c r="C81" s="108"/>
      <c r="D81" s="10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186</v>
      </c>
      <c r="N81" s="20">
        <v>580300</v>
      </c>
    </row>
    <row r="82" spans="1:14" ht="18" customHeight="1" x14ac:dyDescent="0.35">
      <c r="A82" s="98" t="s">
        <v>188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189</v>
      </c>
      <c r="N82" s="23">
        <f>IFERROR(N68+N81,"")</f>
        <v>706900</v>
      </c>
    </row>
    <row r="83" spans="1:14" ht="15" customHeight="1" x14ac:dyDescent="0.35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184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 x14ac:dyDescent="0.35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 x14ac:dyDescent="0.35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 x14ac:dyDescent="0.35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 x14ac:dyDescent="0.35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 x14ac:dyDescent="0.35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 x14ac:dyDescent="0.35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 x14ac:dyDescent="0.35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 x14ac:dyDescent="0.35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 x14ac:dyDescent="0.35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 x14ac:dyDescent="0.35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 x14ac:dyDescent="0.35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 x14ac:dyDescent="0.35">
      <c r="A95" s="108" t="s">
        <v>185</v>
      </c>
      <c r="B95" s="108"/>
      <c r="C95" s="108"/>
      <c r="D95" s="10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186</v>
      </c>
      <c r="N95" s="20">
        <v>1222500</v>
      </c>
    </row>
    <row r="96" spans="1:14" ht="15" customHeight="1" x14ac:dyDescent="0.35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 x14ac:dyDescent="0.35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191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 x14ac:dyDescent="0.35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 x14ac:dyDescent="0.35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 x14ac:dyDescent="0.35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 x14ac:dyDescent="0.35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 x14ac:dyDescent="0.35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 x14ac:dyDescent="0.35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 x14ac:dyDescent="0.35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136</v>
      </c>
      <c r="I104" s="10" t="s">
        <v>190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 x14ac:dyDescent="0.35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 x14ac:dyDescent="0.35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 x14ac:dyDescent="0.35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 x14ac:dyDescent="0.35">
      <c r="A108" s="108" t="s">
        <v>187</v>
      </c>
      <c r="B108" s="108"/>
      <c r="C108" s="108"/>
      <c r="D108" s="10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186</v>
      </c>
      <c r="N108" s="20">
        <v>652520</v>
      </c>
    </row>
    <row r="109" spans="1:14" ht="18" customHeight="1" x14ac:dyDescent="0.35">
      <c r="A109" s="98" t="s">
        <v>188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189</v>
      </c>
      <c r="N109" s="23">
        <f>IFERROR(N95+N108,"")</f>
        <v>1875020</v>
      </c>
    </row>
    <row r="110" spans="1:14" ht="15" customHeight="1" x14ac:dyDescent="0.35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192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 x14ac:dyDescent="0.35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 x14ac:dyDescent="0.35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 x14ac:dyDescent="0.35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 x14ac:dyDescent="0.35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 x14ac:dyDescent="0.35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 x14ac:dyDescent="0.35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 x14ac:dyDescent="0.35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 x14ac:dyDescent="0.35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 x14ac:dyDescent="0.35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 x14ac:dyDescent="0.35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 x14ac:dyDescent="0.35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 x14ac:dyDescent="0.35">
      <c r="A122" s="108" t="s">
        <v>185</v>
      </c>
      <c r="B122" s="108"/>
      <c r="C122" s="108"/>
      <c r="D122" s="10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186</v>
      </c>
      <c r="N122" s="20">
        <v>1525340</v>
      </c>
    </row>
    <row r="123" spans="1:14" ht="15" customHeight="1" x14ac:dyDescent="0.35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 x14ac:dyDescent="0.35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 x14ac:dyDescent="0.35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 x14ac:dyDescent="0.35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 x14ac:dyDescent="0.35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 x14ac:dyDescent="0.35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 x14ac:dyDescent="0.35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 x14ac:dyDescent="0.35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 x14ac:dyDescent="0.35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 x14ac:dyDescent="0.35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 x14ac:dyDescent="0.35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 x14ac:dyDescent="0.35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 x14ac:dyDescent="0.35">
      <c r="A135" s="108" t="s">
        <v>187</v>
      </c>
      <c r="B135" s="108"/>
      <c r="C135" s="108"/>
      <c r="D135" s="10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186</v>
      </c>
      <c r="N135" s="20">
        <v>909050</v>
      </c>
    </row>
    <row r="136" spans="1:14" ht="18" customHeight="1" x14ac:dyDescent="0.35">
      <c r="A136" s="98" t="s">
        <v>188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189</v>
      </c>
      <c r="N136" s="23">
        <f>IFERROR(N122+N135,"")</f>
        <v>2434390</v>
      </c>
    </row>
    <row r="137" spans="1:14" ht="15" customHeight="1" x14ac:dyDescent="0.35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184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 x14ac:dyDescent="0.35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 x14ac:dyDescent="0.35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 x14ac:dyDescent="0.35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 x14ac:dyDescent="0.35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 x14ac:dyDescent="0.35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 x14ac:dyDescent="0.35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 x14ac:dyDescent="0.35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 x14ac:dyDescent="0.35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 x14ac:dyDescent="0.35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 x14ac:dyDescent="0.35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 x14ac:dyDescent="0.35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 x14ac:dyDescent="0.45">
      <c r="A149" s="108" t="s">
        <v>185</v>
      </c>
      <c r="B149" s="108"/>
      <c r="C149" s="108"/>
      <c r="D149" s="10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186</v>
      </c>
      <c r="N149" s="27">
        <v>1310690</v>
      </c>
    </row>
    <row r="150" spans="1:14" ht="15" customHeight="1" x14ac:dyDescent="0.35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136</v>
      </c>
      <c r="I150" s="10" t="s">
        <v>124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 x14ac:dyDescent="0.35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 x14ac:dyDescent="0.35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 x14ac:dyDescent="0.35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 x14ac:dyDescent="0.35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 x14ac:dyDescent="0.35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 x14ac:dyDescent="0.35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 x14ac:dyDescent="0.35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 x14ac:dyDescent="0.35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 x14ac:dyDescent="0.35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 x14ac:dyDescent="0.35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 x14ac:dyDescent="0.35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 x14ac:dyDescent="0.45">
      <c r="A162" s="108" t="s">
        <v>187</v>
      </c>
      <c r="B162" s="108"/>
      <c r="C162" s="108"/>
      <c r="D162" s="10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186</v>
      </c>
      <c r="N162" s="27">
        <v>1048880</v>
      </c>
    </row>
    <row r="163" spans="1:14" ht="18" customHeight="1" x14ac:dyDescent="0.35">
      <c r="A163" s="98" t="s">
        <v>188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189</v>
      </c>
      <c r="N163" s="23">
        <f>IFERROR(N149+N162,"")</f>
        <v>2359570</v>
      </c>
    </row>
    <row r="164" spans="1:14" ht="15" customHeight="1" x14ac:dyDescent="0.35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192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 x14ac:dyDescent="0.35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136</v>
      </c>
      <c r="I165" s="16" t="s">
        <v>124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 x14ac:dyDescent="0.35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193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 x14ac:dyDescent="0.35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 x14ac:dyDescent="0.35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 x14ac:dyDescent="0.35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 x14ac:dyDescent="0.35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 x14ac:dyDescent="0.35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 x14ac:dyDescent="0.35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 x14ac:dyDescent="0.35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 x14ac:dyDescent="0.35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 x14ac:dyDescent="0.35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 x14ac:dyDescent="0.35">
      <c r="A176" s="108" t="s">
        <v>185</v>
      </c>
      <c r="B176" s="108"/>
      <c r="C176" s="108"/>
      <c r="D176" s="10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186</v>
      </c>
      <c r="N176" s="20">
        <v>1807860</v>
      </c>
    </row>
    <row r="177" spans="1:14" ht="15" customHeight="1" x14ac:dyDescent="0.35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 x14ac:dyDescent="0.35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 x14ac:dyDescent="0.35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 x14ac:dyDescent="0.35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 x14ac:dyDescent="0.35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 x14ac:dyDescent="0.35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 x14ac:dyDescent="0.35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 x14ac:dyDescent="0.35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 x14ac:dyDescent="0.35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 x14ac:dyDescent="0.35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 x14ac:dyDescent="0.35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 x14ac:dyDescent="0.35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 x14ac:dyDescent="0.35">
      <c r="A189" s="108" t="s">
        <v>187</v>
      </c>
      <c r="B189" s="108"/>
      <c r="C189" s="108"/>
      <c r="D189" s="10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186</v>
      </c>
      <c r="N189" s="20">
        <v>797540</v>
      </c>
    </row>
    <row r="190" spans="1:14" ht="18" customHeight="1" x14ac:dyDescent="0.35">
      <c r="A190" s="98" t="s">
        <v>188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189</v>
      </c>
      <c r="N190" s="23">
        <f>IFERROR(N176+N189,"")</f>
        <v>2605400</v>
      </c>
    </row>
    <row r="191" spans="1:14" ht="15" customHeight="1" x14ac:dyDescent="0.35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192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194</v>
      </c>
      <c r="N191" s="14"/>
    </row>
    <row r="192" spans="1:14" ht="15" customHeight="1" x14ac:dyDescent="0.35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136</v>
      </c>
      <c r="I192" s="10" t="s">
        <v>124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 x14ac:dyDescent="0.35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 x14ac:dyDescent="0.35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 x14ac:dyDescent="0.35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 x14ac:dyDescent="0.35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 x14ac:dyDescent="0.35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 x14ac:dyDescent="0.35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 x14ac:dyDescent="0.35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 x14ac:dyDescent="0.35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 x14ac:dyDescent="0.35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 x14ac:dyDescent="0.35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 x14ac:dyDescent="0.35">
      <c r="A203" s="108" t="s">
        <v>185</v>
      </c>
      <c r="B203" s="108"/>
      <c r="C203" s="108"/>
      <c r="D203" s="10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186</v>
      </c>
      <c r="N203" s="28">
        <v>784290</v>
      </c>
    </row>
    <row r="204" spans="1:14" ht="15" customHeight="1" x14ac:dyDescent="0.35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 x14ac:dyDescent="0.35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 x14ac:dyDescent="0.35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 x14ac:dyDescent="0.35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 x14ac:dyDescent="0.35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 x14ac:dyDescent="0.35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 x14ac:dyDescent="0.35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 x14ac:dyDescent="0.35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 x14ac:dyDescent="0.35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 x14ac:dyDescent="0.35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 x14ac:dyDescent="0.35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 x14ac:dyDescent="0.35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 x14ac:dyDescent="0.35">
      <c r="A216" s="108" t="s">
        <v>187</v>
      </c>
      <c r="B216" s="108"/>
      <c r="C216" s="108"/>
      <c r="D216" s="10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186</v>
      </c>
      <c r="N216" s="28">
        <v>203080</v>
      </c>
    </row>
    <row r="217" spans="1:14" ht="18" customHeight="1" x14ac:dyDescent="0.35">
      <c r="A217" s="98" t="s">
        <v>188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189</v>
      </c>
      <c r="N217" s="31">
        <f>IFERROR(N203+N216,"")</f>
        <v>987370</v>
      </c>
    </row>
    <row r="218" spans="1:14" ht="15" customHeight="1" x14ac:dyDescent="0.35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 x14ac:dyDescent="0.35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 x14ac:dyDescent="0.35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 x14ac:dyDescent="0.35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 x14ac:dyDescent="0.35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 x14ac:dyDescent="0.35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 x14ac:dyDescent="0.35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 x14ac:dyDescent="0.35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 x14ac:dyDescent="0.35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 x14ac:dyDescent="0.35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 x14ac:dyDescent="0.35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 x14ac:dyDescent="0.35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 x14ac:dyDescent="0.35">
      <c r="A230" s="108" t="s">
        <v>185</v>
      </c>
      <c r="B230" s="108"/>
      <c r="C230" s="108"/>
      <c r="D230" s="10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186</v>
      </c>
      <c r="N230" s="20">
        <v>0</v>
      </c>
    </row>
    <row r="231" spans="1:14" ht="15" customHeight="1" x14ac:dyDescent="0.35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143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 x14ac:dyDescent="0.35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 x14ac:dyDescent="0.35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 x14ac:dyDescent="0.35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 x14ac:dyDescent="0.35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 x14ac:dyDescent="0.35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 x14ac:dyDescent="0.35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 x14ac:dyDescent="0.35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 x14ac:dyDescent="0.35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 x14ac:dyDescent="0.35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 x14ac:dyDescent="0.35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 x14ac:dyDescent="0.35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 x14ac:dyDescent="0.35">
      <c r="A243" s="108" t="s">
        <v>187</v>
      </c>
      <c r="B243" s="108"/>
      <c r="C243" s="108"/>
      <c r="D243" s="10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186</v>
      </c>
      <c r="N243" s="20">
        <v>0</v>
      </c>
    </row>
    <row r="244" spans="1:14" ht="18" customHeight="1" x14ac:dyDescent="0.35">
      <c r="A244" s="98" t="s">
        <v>188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189</v>
      </c>
      <c r="N244" s="31">
        <f>IFERROR(N230+N243,"")</f>
        <v>0</v>
      </c>
    </row>
    <row r="245" spans="1:14" ht="15" customHeight="1" x14ac:dyDescent="0.35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143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 x14ac:dyDescent="0.35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146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 x14ac:dyDescent="0.35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 x14ac:dyDescent="0.35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149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 x14ac:dyDescent="0.35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 x14ac:dyDescent="0.35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 x14ac:dyDescent="0.35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 x14ac:dyDescent="0.35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 x14ac:dyDescent="0.35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 x14ac:dyDescent="0.35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 x14ac:dyDescent="0.35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 x14ac:dyDescent="0.35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 x14ac:dyDescent="0.35">
      <c r="A257" s="108" t="s">
        <v>185</v>
      </c>
      <c r="B257" s="108"/>
      <c r="C257" s="108"/>
      <c r="D257" s="10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186</v>
      </c>
      <c r="N257" s="20">
        <v>452700</v>
      </c>
    </row>
    <row r="258" spans="1:14" ht="15" customHeight="1" x14ac:dyDescent="0.35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 x14ac:dyDescent="0.35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 x14ac:dyDescent="0.35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 x14ac:dyDescent="0.35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 x14ac:dyDescent="0.35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 x14ac:dyDescent="0.35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 x14ac:dyDescent="0.35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 x14ac:dyDescent="0.35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 x14ac:dyDescent="0.35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 x14ac:dyDescent="0.35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 x14ac:dyDescent="0.35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 x14ac:dyDescent="0.35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 x14ac:dyDescent="0.35">
      <c r="A270" s="108" t="s">
        <v>187</v>
      </c>
      <c r="B270" s="108"/>
      <c r="C270" s="108"/>
      <c r="D270" s="10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186</v>
      </c>
      <c r="N270" s="20">
        <f>346400+269080</f>
        <v>615480</v>
      </c>
    </row>
    <row r="271" spans="1:14" ht="18" customHeight="1" x14ac:dyDescent="0.35">
      <c r="A271" s="98" t="s">
        <v>188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189</v>
      </c>
      <c r="N271" s="31">
        <f>IFERROR(N257+N270,"")</f>
        <v>1068180</v>
      </c>
    </row>
    <row r="272" spans="1:14" ht="15" customHeight="1" x14ac:dyDescent="0.35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 x14ac:dyDescent="0.35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127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195</v>
      </c>
      <c r="N273" s="30"/>
    </row>
    <row r="274" spans="1:14" ht="15" customHeight="1" x14ac:dyDescent="0.35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 x14ac:dyDescent="0.35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 x14ac:dyDescent="0.35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 x14ac:dyDescent="0.35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 x14ac:dyDescent="0.35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 x14ac:dyDescent="0.35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 x14ac:dyDescent="0.35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 x14ac:dyDescent="0.35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 x14ac:dyDescent="0.35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 x14ac:dyDescent="0.35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 x14ac:dyDescent="0.35">
      <c r="A284" s="108" t="s">
        <v>185</v>
      </c>
      <c r="B284" s="108"/>
      <c r="C284" s="108"/>
      <c r="D284" s="10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186</v>
      </c>
      <c r="N284" s="20">
        <v>918100</v>
      </c>
    </row>
    <row r="285" spans="1:14" ht="15" customHeight="1" x14ac:dyDescent="0.35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104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 x14ac:dyDescent="0.35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 x14ac:dyDescent="0.35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 x14ac:dyDescent="0.35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 x14ac:dyDescent="0.35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 x14ac:dyDescent="0.35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 x14ac:dyDescent="0.35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 x14ac:dyDescent="0.35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 x14ac:dyDescent="0.35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 x14ac:dyDescent="0.35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 x14ac:dyDescent="0.35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 x14ac:dyDescent="0.35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 x14ac:dyDescent="0.35">
      <c r="A297" s="108" t="s">
        <v>187</v>
      </c>
      <c r="B297" s="108"/>
      <c r="C297" s="108"/>
      <c r="D297" s="10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186</v>
      </c>
      <c r="N297" s="20">
        <f>35160+383610</f>
        <v>418770</v>
      </c>
    </row>
    <row r="298" spans="1:14" ht="18" customHeight="1" x14ac:dyDescent="0.35">
      <c r="A298" s="98" t="s">
        <v>188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189</v>
      </c>
      <c r="N298" s="31">
        <f>IFERROR(N284+N297,"")</f>
        <v>1336870</v>
      </c>
    </row>
    <row r="299" spans="1:14" ht="15" customHeight="1" x14ac:dyDescent="0.35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120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196</v>
      </c>
      <c r="N299" s="30"/>
    </row>
    <row r="300" spans="1:14" ht="15" customHeight="1" x14ac:dyDescent="0.35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 x14ac:dyDescent="0.35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 x14ac:dyDescent="0.35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 x14ac:dyDescent="0.35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 x14ac:dyDescent="0.35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 x14ac:dyDescent="0.35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 x14ac:dyDescent="0.35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 x14ac:dyDescent="0.35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 x14ac:dyDescent="0.35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 x14ac:dyDescent="0.35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 x14ac:dyDescent="0.35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 x14ac:dyDescent="0.35">
      <c r="A311" s="108" t="s">
        <v>185</v>
      </c>
      <c r="B311" s="108"/>
      <c r="C311" s="108"/>
      <c r="D311" s="10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186</v>
      </c>
      <c r="N311" s="20"/>
    </row>
    <row r="312" spans="1:14" ht="15" customHeight="1" x14ac:dyDescent="0.35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 x14ac:dyDescent="0.35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197</v>
      </c>
      <c r="N313" s="30"/>
    </row>
    <row r="314" spans="1:14" ht="15" customHeight="1" x14ac:dyDescent="0.35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 x14ac:dyDescent="0.35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 x14ac:dyDescent="0.35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 x14ac:dyDescent="0.35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 x14ac:dyDescent="0.35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 x14ac:dyDescent="0.35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 x14ac:dyDescent="0.35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 x14ac:dyDescent="0.35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 x14ac:dyDescent="0.35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 x14ac:dyDescent="0.35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 x14ac:dyDescent="0.35">
      <c r="A324" s="108" t="s">
        <v>187</v>
      </c>
      <c r="B324" s="108"/>
      <c r="C324" s="108"/>
      <c r="D324" s="10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186</v>
      </c>
      <c r="N324" s="20">
        <f>411220+466620</f>
        <v>877840</v>
      </c>
    </row>
    <row r="325" spans="1:14" ht="18" customHeight="1" x14ac:dyDescent="0.35">
      <c r="A325" s="98" t="s">
        <v>188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189</v>
      </c>
      <c r="N325" s="31">
        <f>IFERROR(N311+N324,"")</f>
        <v>877840</v>
      </c>
    </row>
    <row r="326" spans="1:14" ht="15" customHeight="1" x14ac:dyDescent="0.35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198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 x14ac:dyDescent="0.35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 x14ac:dyDescent="0.35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 x14ac:dyDescent="0.35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 x14ac:dyDescent="0.35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 x14ac:dyDescent="0.35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 x14ac:dyDescent="0.35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 x14ac:dyDescent="0.35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 x14ac:dyDescent="0.35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 x14ac:dyDescent="0.35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 x14ac:dyDescent="0.35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 x14ac:dyDescent="0.35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 x14ac:dyDescent="0.35">
      <c r="A338" s="108" t="s">
        <v>185</v>
      </c>
      <c r="B338" s="108"/>
      <c r="C338" s="108"/>
      <c r="D338" s="10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186</v>
      </c>
      <c r="N338" s="20">
        <v>1451850</v>
      </c>
    </row>
    <row r="339" spans="1:14" ht="15" customHeight="1" x14ac:dyDescent="0.35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 x14ac:dyDescent="0.35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 x14ac:dyDescent="0.35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 x14ac:dyDescent="0.35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 x14ac:dyDescent="0.35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 x14ac:dyDescent="0.35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 x14ac:dyDescent="0.35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 x14ac:dyDescent="0.35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 x14ac:dyDescent="0.35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 x14ac:dyDescent="0.35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 x14ac:dyDescent="0.35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 x14ac:dyDescent="0.35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 x14ac:dyDescent="0.35">
      <c r="A351" s="108" t="s">
        <v>187</v>
      </c>
      <c r="B351" s="108"/>
      <c r="C351" s="108"/>
      <c r="D351" s="10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186</v>
      </c>
      <c r="N351" s="20"/>
    </row>
    <row r="352" spans="1:14" ht="18" customHeight="1" x14ac:dyDescent="0.35">
      <c r="A352" s="98" t="s">
        <v>188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189</v>
      </c>
      <c r="N352" s="31">
        <f>IFERROR(N338+N351,"")</f>
        <v>1451850</v>
      </c>
    </row>
    <row r="353" spans="1:14" ht="15" customHeight="1" x14ac:dyDescent="0.35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136</v>
      </c>
      <c r="I353" s="16" t="s">
        <v>120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199</v>
      </c>
      <c r="N353" s="30"/>
    </row>
    <row r="354" spans="1:14" ht="15" customHeight="1" x14ac:dyDescent="0.35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 x14ac:dyDescent="0.35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 x14ac:dyDescent="0.35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 x14ac:dyDescent="0.35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 x14ac:dyDescent="0.35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 x14ac:dyDescent="0.35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 x14ac:dyDescent="0.35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 x14ac:dyDescent="0.35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 x14ac:dyDescent="0.35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 x14ac:dyDescent="0.35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 x14ac:dyDescent="0.35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 x14ac:dyDescent="0.35">
      <c r="A365" s="108" t="s">
        <v>185</v>
      </c>
      <c r="B365" s="108"/>
      <c r="C365" s="108"/>
      <c r="D365" s="10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186</v>
      </c>
      <c r="N365" s="20">
        <v>631530</v>
      </c>
    </row>
    <row r="366" spans="1:14" ht="15" customHeight="1" x14ac:dyDescent="0.35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115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200</v>
      </c>
      <c r="N366" s="30"/>
    </row>
    <row r="367" spans="1:14" ht="15" customHeight="1" x14ac:dyDescent="0.35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124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201</v>
      </c>
      <c r="N367" s="30"/>
    </row>
    <row r="368" spans="1:14" ht="15" customHeight="1" x14ac:dyDescent="0.35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 x14ac:dyDescent="0.35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 x14ac:dyDescent="0.35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 x14ac:dyDescent="0.35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 x14ac:dyDescent="0.35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 x14ac:dyDescent="0.35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 x14ac:dyDescent="0.35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 x14ac:dyDescent="0.35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 x14ac:dyDescent="0.35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 x14ac:dyDescent="0.35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 x14ac:dyDescent="0.35">
      <c r="A378" s="108" t="s">
        <v>187</v>
      </c>
      <c r="B378" s="108"/>
      <c r="C378" s="108"/>
      <c r="D378" s="10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186</v>
      </c>
      <c r="N378" s="20">
        <v>1299920</v>
      </c>
    </row>
    <row r="379" spans="1:14" ht="18" customHeight="1" x14ac:dyDescent="0.35">
      <c r="A379" s="98" t="s">
        <v>188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189</v>
      </c>
      <c r="N379" s="31">
        <f>IFERROR(N365+N378,"")</f>
        <v>1931450</v>
      </c>
    </row>
    <row r="380" spans="1:14" ht="15" customHeight="1" x14ac:dyDescent="0.35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 x14ac:dyDescent="0.35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132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 x14ac:dyDescent="0.35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120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 x14ac:dyDescent="0.35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 x14ac:dyDescent="0.35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 x14ac:dyDescent="0.35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 x14ac:dyDescent="0.35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 x14ac:dyDescent="0.35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 x14ac:dyDescent="0.35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 x14ac:dyDescent="0.35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 x14ac:dyDescent="0.35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 x14ac:dyDescent="0.35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 x14ac:dyDescent="0.35">
      <c r="A392" s="108" t="s">
        <v>185</v>
      </c>
      <c r="B392" s="108"/>
      <c r="C392" s="108"/>
      <c r="D392" s="10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186</v>
      </c>
      <c r="N392" s="20">
        <v>1723080</v>
      </c>
    </row>
    <row r="393" spans="1:14" ht="15" customHeight="1" x14ac:dyDescent="0.35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135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 x14ac:dyDescent="0.35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135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 x14ac:dyDescent="0.35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 x14ac:dyDescent="0.35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 x14ac:dyDescent="0.35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 x14ac:dyDescent="0.35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 x14ac:dyDescent="0.35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 x14ac:dyDescent="0.35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 x14ac:dyDescent="0.35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 x14ac:dyDescent="0.35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 x14ac:dyDescent="0.35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 x14ac:dyDescent="0.35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 x14ac:dyDescent="0.35">
      <c r="A405" s="108" t="s">
        <v>187</v>
      </c>
      <c r="B405" s="108"/>
      <c r="C405" s="108"/>
      <c r="D405" s="10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186</v>
      </c>
      <c r="N405" s="20">
        <v>1342790</v>
      </c>
    </row>
    <row r="406" spans="1:14" ht="18" customHeight="1" x14ac:dyDescent="0.35">
      <c r="A406" s="98" t="s">
        <v>188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189</v>
      </c>
      <c r="N406" s="31">
        <f>IFERROR(N392+N405,"")</f>
        <v>3065870</v>
      </c>
    </row>
    <row r="407" spans="1:14" ht="15" customHeight="1" x14ac:dyDescent="0.35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138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 x14ac:dyDescent="0.35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124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 x14ac:dyDescent="0.35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202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 x14ac:dyDescent="0.35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 x14ac:dyDescent="0.35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 x14ac:dyDescent="0.35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 x14ac:dyDescent="0.35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 x14ac:dyDescent="0.35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 x14ac:dyDescent="0.35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 x14ac:dyDescent="0.35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 x14ac:dyDescent="0.35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 x14ac:dyDescent="0.35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 x14ac:dyDescent="0.35">
      <c r="A419" s="108" t="s">
        <v>185</v>
      </c>
      <c r="B419" s="108"/>
      <c r="C419" s="108"/>
      <c r="D419" s="10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186</v>
      </c>
      <c r="N419" s="20">
        <v>1218660</v>
      </c>
    </row>
    <row r="420" spans="1:14" ht="15" customHeight="1" x14ac:dyDescent="0.35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135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 x14ac:dyDescent="0.35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135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203</v>
      </c>
      <c r="N421" s="30"/>
    </row>
    <row r="422" spans="1:14" ht="15" customHeight="1" x14ac:dyDescent="0.35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 x14ac:dyDescent="0.35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 x14ac:dyDescent="0.35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 x14ac:dyDescent="0.35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 x14ac:dyDescent="0.35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 x14ac:dyDescent="0.35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 x14ac:dyDescent="0.35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 x14ac:dyDescent="0.35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 x14ac:dyDescent="0.35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 x14ac:dyDescent="0.35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 x14ac:dyDescent="0.35">
      <c r="A432" s="108" t="s">
        <v>187</v>
      </c>
      <c r="B432" s="108"/>
      <c r="C432" s="108"/>
      <c r="D432" s="10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186</v>
      </c>
      <c r="N432" s="20">
        <v>963120</v>
      </c>
    </row>
    <row r="433" spans="1:14" ht="18" customHeight="1" x14ac:dyDescent="0.35">
      <c r="A433" s="98" t="s">
        <v>188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189</v>
      </c>
      <c r="N433" s="31">
        <f>IFERROR(N419+N432,"")</f>
        <v>2181780</v>
      </c>
    </row>
    <row r="434" spans="1:14" ht="15" customHeight="1" x14ac:dyDescent="0.35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 x14ac:dyDescent="0.35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 x14ac:dyDescent="0.35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 x14ac:dyDescent="0.35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 x14ac:dyDescent="0.35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 x14ac:dyDescent="0.35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 x14ac:dyDescent="0.35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 x14ac:dyDescent="0.35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 x14ac:dyDescent="0.35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 x14ac:dyDescent="0.35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 x14ac:dyDescent="0.35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 x14ac:dyDescent="0.35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 x14ac:dyDescent="0.35">
      <c r="A446" s="82" t="s">
        <v>185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186</v>
      </c>
      <c r="N446" s="20">
        <v>1779640</v>
      </c>
    </row>
    <row r="447" spans="1:14" ht="15" customHeight="1" x14ac:dyDescent="0.35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135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 x14ac:dyDescent="0.35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 x14ac:dyDescent="0.35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 x14ac:dyDescent="0.35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135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 x14ac:dyDescent="0.35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 x14ac:dyDescent="0.35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 x14ac:dyDescent="0.35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 x14ac:dyDescent="0.35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 x14ac:dyDescent="0.35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 x14ac:dyDescent="0.35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 x14ac:dyDescent="0.35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 x14ac:dyDescent="0.35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 x14ac:dyDescent="0.35">
      <c r="A459" s="108" t="s">
        <v>187</v>
      </c>
      <c r="B459" s="108"/>
      <c r="C459" s="108"/>
      <c r="D459" s="10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186</v>
      </c>
      <c r="N459" s="20">
        <v>534910</v>
      </c>
    </row>
    <row r="460" spans="1:14" ht="18" customHeight="1" x14ac:dyDescent="0.35">
      <c r="A460" s="98" t="s">
        <v>188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189</v>
      </c>
      <c r="N460" s="31">
        <f>IFERROR(N446+N459,"")</f>
        <v>2314550</v>
      </c>
    </row>
    <row r="461" spans="1:14" ht="15" customHeight="1" x14ac:dyDescent="0.35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204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 x14ac:dyDescent="0.35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132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 x14ac:dyDescent="0.35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205</v>
      </c>
      <c r="N463" s="30"/>
    </row>
    <row r="464" spans="1:14" ht="15" customHeight="1" x14ac:dyDescent="0.35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 x14ac:dyDescent="0.35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 x14ac:dyDescent="0.35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 x14ac:dyDescent="0.35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 x14ac:dyDescent="0.35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 x14ac:dyDescent="0.35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 x14ac:dyDescent="0.35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 x14ac:dyDescent="0.35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 x14ac:dyDescent="0.35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 x14ac:dyDescent="0.35">
      <c r="A473" s="108" t="s">
        <v>185</v>
      </c>
      <c r="B473" s="108"/>
      <c r="C473" s="108"/>
      <c r="D473" s="10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186</v>
      </c>
      <c r="N473" s="20">
        <v>505740</v>
      </c>
    </row>
    <row r="474" spans="1:14" ht="15" customHeight="1" x14ac:dyDescent="0.35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 x14ac:dyDescent="0.35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 x14ac:dyDescent="0.35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 x14ac:dyDescent="0.35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 x14ac:dyDescent="0.35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 x14ac:dyDescent="0.35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 x14ac:dyDescent="0.35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 x14ac:dyDescent="0.35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 x14ac:dyDescent="0.35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 x14ac:dyDescent="0.35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 x14ac:dyDescent="0.35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 x14ac:dyDescent="0.35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 x14ac:dyDescent="0.35">
      <c r="A486" s="108" t="s">
        <v>187</v>
      </c>
      <c r="B486" s="108"/>
      <c r="C486" s="108"/>
      <c r="D486" s="10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186</v>
      </c>
      <c r="N486" s="20">
        <v>557170</v>
      </c>
    </row>
    <row r="487" spans="1:14" ht="18" customHeight="1" x14ac:dyDescent="0.35">
      <c r="A487" s="98" t="s">
        <v>188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189</v>
      </c>
      <c r="N487" s="31">
        <f>IFERROR(N473+N486,"")</f>
        <v>1062910</v>
      </c>
    </row>
    <row r="488" spans="1:14" ht="15" customHeight="1" x14ac:dyDescent="0.35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120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 x14ac:dyDescent="0.35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 x14ac:dyDescent="0.35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 x14ac:dyDescent="0.35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 x14ac:dyDescent="0.35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 x14ac:dyDescent="0.35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 x14ac:dyDescent="0.35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 x14ac:dyDescent="0.35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 x14ac:dyDescent="0.35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 x14ac:dyDescent="0.35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 x14ac:dyDescent="0.35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 x14ac:dyDescent="0.35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 x14ac:dyDescent="0.35">
      <c r="A500" s="108" t="s">
        <v>185</v>
      </c>
      <c r="B500" s="108"/>
      <c r="C500" s="108"/>
      <c r="D500" s="10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186</v>
      </c>
      <c r="N500" s="20">
        <v>866460</v>
      </c>
    </row>
    <row r="501" spans="1:14" ht="15" customHeight="1" x14ac:dyDescent="0.35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120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206</v>
      </c>
      <c r="N501" s="30"/>
    </row>
    <row r="502" spans="1:14" ht="15" customHeight="1" x14ac:dyDescent="0.35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 x14ac:dyDescent="0.35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 x14ac:dyDescent="0.35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 x14ac:dyDescent="0.35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 x14ac:dyDescent="0.35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 x14ac:dyDescent="0.35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 x14ac:dyDescent="0.35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 x14ac:dyDescent="0.35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 x14ac:dyDescent="0.35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 x14ac:dyDescent="0.35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 x14ac:dyDescent="0.35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 x14ac:dyDescent="0.35">
      <c r="A513" s="108" t="s">
        <v>187</v>
      </c>
      <c r="B513" s="108"/>
      <c r="C513" s="108"/>
      <c r="D513" s="10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186</v>
      </c>
      <c r="N513" s="20">
        <v>701090</v>
      </c>
    </row>
    <row r="514" spans="1:14" ht="18" customHeight="1" x14ac:dyDescent="0.35">
      <c r="A514" s="98" t="s">
        <v>188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189</v>
      </c>
      <c r="N514" s="31">
        <f>IFERROR(N500+N513,"")</f>
        <v>1567550</v>
      </c>
    </row>
    <row r="515" spans="1:14" ht="15" customHeight="1" x14ac:dyDescent="0.35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207</v>
      </c>
      <c r="N515" s="30"/>
    </row>
    <row r="516" spans="1:14" ht="15" customHeight="1" x14ac:dyDescent="0.35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207</v>
      </c>
      <c r="N516" s="30"/>
    </row>
    <row r="517" spans="1:14" ht="15" customHeight="1" x14ac:dyDescent="0.35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208</v>
      </c>
      <c r="N517" s="30"/>
    </row>
    <row r="518" spans="1:14" ht="15" customHeight="1" x14ac:dyDescent="0.35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 x14ac:dyDescent="0.35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 x14ac:dyDescent="0.35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 x14ac:dyDescent="0.35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 x14ac:dyDescent="0.35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 x14ac:dyDescent="0.35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 x14ac:dyDescent="0.35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 x14ac:dyDescent="0.35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 x14ac:dyDescent="0.35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 x14ac:dyDescent="0.35">
      <c r="A527" s="108" t="s">
        <v>185</v>
      </c>
      <c r="B527" s="108"/>
      <c r="C527" s="108"/>
      <c r="D527" s="10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186</v>
      </c>
      <c r="N527" s="20">
        <v>880000</v>
      </c>
    </row>
    <row r="528" spans="1:14" ht="15" customHeight="1" x14ac:dyDescent="0.35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 x14ac:dyDescent="0.35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 x14ac:dyDescent="0.35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 x14ac:dyDescent="0.35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 x14ac:dyDescent="0.35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 x14ac:dyDescent="0.35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 x14ac:dyDescent="0.35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 x14ac:dyDescent="0.35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 x14ac:dyDescent="0.35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 x14ac:dyDescent="0.35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 x14ac:dyDescent="0.35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 x14ac:dyDescent="0.35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 x14ac:dyDescent="0.35">
      <c r="A540" s="108" t="s">
        <v>187</v>
      </c>
      <c r="B540" s="108"/>
      <c r="C540" s="108"/>
      <c r="D540" s="10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186</v>
      </c>
      <c r="N540" s="20">
        <v>915770</v>
      </c>
    </row>
    <row r="541" spans="1:14" ht="18" customHeight="1" x14ac:dyDescent="0.35">
      <c r="A541" s="98" t="s">
        <v>188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189</v>
      </c>
      <c r="N541" s="31">
        <f>IFERROR(N527+N540,"")</f>
        <v>1795770</v>
      </c>
    </row>
    <row r="542" spans="1:14" ht="15" customHeight="1" x14ac:dyDescent="0.35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209</v>
      </c>
      <c r="N542" s="30"/>
    </row>
    <row r="543" spans="1:14" ht="15" customHeight="1" x14ac:dyDescent="0.35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210</v>
      </c>
      <c r="N543" s="30"/>
    </row>
    <row r="544" spans="1:14" ht="15" customHeight="1" x14ac:dyDescent="0.35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211</v>
      </c>
      <c r="N544" s="30"/>
    </row>
    <row r="545" spans="1:14" ht="15" customHeight="1" x14ac:dyDescent="0.35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 x14ac:dyDescent="0.35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 x14ac:dyDescent="0.35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 x14ac:dyDescent="0.35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 x14ac:dyDescent="0.35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 x14ac:dyDescent="0.35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 x14ac:dyDescent="0.35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 x14ac:dyDescent="0.35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 x14ac:dyDescent="0.35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 x14ac:dyDescent="0.35">
      <c r="A554" s="108" t="s">
        <v>185</v>
      </c>
      <c r="B554" s="108"/>
      <c r="C554" s="108"/>
      <c r="D554" s="10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186</v>
      </c>
      <c r="N554" s="20">
        <v>1522750</v>
      </c>
    </row>
    <row r="555" spans="1:14" ht="15" customHeight="1" x14ac:dyDescent="0.35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151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 x14ac:dyDescent="0.35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 x14ac:dyDescent="0.35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 x14ac:dyDescent="0.35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 x14ac:dyDescent="0.35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 x14ac:dyDescent="0.35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 x14ac:dyDescent="0.35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 x14ac:dyDescent="0.35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 x14ac:dyDescent="0.35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 x14ac:dyDescent="0.35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 x14ac:dyDescent="0.35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 x14ac:dyDescent="0.35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 x14ac:dyDescent="0.35">
      <c r="A567" s="108" t="s">
        <v>187</v>
      </c>
      <c r="B567" s="108"/>
      <c r="C567" s="108"/>
      <c r="D567" s="10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186</v>
      </c>
      <c r="N567" s="20">
        <v>636740</v>
      </c>
    </row>
    <row r="568" spans="1:14" ht="18" customHeight="1" x14ac:dyDescent="0.35">
      <c r="A568" s="98" t="s">
        <v>188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189</v>
      </c>
      <c r="N568" s="31">
        <f>IFERROR(N554+N567,"")</f>
        <v>2159490</v>
      </c>
    </row>
    <row r="569" spans="1:14" ht="15" customHeight="1" x14ac:dyDescent="0.35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151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212</v>
      </c>
      <c r="N569" s="30"/>
    </row>
    <row r="570" spans="1:14" ht="15" customHeight="1" x14ac:dyDescent="0.35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98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213</v>
      </c>
      <c r="N570" s="30"/>
    </row>
    <row r="571" spans="1:14" ht="15" customHeight="1" x14ac:dyDescent="0.35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 x14ac:dyDescent="0.35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 x14ac:dyDescent="0.35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 x14ac:dyDescent="0.35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 x14ac:dyDescent="0.35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 x14ac:dyDescent="0.35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 x14ac:dyDescent="0.35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 x14ac:dyDescent="0.35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 x14ac:dyDescent="0.35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 x14ac:dyDescent="0.35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 x14ac:dyDescent="0.35">
      <c r="A581" s="108" t="s">
        <v>185</v>
      </c>
      <c r="B581" s="108"/>
      <c r="C581" s="108"/>
      <c r="D581" s="10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186</v>
      </c>
      <c r="N581" s="20">
        <v>1192180</v>
      </c>
    </row>
    <row r="582" spans="1:14" ht="15" customHeight="1" x14ac:dyDescent="0.35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 x14ac:dyDescent="0.35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 x14ac:dyDescent="0.35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 x14ac:dyDescent="0.35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 x14ac:dyDescent="0.35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 x14ac:dyDescent="0.35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135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 x14ac:dyDescent="0.35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124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214</v>
      </c>
      <c r="N588" s="30"/>
    </row>
    <row r="589" spans="1:14" ht="15" customHeight="1" x14ac:dyDescent="0.35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 x14ac:dyDescent="0.35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 x14ac:dyDescent="0.35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 x14ac:dyDescent="0.35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 x14ac:dyDescent="0.35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 x14ac:dyDescent="0.35">
      <c r="A594" s="108" t="s">
        <v>187</v>
      </c>
      <c r="B594" s="108"/>
      <c r="C594" s="108"/>
      <c r="D594" s="10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186</v>
      </c>
      <c r="N594" s="20">
        <v>394820</v>
      </c>
    </row>
    <row r="595" spans="1:14" ht="18" customHeight="1" x14ac:dyDescent="0.35">
      <c r="A595" s="98" t="s">
        <v>188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189</v>
      </c>
      <c r="N595" s="31">
        <f>IFERROR(N581+N594,"")</f>
        <v>1587000</v>
      </c>
    </row>
    <row r="596" spans="1:14" ht="15" customHeight="1" x14ac:dyDescent="0.35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101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215</v>
      </c>
      <c r="N596" s="30"/>
    </row>
    <row r="597" spans="1:14" ht="15" customHeight="1" x14ac:dyDescent="0.35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124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216</v>
      </c>
      <c r="N597" s="30"/>
    </row>
    <row r="598" spans="1:14" ht="15" customHeight="1" x14ac:dyDescent="0.35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124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216</v>
      </c>
      <c r="N598" s="30"/>
    </row>
    <row r="599" spans="1:14" ht="15" customHeight="1" x14ac:dyDescent="0.35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156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217</v>
      </c>
      <c r="N599" s="30"/>
    </row>
    <row r="600" spans="1:14" ht="15" customHeight="1" x14ac:dyDescent="0.35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 x14ac:dyDescent="0.35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 x14ac:dyDescent="0.35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 x14ac:dyDescent="0.35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 x14ac:dyDescent="0.35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 x14ac:dyDescent="0.35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 x14ac:dyDescent="0.35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 x14ac:dyDescent="0.35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 x14ac:dyDescent="0.35">
      <c r="A608" s="108" t="s">
        <v>185</v>
      </c>
      <c r="B608" s="108"/>
      <c r="C608" s="108"/>
      <c r="D608" s="10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186</v>
      </c>
      <c r="N608" s="20">
        <v>205400</v>
      </c>
    </row>
    <row r="609" spans="1:14" ht="15" customHeight="1" x14ac:dyDescent="0.35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218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 x14ac:dyDescent="0.35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170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 x14ac:dyDescent="0.35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120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 x14ac:dyDescent="0.35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 x14ac:dyDescent="0.35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 x14ac:dyDescent="0.35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 x14ac:dyDescent="0.35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 x14ac:dyDescent="0.35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 x14ac:dyDescent="0.35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 x14ac:dyDescent="0.35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 x14ac:dyDescent="0.35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 x14ac:dyDescent="0.35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 x14ac:dyDescent="0.35">
      <c r="A621" s="108" t="s">
        <v>187</v>
      </c>
      <c r="B621" s="108"/>
      <c r="C621" s="108"/>
      <c r="D621" s="10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186</v>
      </c>
      <c r="N621" s="20">
        <v>587370</v>
      </c>
    </row>
    <row r="622" spans="1:14" ht="18" customHeight="1" x14ac:dyDescent="0.35">
      <c r="A622" s="98" t="s">
        <v>188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189</v>
      </c>
      <c r="N622" s="31">
        <f>IFERROR(N608+N621,"")</f>
        <v>792770</v>
      </c>
    </row>
    <row r="623" spans="1:14" ht="15" customHeight="1" x14ac:dyDescent="0.35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171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 x14ac:dyDescent="0.35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163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 x14ac:dyDescent="0.35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146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 x14ac:dyDescent="0.35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 x14ac:dyDescent="0.35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 x14ac:dyDescent="0.35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 x14ac:dyDescent="0.35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 x14ac:dyDescent="0.35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 x14ac:dyDescent="0.35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 x14ac:dyDescent="0.35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 x14ac:dyDescent="0.35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 x14ac:dyDescent="0.35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 x14ac:dyDescent="0.35">
      <c r="A635" s="108" t="s">
        <v>185</v>
      </c>
      <c r="B635" s="108"/>
      <c r="C635" s="108"/>
      <c r="D635" s="10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186</v>
      </c>
      <c r="N635" s="20">
        <v>1126320</v>
      </c>
    </row>
    <row r="636" spans="1:14" ht="15" customHeight="1" x14ac:dyDescent="0.35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 x14ac:dyDescent="0.35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120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 x14ac:dyDescent="0.35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120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219</v>
      </c>
      <c r="N638" s="30"/>
    </row>
    <row r="639" spans="1:14" ht="15" customHeight="1" x14ac:dyDescent="0.35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156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 x14ac:dyDescent="0.35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 x14ac:dyDescent="0.35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 x14ac:dyDescent="0.35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 x14ac:dyDescent="0.35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 x14ac:dyDescent="0.35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 x14ac:dyDescent="0.35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 x14ac:dyDescent="0.35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 x14ac:dyDescent="0.35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 x14ac:dyDescent="0.35">
      <c r="A648" s="108" t="s">
        <v>187</v>
      </c>
      <c r="B648" s="108"/>
      <c r="C648" s="108"/>
      <c r="D648" s="10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186</v>
      </c>
      <c r="N648" s="20">
        <v>635110</v>
      </c>
    </row>
    <row r="649" spans="1:14" ht="18" customHeight="1" x14ac:dyDescent="0.35">
      <c r="A649" s="98" t="s">
        <v>188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189</v>
      </c>
      <c r="N649" s="31">
        <f>IFERROR(N635+N648,"")</f>
        <v>1761430</v>
      </c>
    </row>
    <row r="650" spans="1:14" ht="15" customHeight="1" x14ac:dyDescent="0.35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 x14ac:dyDescent="0.35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124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 x14ac:dyDescent="0.35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 x14ac:dyDescent="0.35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 x14ac:dyDescent="0.35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 x14ac:dyDescent="0.35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 x14ac:dyDescent="0.35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 x14ac:dyDescent="0.35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 x14ac:dyDescent="0.35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 x14ac:dyDescent="0.35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 x14ac:dyDescent="0.35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 x14ac:dyDescent="0.35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 x14ac:dyDescent="0.35">
      <c r="A662" s="108" t="s">
        <v>185</v>
      </c>
      <c r="B662" s="108"/>
      <c r="C662" s="108"/>
      <c r="D662" s="10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186</v>
      </c>
      <c r="N662" s="20">
        <v>1483220</v>
      </c>
    </row>
    <row r="663" spans="1:14" ht="15" customHeight="1" x14ac:dyDescent="0.35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 x14ac:dyDescent="0.35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 x14ac:dyDescent="0.35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 x14ac:dyDescent="0.35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 x14ac:dyDescent="0.35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 x14ac:dyDescent="0.35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 x14ac:dyDescent="0.35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 x14ac:dyDescent="0.35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 x14ac:dyDescent="0.35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 x14ac:dyDescent="0.35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 x14ac:dyDescent="0.35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 x14ac:dyDescent="0.35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 x14ac:dyDescent="0.35">
      <c r="A675" s="108" t="s">
        <v>187</v>
      </c>
      <c r="B675" s="108"/>
      <c r="C675" s="108"/>
      <c r="D675" s="10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186</v>
      </c>
      <c r="N675" s="20">
        <v>1608610</v>
      </c>
    </row>
    <row r="676" spans="1:14" ht="18" customHeight="1" x14ac:dyDescent="0.35">
      <c r="A676" s="98" t="s">
        <v>188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189</v>
      </c>
      <c r="N676" s="31">
        <f>IFERROR(N662+N675,"")</f>
        <v>3091830</v>
      </c>
    </row>
    <row r="677" spans="1:14" ht="15" customHeight="1" x14ac:dyDescent="0.35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171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 x14ac:dyDescent="0.35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173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220</v>
      </c>
      <c r="N678" s="30"/>
    </row>
    <row r="679" spans="1:14" ht="15" customHeight="1" x14ac:dyDescent="0.35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101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221</v>
      </c>
      <c r="N679" s="30"/>
    </row>
    <row r="680" spans="1:14" ht="15" customHeight="1" x14ac:dyDescent="0.35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 x14ac:dyDescent="0.35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 x14ac:dyDescent="0.35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 x14ac:dyDescent="0.35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 x14ac:dyDescent="0.35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 x14ac:dyDescent="0.35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 x14ac:dyDescent="0.35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 x14ac:dyDescent="0.35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 x14ac:dyDescent="0.35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 x14ac:dyDescent="0.35">
      <c r="A689" s="108" t="s">
        <v>185</v>
      </c>
      <c r="B689" s="108"/>
      <c r="C689" s="108"/>
      <c r="D689" s="10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186</v>
      </c>
      <c r="N689" s="20">
        <v>1123040</v>
      </c>
    </row>
    <row r="690" spans="1:14" ht="15" customHeight="1" x14ac:dyDescent="0.35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127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 x14ac:dyDescent="0.35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 x14ac:dyDescent="0.35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 x14ac:dyDescent="0.35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 x14ac:dyDescent="0.35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 x14ac:dyDescent="0.35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 x14ac:dyDescent="0.35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 x14ac:dyDescent="0.35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 x14ac:dyDescent="0.35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 x14ac:dyDescent="0.35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 x14ac:dyDescent="0.35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 x14ac:dyDescent="0.35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 x14ac:dyDescent="0.35">
      <c r="A702" s="108" t="s">
        <v>187</v>
      </c>
      <c r="B702" s="108"/>
      <c r="C702" s="108"/>
      <c r="D702" s="10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186</v>
      </c>
      <c r="N702" s="20">
        <f>316300+609860</f>
        <v>926160</v>
      </c>
    </row>
    <row r="703" spans="1:14" ht="18" customHeight="1" x14ac:dyDescent="0.35">
      <c r="A703" s="98" t="s">
        <v>188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189</v>
      </c>
      <c r="N703" s="31">
        <f>IFERROR(N689+N702,"")</f>
        <v>2049200</v>
      </c>
    </row>
    <row r="704" spans="1:14" ht="15" customHeight="1" x14ac:dyDescent="0.35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222</v>
      </c>
      <c r="N704" s="30"/>
    </row>
    <row r="705" spans="1:16" ht="15" customHeight="1" x14ac:dyDescent="0.35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/>
      <c r="L705" s="71" t="str">
        <f t="shared" si="160"/>
        <v/>
      </c>
      <c r="M705" s="29"/>
      <c r="N705" s="30"/>
    </row>
    <row r="706" spans="1:16" ht="15" customHeight="1" x14ac:dyDescent="0.35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/>
      <c r="H706" s="10"/>
      <c r="I706" s="10"/>
      <c r="J706" s="13"/>
      <c r="K706" s="13"/>
      <c r="L706" s="70" t="str">
        <f t="shared" si="160"/>
        <v/>
      </c>
      <c r="M706" s="29"/>
      <c r="N706" s="30"/>
    </row>
    <row r="707" spans="1:16" ht="15" customHeight="1" x14ac:dyDescent="0.35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  <c r="P707" s="97"/>
    </row>
    <row r="708" spans="1:16" ht="15" customHeight="1" x14ac:dyDescent="0.35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20</v>
      </c>
      <c r="F708" s="12">
        <f t="shared" si="159"/>
        <v>100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6" ht="15" customHeight="1" x14ac:dyDescent="0.35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30</v>
      </c>
      <c r="F709" s="17">
        <f t="shared" si="159"/>
        <v>150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6" ht="15" customHeight="1" x14ac:dyDescent="0.35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30</v>
      </c>
      <c r="F710" s="12">
        <f t="shared" si="159"/>
        <v>150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6" ht="15" customHeight="1" x14ac:dyDescent="0.35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30</v>
      </c>
      <c r="F711" s="17">
        <f t="shared" si="159"/>
        <v>150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6" ht="15" customHeight="1" x14ac:dyDescent="0.35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10</v>
      </c>
      <c r="F712" s="12">
        <f t="shared" si="159"/>
        <v>50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6" ht="15" customHeight="1" x14ac:dyDescent="0.35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20</v>
      </c>
      <c r="F713" s="17">
        <f t="shared" si="159"/>
        <v>100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6" ht="15" customHeight="1" x14ac:dyDescent="0.35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20</v>
      </c>
      <c r="F714" s="12">
        <f t="shared" si="159"/>
        <v>100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6" ht="15" customHeight="1" x14ac:dyDescent="0.35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20</v>
      </c>
      <c r="F715" s="17">
        <f t="shared" si="159"/>
        <v>100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6" ht="15.75" customHeight="1" x14ac:dyDescent="0.35">
      <c r="A716" s="108" t="s">
        <v>185</v>
      </c>
      <c r="B716" s="108"/>
      <c r="C716" s="108"/>
      <c r="D716" s="108"/>
      <c r="E716" s="19">
        <f>SUM(E704:E715)</f>
        <v>260</v>
      </c>
      <c r="F716" s="19">
        <f>SUM(F704:F715)</f>
        <v>1300</v>
      </c>
      <c r="G716" s="18"/>
      <c r="H716" s="18"/>
      <c r="I716" s="18"/>
      <c r="J716" s="18"/>
      <c r="K716" s="18"/>
      <c r="L716" s="72">
        <f>IFERROR(SUM(L704:L715),"")</f>
        <v>4.166666666666663E-2</v>
      </c>
      <c r="M716" s="19" t="s">
        <v>186</v>
      </c>
      <c r="N716" s="20">
        <v>1350000</v>
      </c>
    </row>
    <row r="717" spans="1:16" ht="15" customHeight="1" x14ac:dyDescent="0.35">
      <c r="A717" s="59">
        <v>46200</v>
      </c>
      <c r="B717" s="15">
        <v>0.83333333333333304</v>
      </c>
      <c r="C717" s="16" t="s">
        <v>29</v>
      </c>
      <c r="D717" s="16" t="s">
        <v>30</v>
      </c>
      <c r="E717" s="11">
        <v>10</v>
      </c>
      <c r="F717" s="17">
        <f t="shared" ref="F717:F728" si="162">IF(E717="","",E717*5)</f>
        <v>50</v>
      </c>
      <c r="G717" s="16"/>
      <c r="H717" s="16"/>
      <c r="I717" s="16"/>
      <c r="J717" s="13"/>
      <c r="K717" s="13"/>
      <c r="L717" s="71" t="str">
        <f t="shared" ref="L717:L728" si="163">IFERROR(IF(K717="","",IF(K717&gt;=J717,K717-J717,K717+1-J717)),"")</f>
        <v/>
      </c>
      <c r="M717" s="29"/>
      <c r="N717" s="30"/>
    </row>
    <row r="718" spans="1:16" ht="15" customHeight="1" x14ac:dyDescent="0.35">
      <c r="A718" s="58">
        <v>46200</v>
      </c>
      <c r="B718" s="9">
        <f t="shared" ref="B718:B728" si="164">B717+TIME(0,60,0)</f>
        <v>0.87499999999999967</v>
      </c>
      <c r="C718" s="76" t="s">
        <v>29</v>
      </c>
      <c r="D718" s="76" t="s">
        <v>30</v>
      </c>
      <c r="E718" s="11">
        <v>20</v>
      </c>
      <c r="F718" s="12">
        <f t="shared" si="162"/>
        <v>100</v>
      </c>
      <c r="G718" s="10"/>
      <c r="H718" s="10"/>
      <c r="I718" s="10"/>
      <c r="J718" s="13"/>
      <c r="K718" s="13"/>
      <c r="L718" s="70" t="str">
        <f t="shared" si="163"/>
        <v/>
      </c>
      <c r="M718" s="29"/>
      <c r="N718" s="30"/>
    </row>
    <row r="719" spans="1:16" ht="15" customHeight="1" x14ac:dyDescent="0.35">
      <c r="A719" s="59">
        <v>46200</v>
      </c>
      <c r="B719" s="15">
        <f t="shared" si="164"/>
        <v>0.9166666666666663</v>
      </c>
      <c r="C719" s="16" t="s">
        <v>29</v>
      </c>
      <c r="D719" s="16" t="s">
        <v>30</v>
      </c>
      <c r="E719" s="11">
        <v>30</v>
      </c>
      <c r="F719" s="17">
        <f t="shared" si="162"/>
        <v>150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6" ht="15" customHeight="1" x14ac:dyDescent="0.35">
      <c r="A720" s="58">
        <v>46200</v>
      </c>
      <c r="B720" s="9">
        <f t="shared" si="164"/>
        <v>0.95833333333333293</v>
      </c>
      <c r="C720" s="10"/>
      <c r="D720" s="10"/>
      <c r="E720" s="11"/>
      <c r="F720" s="12" t="str">
        <f>IF(E720="","",E720*5)</f>
        <v/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 x14ac:dyDescent="0.35">
      <c r="A721" s="59">
        <v>46200</v>
      </c>
      <c r="B721" s="15">
        <f t="shared" si="164"/>
        <v>0.99999999999999956</v>
      </c>
      <c r="C721" s="16"/>
      <c r="D721" s="16"/>
      <c r="E721" s="11"/>
      <c r="F721" s="17" t="str">
        <f t="shared" si="162"/>
        <v/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 x14ac:dyDescent="0.35">
      <c r="A722" s="58">
        <v>46200</v>
      </c>
      <c r="B722" s="9">
        <f t="shared" si="164"/>
        <v>1.0416666666666663</v>
      </c>
      <c r="C722" s="10"/>
      <c r="D722" s="10"/>
      <c r="E722" s="11"/>
      <c r="F722" s="12" t="str">
        <f t="shared" si="162"/>
        <v/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 x14ac:dyDescent="0.35">
      <c r="A723" s="59">
        <v>46200</v>
      </c>
      <c r="B723" s="15">
        <f t="shared" si="164"/>
        <v>1.083333333333333</v>
      </c>
      <c r="C723" s="16"/>
      <c r="D723" s="16"/>
      <c r="E723" s="11"/>
      <c r="F723" s="17" t="str">
        <f t="shared" si="162"/>
        <v/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 x14ac:dyDescent="0.35">
      <c r="A724" s="58">
        <v>46200</v>
      </c>
      <c r="B724" s="9">
        <f t="shared" si="164"/>
        <v>1.1249999999999998</v>
      </c>
      <c r="C724" s="10"/>
      <c r="D724" s="10"/>
      <c r="E724" s="11"/>
      <c r="F724" s="12" t="str">
        <f t="shared" si="162"/>
        <v/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 x14ac:dyDescent="0.35">
      <c r="A725" s="59">
        <v>46200</v>
      </c>
      <c r="B725" s="15">
        <f t="shared" si="164"/>
        <v>1.1666666666666665</v>
      </c>
      <c r="C725" s="16"/>
      <c r="D725" s="16"/>
      <c r="E725" s="11"/>
      <c r="F725" s="17" t="str">
        <f t="shared" si="162"/>
        <v/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 x14ac:dyDescent="0.35">
      <c r="A726" s="58">
        <v>46200</v>
      </c>
      <c r="B726" s="9">
        <f t="shared" si="164"/>
        <v>1.2083333333333333</v>
      </c>
      <c r="C726" s="10"/>
      <c r="D726" s="10"/>
      <c r="E726" s="11"/>
      <c r="F726" s="12" t="str">
        <f t="shared" si="162"/>
        <v/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 x14ac:dyDescent="0.35">
      <c r="A727" s="59">
        <v>46200</v>
      </c>
      <c r="B727" s="15">
        <f t="shared" si="164"/>
        <v>1.25</v>
      </c>
      <c r="C727" s="16"/>
      <c r="D727" s="16"/>
      <c r="E727" s="11"/>
      <c r="F727" s="17" t="str">
        <f t="shared" si="162"/>
        <v/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 x14ac:dyDescent="0.35">
      <c r="A728" s="58">
        <v>46200</v>
      </c>
      <c r="B728" s="9">
        <f t="shared" si="164"/>
        <v>1.2916666666666667</v>
      </c>
      <c r="C728" s="10"/>
      <c r="D728" s="10"/>
      <c r="E728" s="11"/>
      <c r="F728" s="12" t="str">
        <f t="shared" si="162"/>
        <v/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 x14ac:dyDescent="0.35">
      <c r="A729" s="108" t="s">
        <v>187</v>
      </c>
      <c r="B729" s="108"/>
      <c r="C729" s="108"/>
      <c r="D729" s="108"/>
      <c r="E729" s="19">
        <f>SUM(E717:E728)</f>
        <v>60</v>
      </c>
      <c r="F729" s="19">
        <f>SUM(F717:F728)</f>
        <v>300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186</v>
      </c>
      <c r="N729" s="20">
        <v>1350000</v>
      </c>
    </row>
    <row r="730" spans="1:14" ht="18" customHeight="1" x14ac:dyDescent="0.35">
      <c r="A730" s="98" t="s">
        <v>188</v>
      </c>
      <c r="B730" s="98"/>
      <c r="C730" s="98"/>
      <c r="D730" s="98"/>
      <c r="E730" s="22">
        <f>E716+E729</f>
        <v>320</v>
      </c>
      <c r="F730" s="22">
        <f>F716+F729</f>
        <v>1600</v>
      </c>
      <c r="G730" s="21"/>
      <c r="H730" s="21"/>
      <c r="I730" s="21"/>
      <c r="J730" s="21"/>
      <c r="K730" s="21"/>
      <c r="L730" s="73">
        <f>IFERROR(L716+L729,"")</f>
        <v>4.166666666666663E-2</v>
      </c>
      <c r="M730" s="22" t="s">
        <v>189</v>
      </c>
      <c r="N730" s="31">
        <f>IFERROR(N716+N729,"")</f>
        <v>2700000</v>
      </c>
    </row>
    <row r="731" spans="1:14" ht="15" customHeight="1" x14ac:dyDescent="0.35">
      <c r="A731" s="59">
        <v>46201</v>
      </c>
      <c r="B731" s="15">
        <v>0.33333333333333331</v>
      </c>
      <c r="C731" s="16"/>
      <c r="D731" s="16"/>
      <c r="E731" s="11"/>
      <c r="F731" s="17" t="str">
        <f t="shared" ref="F731:F742" si="165">IF(E731="","",E731*5)</f>
        <v/>
      </c>
      <c r="G731" s="16"/>
      <c r="H731" s="16"/>
      <c r="I731" s="16"/>
      <c r="J731" s="13"/>
      <c r="K731" s="13"/>
      <c r="L731" s="71" t="str">
        <f t="shared" ref="L731:L742" si="166">IFERROR(IF(K731="","",IF(K731&gt;=J731,K731-J731,K731+1-J731)),"")</f>
        <v/>
      </c>
      <c r="M731" s="29"/>
      <c r="N731" s="30"/>
    </row>
    <row r="732" spans="1:14" ht="15" customHeight="1" x14ac:dyDescent="0.35">
      <c r="A732" s="58">
        <v>46201</v>
      </c>
      <c r="B732" s="9">
        <f t="shared" ref="B732:B742" si="167">B731+TIME(0,60,0)</f>
        <v>0.375</v>
      </c>
      <c r="C732" s="10"/>
      <c r="D732" s="10"/>
      <c r="E732" s="11"/>
      <c r="F732" s="12" t="str">
        <f t="shared" si="165"/>
        <v/>
      </c>
      <c r="G732" s="10"/>
      <c r="H732" s="10"/>
      <c r="I732" s="10"/>
      <c r="J732" s="13"/>
      <c r="K732" s="13"/>
      <c r="L732" s="70" t="str">
        <f t="shared" si="166"/>
        <v/>
      </c>
      <c r="M732" s="29"/>
      <c r="N732" s="30"/>
    </row>
    <row r="733" spans="1:14" ht="15" customHeight="1" x14ac:dyDescent="0.35">
      <c r="A733" s="59">
        <v>46201</v>
      </c>
      <c r="B733" s="15">
        <f t="shared" si="167"/>
        <v>0.41666666666666669</v>
      </c>
      <c r="C733" s="16"/>
      <c r="D733" s="16"/>
      <c r="E733" s="11"/>
      <c r="F733" s="17" t="str">
        <f t="shared" si="165"/>
        <v/>
      </c>
      <c r="G733" s="16"/>
      <c r="H733" s="16"/>
      <c r="I733" s="16"/>
      <c r="J733" s="13"/>
      <c r="K733" s="13"/>
      <c r="L733" s="71" t="str">
        <f t="shared" si="166"/>
        <v/>
      </c>
      <c r="M733" s="29"/>
      <c r="N733" s="30"/>
    </row>
    <row r="734" spans="1:14" ht="15" customHeight="1" x14ac:dyDescent="0.35">
      <c r="A734" s="58">
        <v>46201</v>
      </c>
      <c r="B734" s="9">
        <f t="shared" si="167"/>
        <v>0.45833333333333337</v>
      </c>
      <c r="C734" s="10"/>
      <c r="D734" s="10"/>
      <c r="E734" s="11"/>
      <c r="F734" s="12" t="str">
        <f t="shared" si="165"/>
        <v/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 x14ac:dyDescent="0.35">
      <c r="A735" s="59">
        <v>46201</v>
      </c>
      <c r="B735" s="15">
        <f t="shared" si="167"/>
        <v>0.5</v>
      </c>
      <c r="C735" s="16"/>
      <c r="D735" s="16"/>
      <c r="E735" s="11"/>
      <c r="F735" s="17" t="str">
        <f t="shared" si="165"/>
        <v/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 x14ac:dyDescent="0.35">
      <c r="A736" s="58">
        <v>46201</v>
      </c>
      <c r="B736" s="9">
        <f t="shared" si="167"/>
        <v>0.54166666666666663</v>
      </c>
      <c r="C736" s="10"/>
      <c r="D736" s="10"/>
      <c r="E736" s="11"/>
      <c r="F736" s="12" t="str">
        <f t="shared" si="165"/>
        <v/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 x14ac:dyDescent="0.35">
      <c r="A737" s="59">
        <v>46201</v>
      </c>
      <c r="B737" s="15">
        <f t="shared" si="167"/>
        <v>0.58333333333333326</v>
      </c>
      <c r="C737" s="16"/>
      <c r="D737" s="16"/>
      <c r="E737" s="11"/>
      <c r="F737" s="17" t="str">
        <f t="shared" si="165"/>
        <v/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 x14ac:dyDescent="0.35">
      <c r="A738" s="58">
        <v>46201</v>
      </c>
      <c r="B738" s="9">
        <f t="shared" si="167"/>
        <v>0.62499999999999989</v>
      </c>
      <c r="C738" s="10"/>
      <c r="D738" s="10"/>
      <c r="E738" s="11"/>
      <c r="F738" s="12" t="str">
        <f t="shared" si="165"/>
        <v/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 x14ac:dyDescent="0.35">
      <c r="A739" s="59">
        <v>46201</v>
      </c>
      <c r="B739" s="15">
        <f t="shared" si="167"/>
        <v>0.66666666666666652</v>
      </c>
      <c r="C739" s="16"/>
      <c r="D739" s="16"/>
      <c r="E739" s="11"/>
      <c r="F739" s="17" t="str">
        <f t="shared" si="165"/>
        <v/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 x14ac:dyDescent="0.35">
      <c r="A740" s="58">
        <v>46201</v>
      </c>
      <c r="B740" s="9">
        <f t="shared" si="167"/>
        <v>0.70833333333333315</v>
      </c>
      <c r="C740" s="10"/>
      <c r="D740" s="10"/>
      <c r="E740" s="11"/>
      <c r="F740" s="12" t="str">
        <f t="shared" si="165"/>
        <v/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 x14ac:dyDescent="0.35">
      <c r="A741" s="59">
        <v>46201</v>
      </c>
      <c r="B741" s="15">
        <f t="shared" si="167"/>
        <v>0.74999999999999978</v>
      </c>
      <c r="C741" s="16"/>
      <c r="D741" s="16"/>
      <c r="E741" s="11"/>
      <c r="F741" s="17" t="str">
        <f t="shared" si="165"/>
        <v/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 x14ac:dyDescent="0.35">
      <c r="A742" s="58">
        <v>46201</v>
      </c>
      <c r="B742" s="9">
        <f t="shared" si="167"/>
        <v>0.79166666666666641</v>
      </c>
      <c r="C742" s="10"/>
      <c r="D742" s="10"/>
      <c r="E742" s="11"/>
      <c r="F742" s="12" t="str">
        <f t="shared" si="165"/>
        <v/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 x14ac:dyDescent="0.35">
      <c r="A743" s="108" t="s">
        <v>185</v>
      </c>
      <c r="B743" s="108"/>
      <c r="C743" s="108"/>
      <c r="D743" s="108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186</v>
      </c>
      <c r="N743" s="20"/>
    </row>
    <row r="744" spans="1:14" ht="15" customHeight="1" x14ac:dyDescent="0.35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8">IF(E744="","",E744*5)</f>
        <v/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 x14ac:dyDescent="0.35">
      <c r="A745" s="59">
        <v>46201</v>
      </c>
      <c r="B745" s="15">
        <f t="shared" ref="B745:B755" si="170">B744+TIME(0,60,0)</f>
        <v>0.87499999999999967</v>
      </c>
      <c r="C745" s="16"/>
      <c r="D745" s="16"/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 x14ac:dyDescent="0.35">
      <c r="A746" s="58">
        <v>46201</v>
      </c>
      <c r="B746" s="9">
        <f t="shared" si="170"/>
        <v>0.9166666666666663</v>
      </c>
      <c r="C746" s="10"/>
      <c r="D746" s="10"/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 x14ac:dyDescent="0.35">
      <c r="A747" s="59">
        <v>46201</v>
      </c>
      <c r="B747" s="15">
        <f t="shared" si="170"/>
        <v>0.95833333333333293</v>
      </c>
      <c r="C747" s="16"/>
      <c r="D747" s="16"/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 x14ac:dyDescent="0.35">
      <c r="A748" s="58">
        <v>46201</v>
      </c>
      <c r="B748" s="9">
        <f t="shared" si="170"/>
        <v>0.99999999999999956</v>
      </c>
      <c r="C748" s="10"/>
      <c r="D748" s="10"/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 x14ac:dyDescent="0.35">
      <c r="A749" s="59">
        <v>46201</v>
      </c>
      <c r="B749" s="15">
        <f t="shared" si="170"/>
        <v>1.0416666666666663</v>
      </c>
      <c r="C749" s="16"/>
      <c r="D749" s="16"/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 x14ac:dyDescent="0.35">
      <c r="A750" s="58">
        <v>46201</v>
      </c>
      <c r="B750" s="9">
        <f t="shared" si="170"/>
        <v>1.083333333333333</v>
      </c>
      <c r="C750" s="10"/>
      <c r="D750" s="10"/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 x14ac:dyDescent="0.35">
      <c r="A751" s="59">
        <v>46201</v>
      </c>
      <c r="B751" s="15">
        <f t="shared" si="170"/>
        <v>1.1249999999999998</v>
      </c>
      <c r="C751" s="16"/>
      <c r="D751" s="16"/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 x14ac:dyDescent="0.35">
      <c r="A752" s="58">
        <v>46201</v>
      </c>
      <c r="B752" s="9">
        <f t="shared" si="170"/>
        <v>1.1666666666666665</v>
      </c>
      <c r="C752" s="10"/>
      <c r="D752" s="10"/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 x14ac:dyDescent="0.35">
      <c r="A753" s="59">
        <v>46201</v>
      </c>
      <c r="B753" s="15">
        <f t="shared" si="170"/>
        <v>1.2083333333333333</v>
      </c>
      <c r="C753" s="16"/>
      <c r="D753" s="16"/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 x14ac:dyDescent="0.35">
      <c r="A754" s="58">
        <v>46201</v>
      </c>
      <c r="B754" s="9">
        <f t="shared" si="170"/>
        <v>1.25</v>
      </c>
      <c r="C754" s="10"/>
      <c r="D754" s="10"/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 x14ac:dyDescent="0.35">
      <c r="A755" s="59">
        <v>46201</v>
      </c>
      <c r="B755" s="15">
        <f t="shared" si="170"/>
        <v>1.2916666666666667</v>
      </c>
      <c r="C755" s="16"/>
      <c r="D755" s="16"/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 x14ac:dyDescent="0.35">
      <c r="A756" s="108" t="s">
        <v>187</v>
      </c>
      <c r="B756" s="108"/>
      <c r="C756" s="108"/>
      <c r="D756" s="108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186</v>
      </c>
      <c r="N756" s="20"/>
    </row>
    <row r="757" spans="1:14" ht="18" customHeight="1" x14ac:dyDescent="0.35">
      <c r="A757" s="98" t="s">
        <v>188</v>
      </c>
      <c r="B757" s="98"/>
      <c r="C757" s="98"/>
      <c r="D757" s="98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189</v>
      </c>
      <c r="N757" s="31">
        <f>IFERROR(N743+N756,"")</f>
        <v>0</v>
      </c>
    </row>
    <row r="758" spans="1:14" ht="15" customHeight="1" x14ac:dyDescent="0.35">
      <c r="A758" s="58">
        <v>46202</v>
      </c>
      <c r="B758" s="9">
        <v>0.33333333333333331</v>
      </c>
      <c r="C758" s="10"/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 x14ac:dyDescent="0.35">
      <c r="A759" s="59">
        <v>46202</v>
      </c>
      <c r="B759" s="15">
        <f t="shared" ref="B759:B769" si="173">B758+TIME(0,60,0)</f>
        <v>0.375</v>
      </c>
      <c r="C759" s="16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 x14ac:dyDescent="0.35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 x14ac:dyDescent="0.35">
      <c r="A761" s="59">
        <v>46202</v>
      </c>
      <c r="B761" s="15">
        <f t="shared" si="173"/>
        <v>0.45833333333333337</v>
      </c>
      <c r="C761" s="16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 x14ac:dyDescent="0.35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 x14ac:dyDescent="0.35">
      <c r="A763" s="59">
        <v>46202</v>
      </c>
      <c r="B763" s="15">
        <f t="shared" si="173"/>
        <v>0.54166666666666663</v>
      </c>
      <c r="C763" s="16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 x14ac:dyDescent="0.35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 x14ac:dyDescent="0.35">
      <c r="A765" s="59">
        <v>46202</v>
      </c>
      <c r="B765" s="15">
        <f>B764+TIME(0,60,0)</f>
        <v>0.62499999999999989</v>
      </c>
      <c r="C765" s="16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 x14ac:dyDescent="0.35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 x14ac:dyDescent="0.35">
      <c r="A767" s="59">
        <v>46202</v>
      </c>
      <c r="B767" s="15">
        <f t="shared" si="173"/>
        <v>0.70833333333333315</v>
      </c>
      <c r="C767" s="16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 x14ac:dyDescent="0.35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 x14ac:dyDescent="0.35">
      <c r="A769" s="59">
        <v>46202</v>
      </c>
      <c r="B769" s="15">
        <f t="shared" si="173"/>
        <v>0.79166666666666641</v>
      </c>
      <c r="C769" s="16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 x14ac:dyDescent="0.35">
      <c r="A770" s="108" t="s">
        <v>185</v>
      </c>
      <c r="B770" s="108"/>
      <c r="C770" s="108"/>
      <c r="D770" s="108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186</v>
      </c>
      <c r="N770" s="20"/>
    </row>
    <row r="771" spans="1:14" ht="15" customHeight="1" x14ac:dyDescent="0.35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 x14ac:dyDescent="0.35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 x14ac:dyDescent="0.35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 x14ac:dyDescent="0.35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 x14ac:dyDescent="0.35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 x14ac:dyDescent="0.35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 x14ac:dyDescent="0.35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 x14ac:dyDescent="0.35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 x14ac:dyDescent="0.35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 x14ac:dyDescent="0.35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 x14ac:dyDescent="0.35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 x14ac:dyDescent="0.35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 x14ac:dyDescent="0.35">
      <c r="A783" s="108" t="s">
        <v>187</v>
      </c>
      <c r="B783" s="108"/>
      <c r="C783" s="108"/>
      <c r="D783" s="10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186</v>
      </c>
      <c r="N783" s="20"/>
    </row>
    <row r="784" spans="1:14" ht="18" customHeight="1" x14ac:dyDescent="0.35">
      <c r="A784" s="98" t="s">
        <v>188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189</v>
      </c>
      <c r="N784" s="31">
        <f>IFERROR(N770+N783,"")</f>
        <v>0</v>
      </c>
    </row>
    <row r="785" spans="1:14" ht="15" customHeight="1" x14ac:dyDescent="0.35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 x14ac:dyDescent="0.35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 x14ac:dyDescent="0.35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 x14ac:dyDescent="0.35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 x14ac:dyDescent="0.35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 x14ac:dyDescent="0.35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 x14ac:dyDescent="0.35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 x14ac:dyDescent="0.35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 x14ac:dyDescent="0.35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 x14ac:dyDescent="0.35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 x14ac:dyDescent="0.35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 x14ac:dyDescent="0.35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 x14ac:dyDescent="0.35">
      <c r="A797" s="108" t="s">
        <v>185</v>
      </c>
      <c r="B797" s="108"/>
      <c r="C797" s="108"/>
      <c r="D797" s="10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186</v>
      </c>
      <c r="N797" s="20"/>
    </row>
    <row r="798" spans="1:14" ht="15" customHeight="1" x14ac:dyDescent="0.35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 x14ac:dyDescent="0.35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 x14ac:dyDescent="0.35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 x14ac:dyDescent="0.35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 x14ac:dyDescent="0.35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 x14ac:dyDescent="0.35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 x14ac:dyDescent="0.35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 x14ac:dyDescent="0.35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 x14ac:dyDescent="0.35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 x14ac:dyDescent="0.35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 x14ac:dyDescent="0.35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 x14ac:dyDescent="0.35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 x14ac:dyDescent="0.35">
      <c r="A810" s="108" t="s">
        <v>187</v>
      </c>
      <c r="B810" s="108"/>
      <c r="C810" s="108"/>
      <c r="D810" s="10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186</v>
      </c>
      <c r="N810" s="20"/>
    </row>
    <row r="811" spans="1:14" ht="18" customHeight="1" x14ac:dyDescent="0.35">
      <c r="A811" s="98" t="s">
        <v>188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189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D2:D900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O811"/>
  <sheetViews>
    <sheetView showGridLines="0" topLeftCell="G1" zoomScale="85" zoomScaleNormal="85" workbookViewId="0">
      <pane ySplit="1" topLeftCell="A701" activePane="bottomLeft" state="frozen"/>
      <selection pane="bottomLeft" activeCell="N729" sqref="N729"/>
    </sheetView>
  </sheetViews>
  <sheetFormatPr defaultColWidth="8.54296875" defaultRowHeight="14.5" x14ac:dyDescent="0.35"/>
  <cols>
    <col min="1" max="1" width="13" style="61" customWidth="1"/>
    <col min="2" max="2" width="9" style="7" customWidth="1"/>
    <col min="3" max="3" width="14" style="7" customWidth="1"/>
    <col min="4" max="4" width="16.1796875" style="7" customWidth="1"/>
    <col min="5" max="5" width="13" style="7" customWidth="1"/>
    <col min="6" max="6" width="14" style="7" customWidth="1"/>
    <col min="7" max="7" width="29.453125" style="7" customWidth="1"/>
    <col min="8" max="8" width="25" style="7" customWidth="1"/>
    <col min="9" max="9" width="48.54296875" style="7" customWidth="1"/>
    <col min="10" max="10" width="15.453125" style="7" customWidth="1"/>
    <col min="11" max="11" width="12" style="7" customWidth="1"/>
    <col min="12" max="12" width="14" style="74" customWidth="1"/>
    <col min="13" max="13" width="99.453125" style="7" customWidth="1"/>
    <col min="14" max="14" width="20" style="7" customWidth="1"/>
  </cols>
  <sheetData>
    <row r="1" spans="1:14" ht="37.5" customHeight="1" x14ac:dyDescent="0.35">
      <c r="A1" s="57" t="s">
        <v>7</v>
      </c>
      <c r="B1" s="8" t="s">
        <v>175</v>
      </c>
      <c r="C1" s="8" t="s">
        <v>12</v>
      </c>
      <c r="D1" s="8" t="s">
        <v>13</v>
      </c>
      <c r="E1" s="8" t="s">
        <v>176</v>
      </c>
      <c r="F1" s="8" t="s">
        <v>223</v>
      </c>
      <c r="G1" s="8" t="s">
        <v>14</v>
      </c>
      <c r="H1" s="8" t="s">
        <v>15</v>
      </c>
      <c r="I1" s="8" t="s">
        <v>178</v>
      </c>
      <c r="J1" s="8" t="s">
        <v>179</v>
      </c>
      <c r="K1" s="8" t="s">
        <v>180</v>
      </c>
      <c r="L1" s="69" t="s">
        <v>181</v>
      </c>
      <c r="M1" s="8" t="s">
        <v>182</v>
      </c>
      <c r="N1" s="8" t="s">
        <v>183</v>
      </c>
    </row>
    <row r="2" spans="1:14" ht="15" customHeight="1" x14ac:dyDescent="0.35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 x14ac:dyDescent="0.35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 x14ac:dyDescent="0.35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 x14ac:dyDescent="0.35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 x14ac:dyDescent="0.35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 x14ac:dyDescent="0.35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 x14ac:dyDescent="0.35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133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 x14ac:dyDescent="0.35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 x14ac:dyDescent="0.35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 x14ac:dyDescent="0.35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 x14ac:dyDescent="0.35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 x14ac:dyDescent="0.35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121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 x14ac:dyDescent="0.35">
      <c r="A14" s="101" t="s">
        <v>185</v>
      </c>
      <c r="B14" s="101"/>
      <c r="C14" s="101"/>
      <c r="D14" s="101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186</v>
      </c>
      <c r="N14" s="20">
        <v>722660</v>
      </c>
    </row>
    <row r="15" spans="1:14" ht="15" customHeight="1" x14ac:dyDescent="0.35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 x14ac:dyDescent="0.35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 x14ac:dyDescent="0.35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 x14ac:dyDescent="0.35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 x14ac:dyDescent="0.35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 x14ac:dyDescent="0.35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120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 x14ac:dyDescent="0.35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 x14ac:dyDescent="0.35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 x14ac:dyDescent="0.35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 x14ac:dyDescent="0.35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 x14ac:dyDescent="0.35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 x14ac:dyDescent="0.35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 x14ac:dyDescent="0.35">
      <c r="A27" s="101" t="s">
        <v>187</v>
      </c>
      <c r="B27" s="101"/>
      <c r="C27" s="101"/>
      <c r="D27" s="101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186</v>
      </c>
      <c r="N27" s="20">
        <v>1035240</v>
      </c>
    </row>
    <row r="28" spans="1:14" ht="18" customHeight="1" x14ac:dyDescent="0.35">
      <c r="A28" s="98" t="s">
        <v>188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189</v>
      </c>
      <c r="N28" s="23">
        <f>IFERROR(N14+N27,"")</f>
        <v>1757900</v>
      </c>
    </row>
    <row r="29" spans="1:14" ht="15" customHeight="1" x14ac:dyDescent="0.35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 x14ac:dyDescent="0.35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 x14ac:dyDescent="0.35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 x14ac:dyDescent="0.35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 x14ac:dyDescent="0.35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 x14ac:dyDescent="0.35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 x14ac:dyDescent="0.35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 x14ac:dyDescent="0.35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 x14ac:dyDescent="0.35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 x14ac:dyDescent="0.35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224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 x14ac:dyDescent="0.35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 x14ac:dyDescent="0.35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 x14ac:dyDescent="0.35">
      <c r="A41" s="101" t="s">
        <v>185</v>
      </c>
      <c r="B41" s="101"/>
      <c r="C41" s="101"/>
      <c r="D41" s="101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186</v>
      </c>
      <c r="N41" s="20">
        <v>395980</v>
      </c>
    </row>
    <row r="42" spans="1:14" ht="15" customHeight="1" x14ac:dyDescent="0.35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 x14ac:dyDescent="0.35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116</v>
      </c>
      <c r="I43" s="16" t="s">
        <v>102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 x14ac:dyDescent="0.35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 x14ac:dyDescent="0.35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 x14ac:dyDescent="0.35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 x14ac:dyDescent="0.35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 x14ac:dyDescent="0.35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 x14ac:dyDescent="0.35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 x14ac:dyDescent="0.35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 x14ac:dyDescent="0.35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 x14ac:dyDescent="0.35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 x14ac:dyDescent="0.35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 x14ac:dyDescent="0.35">
      <c r="A54" s="101" t="s">
        <v>187</v>
      </c>
      <c r="B54" s="101"/>
      <c r="C54" s="101"/>
      <c r="D54" s="101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186</v>
      </c>
      <c r="N54" s="20">
        <v>871960</v>
      </c>
    </row>
    <row r="55" spans="1:14" ht="18" customHeight="1" x14ac:dyDescent="0.35">
      <c r="A55" s="98" t="s">
        <v>188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189</v>
      </c>
      <c r="N55" s="23">
        <f>IFERROR(N41+N54,"")</f>
        <v>1267940</v>
      </c>
    </row>
    <row r="56" spans="1:14" ht="15" customHeight="1" x14ac:dyDescent="0.35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 x14ac:dyDescent="0.35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 x14ac:dyDescent="0.35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 x14ac:dyDescent="0.35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 x14ac:dyDescent="0.35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 x14ac:dyDescent="0.35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 x14ac:dyDescent="0.35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113</v>
      </c>
      <c r="I62" s="10" t="s">
        <v>225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 x14ac:dyDescent="0.35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 x14ac:dyDescent="0.35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134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 x14ac:dyDescent="0.35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 x14ac:dyDescent="0.35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 x14ac:dyDescent="0.35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 x14ac:dyDescent="0.35">
      <c r="A68" s="101" t="s">
        <v>185</v>
      </c>
      <c r="B68" s="101"/>
      <c r="C68" s="101"/>
      <c r="D68" s="101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186</v>
      </c>
      <c r="N68" s="20">
        <v>437960</v>
      </c>
    </row>
    <row r="69" spans="1:14" ht="15" customHeight="1" x14ac:dyDescent="0.35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 x14ac:dyDescent="0.35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 x14ac:dyDescent="0.35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147</v>
      </c>
      <c r="I71" s="16" t="s">
        <v>226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 x14ac:dyDescent="0.35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 x14ac:dyDescent="0.35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 x14ac:dyDescent="0.35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145</v>
      </c>
      <c r="I74" s="10" t="s">
        <v>112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 x14ac:dyDescent="0.35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 x14ac:dyDescent="0.35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 x14ac:dyDescent="0.35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 x14ac:dyDescent="0.35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 x14ac:dyDescent="0.35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 x14ac:dyDescent="0.35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 x14ac:dyDescent="0.35">
      <c r="A81" s="101" t="s">
        <v>187</v>
      </c>
      <c r="B81" s="101"/>
      <c r="C81" s="101"/>
      <c r="D81" s="101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186</v>
      </c>
      <c r="N81" s="20">
        <v>482250</v>
      </c>
    </row>
    <row r="82" spans="1:14" ht="18" customHeight="1" x14ac:dyDescent="0.35">
      <c r="A82" s="98" t="s">
        <v>188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189</v>
      </c>
      <c r="N82" s="23">
        <f>IFERROR(N68+N81,"")</f>
        <v>920210</v>
      </c>
    </row>
    <row r="83" spans="1:14" ht="15" customHeight="1" x14ac:dyDescent="0.35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227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 x14ac:dyDescent="0.35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 x14ac:dyDescent="0.35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147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 x14ac:dyDescent="0.35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 x14ac:dyDescent="0.35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 x14ac:dyDescent="0.35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 x14ac:dyDescent="0.35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 x14ac:dyDescent="0.35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 x14ac:dyDescent="0.35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 x14ac:dyDescent="0.35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 x14ac:dyDescent="0.35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 x14ac:dyDescent="0.35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 x14ac:dyDescent="0.35">
      <c r="A95" s="101" t="s">
        <v>185</v>
      </c>
      <c r="B95" s="101"/>
      <c r="C95" s="101"/>
      <c r="D95" s="101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186</v>
      </c>
      <c r="N95" s="20">
        <v>301520</v>
      </c>
    </row>
    <row r="96" spans="1:14" ht="15" customHeight="1" x14ac:dyDescent="0.35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228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 x14ac:dyDescent="0.35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124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 x14ac:dyDescent="0.35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 x14ac:dyDescent="0.35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 x14ac:dyDescent="0.35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 x14ac:dyDescent="0.35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 x14ac:dyDescent="0.35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 x14ac:dyDescent="0.35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 x14ac:dyDescent="0.35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 x14ac:dyDescent="0.35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 x14ac:dyDescent="0.35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 x14ac:dyDescent="0.35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 x14ac:dyDescent="0.35">
      <c r="A108" s="101" t="s">
        <v>187</v>
      </c>
      <c r="B108" s="101"/>
      <c r="C108" s="101"/>
      <c r="D108" s="101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186</v>
      </c>
      <c r="N108" s="20">
        <v>529500</v>
      </c>
    </row>
    <row r="109" spans="1:14" ht="18" customHeight="1" x14ac:dyDescent="0.35">
      <c r="A109" s="98" t="s">
        <v>188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189</v>
      </c>
      <c r="N109" s="23">
        <f>IFERROR(N95+N108,"")</f>
        <v>831020</v>
      </c>
    </row>
    <row r="110" spans="1:14" ht="15" customHeight="1" x14ac:dyDescent="0.35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 x14ac:dyDescent="0.35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228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 x14ac:dyDescent="0.35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228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 x14ac:dyDescent="0.35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 x14ac:dyDescent="0.35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 x14ac:dyDescent="0.35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 x14ac:dyDescent="0.35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 x14ac:dyDescent="0.35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 x14ac:dyDescent="0.35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 x14ac:dyDescent="0.35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 x14ac:dyDescent="0.35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 x14ac:dyDescent="0.35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 x14ac:dyDescent="0.35">
      <c r="A122" s="101" t="s">
        <v>185</v>
      </c>
      <c r="B122" s="101"/>
      <c r="C122" s="101"/>
      <c r="D122" s="101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186</v>
      </c>
      <c r="N122" s="20">
        <v>619340</v>
      </c>
    </row>
    <row r="123" spans="1:14" ht="15" customHeight="1" x14ac:dyDescent="0.35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 x14ac:dyDescent="0.35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228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 x14ac:dyDescent="0.35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229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 x14ac:dyDescent="0.35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 x14ac:dyDescent="0.35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 x14ac:dyDescent="0.35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 x14ac:dyDescent="0.35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 x14ac:dyDescent="0.35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 x14ac:dyDescent="0.35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 x14ac:dyDescent="0.35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 x14ac:dyDescent="0.35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 x14ac:dyDescent="0.35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 x14ac:dyDescent="0.35">
      <c r="A135" s="101" t="s">
        <v>187</v>
      </c>
      <c r="B135" s="101"/>
      <c r="C135" s="101"/>
      <c r="D135" s="101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186</v>
      </c>
      <c r="N135" s="20">
        <v>666150</v>
      </c>
    </row>
    <row r="136" spans="1:14" ht="18" customHeight="1" x14ac:dyDescent="0.35">
      <c r="A136" s="98" t="s">
        <v>188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189</v>
      </c>
      <c r="N136" s="23">
        <f>IFERROR(N122+N135,"")</f>
        <v>1285490</v>
      </c>
    </row>
    <row r="137" spans="1:14" ht="15" customHeight="1" x14ac:dyDescent="0.35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114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 x14ac:dyDescent="0.35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227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 x14ac:dyDescent="0.35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230</v>
      </c>
      <c r="I139" s="16" t="s">
        <v>231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 x14ac:dyDescent="0.35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228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 x14ac:dyDescent="0.35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116</v>
      </c>
      <c r="I141" s="16" t="s">
        <v>106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 x14ac:dyDescent="0.35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133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 x14ac:dyDescent="0.35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 x14ac:dyDescent="0.35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 x14ac:dyDescent="0.35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 x14ac:dyDescent="0.35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 x14ac:dyDescent="0.35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 x14ac:dyDescent="0.35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 x14ac:dyDescent="0.5">
      <c r="A149" s="101" t="s">
        <v>185</v>
      </c>
      <c r="B149" s="101"/>
      <c r="C149" s="101"/>
      <c r="D149" s="101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186</v>
      </c>
      <c r="N149" s="35">
        <v>673310</v>
      </c>
    </row>
    <row r="150" spans="1:14" ht="15" customHeight="1" x14ac:dyDescent="0.35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133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 x14ac:dyDescent="0.35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 x14ac:dyDescent="0.35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 x14ac:dyDescent="0.35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 x14ac:dyDescent="0.35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 x14ac:dyDescent="0.35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 x14ac:dyDescent="0.35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 x14ac:dyDescent="0.35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 x14ac:dyDescent="0.35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 x14ac:dyDescent="0.35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 x14ac:dyDescent="0.35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 x14ac:dyDescent="0.35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 x14ac:dyDescent="0.5">
      <c r="A162" s="101" t="s">
        <v>187</v>
      </c>
      <c r="B162" s="101"/>
      <c r="C162" s="101"/>
      <c r="D162" s="101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186</v>
      </c>
      <c r="N162" s="35">
        <v>183240</v>
      </c>
    </row>
    <row r="163" spans="1:14" ht="18" customHeight="1" x14ac:dyDescent="0.35">
      <c r="A163" s="98" t="s">
        <v>188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189</v>
      </c>
      <c r="N163" s="23">
        <f>IFERROR(N149+N162,"")</f>
        <v>856550</v>
      </c>
    </row>
    <row r="164" spans="1:14" ht="15" customHeight="1" x14ac:dyDescent="0.35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 x14ac:dyDescent="0.35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 x14ac:dyDescent="0.35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 x14ac:dyDescent="0.35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 x14ac:dyDescent="0.35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 x14ac:dyDescent="0.35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 x14ac:dyDescent="0.35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 x14ac:dyDescent="0.35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 x14ac:dyDescent="0.35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 x14ac:dyDescent="0.35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 x14ac:dyDescent="0.35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 x14ac:dyDescent="0.35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 x14ac:dyDescent="0.35">
      <c r="A176" s="101" t="s">
        <v>185</v>
      </c>
      <c r="B176" s="101"/>
      <c r="C176" s="101"/>
      <c r="D176" s="101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186</v>
      </c>
      <c r="N176" s="20">
        <v>0</v>
      </c>
    </row>
    <row r="177" spans="1:14" ht="15" customHeight="1" x14ac:dyDescent="0.35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 x14ac:dyDescent="0.35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 x14ac:dyDescent="0.35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 x14ac:dyDescent="0.35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 x14ac:dyDescent="0.35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116</v>
      </c>
      <c r="I181" s="16" t="s">
        <v>232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 x14ac:dyDescent="0.35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116</v>
      </c>
      <c r="I182" s="10" t="s">
        <v>232</v>
      </c>
      <c r="J182" s="13"/>
      <c r="K182" s="13"/>
      <c r="L182" s="70" t="str">
        <f t="shared" si="40"/>
        <v/>
      </c>
      <c r="M182" s="29"/>
      <c r="N182" s="14"/>
    </row>
    <row r="183" spans="1:14" ht="15" customHeight="1" x14ac:dyDescent="0.35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116</v>
      </c>
      <c r="I183" s="16" t="s">
        <v>232</v>
      </c>
      <c r="J183" s="13"/>
      <c r="K183" s="13"/>
      <c r="L183" s="71" t="str">
        <f t="shared" si="40"/>
        <v/>
      </c>
      <c r="M183" s="29"/>
      <c r="N183" s="14"/>
    </row>
    <row r="184" spans="1:14" ht="15" customHeight="1" x14ac:dyDescent="0.35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116</v>
      </c>
      <c r="I184" s="10" t="s">
        <v>232</v>
      </c>
      <c r="J184" s="13"/>
      <c r="K184" s="13"/>
      <c r="L184" s="70" t="str">
        <f t="shared" si="40"/>
        <v/>
      </c>
      <c r="M184" s="29"/>
      <c r="N184" s="14"/>
    </row>
    <row r="185" spans="1:14" ht="15" customHeight="1" x14ac:dyDescent="0.35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116</v>
      </c>
      <c r="I185" s="16" t="s">
        <v>232</v>
      </c>
      <c r="J185" s="13"/>
      <c r="K185" s="13"/>
      <c r="L185" s="71" t="str">
        <f t="shared" si="40"/>
        <v/>
      </c>
      <c r="M185" s="29"/>
      <c r="N185" s="14"/>
    </row>
    <row r="186" spans="1:14" ht="15" customHeight="1" x14ac:dyDescent="0.35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116</v>
      </c>
      <c r="I186" s="10" t="s">
        <v>232</v>
      </c>
      <c r="J186" s="13"/>
      <c r="K186" s="13"/>
      <c r="L186" s="70" t="str">
        <f t="shared" si="40"/>
        <v/>
      </c>
      <c r="M186" s="29"/>
      <c r="N186" s="14"/>
    </row>
    <row r="187" spans="1:14" ht="15" customHeight="1" x14ac:dyDescent="0.35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116</v>
      </c>
      <c r="I187" s="16" t="s">
        <v>232</v>
      </c>
      <c r="J187" s="13"/>
      <c r="K187" s="13"/>
      <c r="L187" s="71" t="str">
        <f t="shared" si="40"/>
        <v/>
      </c>
      <c r="M187" s="29"/>
      <c r="N187" s="14"/>
    </row>
    <row r="188" spans="1:14" ht="15" customHeight="1" x14ac:dyDescent="0.35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116</v>
      </c>
      <c r="I188" s="10" t="s">
        <v>232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 x14ac:dyDescent="0.35">
      <c r="A189" s="101" t="s">
        <v>187</v>
      </c>
      <c r="B189" s="101"/>
      <c r="C189" s="101"/>
      <c r="D189" s="101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186</v>
      </c>
      <c r="N189" s="20">
        <v>0</v>
      </c>
    </row>
    <row r="190" spans="1:14" ht="18" customHeight="1" x14ac:dyDescent="0.35">
      <c r="A190" s="98" t="s">
        <v>188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189</v>
      </c>
      <c r="N190" s="23">
        <f>IFERROR(N176+N189,"")</f>
        <v>0</v>
      </c>
    </row>
    <row r="191" spans="1:14" ht="15" customHeight="1" x14ac:dyDescent="0.35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116</v>
      </c>
      <c r="I191" s="10" t="s">
        <v>232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 x14ac:dyDescent="0.35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133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 x14ac:dyDescent="0.35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133</v>
      </c>
      <c r="I193" s="10" t="s">
        <v>233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 x14ac:dyDescent="0.35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 x14ac:dyDescent="0.35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 x14ac:dyDescent="0.35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 x14ac:dyDescent="0.35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 x14ac:dyDescent="0.35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 x14ac:dyDescent="0.35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 x14ac:dyDescent="0.35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 x14ac:dyDescent="0.35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 x14ac:dyDescent="0.35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 x14ac:dyDescent="0.35">
      <c r="A203" s="101" t="s">
        <v>185</v>
      </c>
      <c r="B203" s="101"/>
      <c r="C203" s="101"/>
      <c r="D203" s="101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186</v>
      </c>
      <c r="N203" s="28">
        <v>146310</v>
      </c>
    </row>
    <row r="204" spans="1:14" ht="15" customHeight="1" x14ac:dyDescent="0.35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 x14ac:dyDescent="0.35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 x14ac:dyDescent="0.35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 x14ac:dyDescent="0.35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 x14ac:dyDescent="0.35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 x14ac:dyDescent="0.35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 x14ac:dyDescent="0.35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 x14ac:dyDescent="0.35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 x14ac:dyDescent="0.35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 x14ac:dyDescent="0.35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 x14ac:dyDescent="0.35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 x14ac:dyDescent="0.35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 x14ac:dyDescent="0.35">
      <c r="A216" s="101" t="s">
        <v>187</v>
      </c>
      <c r="B216" s="101"/>
      <c r="C216" s="101"/>
      <c r="D216" s="101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186</v>
      </c>
      <c r="N216" s="28">
        <v>525070</v>
      </c>
    </row>
    <row r="217" spans="1:14" ht="18" customHeight="1" x14ac:dyDescent="0.35">
      <c r="A217" s="98" t="s">
        <v>188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189</v>
      </c>
      <c r="N217" s="31">
        <f>IFERROR(N203+N216,"")</f>
        <v>671380</v>
      </c>
    </row>
    <row r="218" spans="1:14" ht="15" customHeight="1" x14ac:dyDescent="0.35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124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 x14ac:dyDescent="0.35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133</v>
      </c>
      <c r="I219" s="16" t="s">
        <v>140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 x14ac:dyDescent="0.35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234</v>
      </c>
      <c r="N220" s="30"/>
    </row>
    <row r="221" spans="1:14" ht="15" customHeight="1" x14ac:dyDescent="0.35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121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 x14ac:dyDescent="0.35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 x14ac:dyDescent="0.35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 x14ac:dyDescent="0.35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 x14ac:dyDescent="0.35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 x14ac:dyDescent="0.35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 x14ac:dyDescent="0.35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 x14ac:dyDescent="0.35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 x14ac:dyDescent="0.35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 x14ac:dyDescent="0.35">
      <c r="A230" s="101" t="s">
        <v>185</v>
      </c>
      <c r="B230" s="101"/>
      <c r="C230" s="101"/>
      <c r="D230" s="101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186</v>
      </c>
      <c r="N230" s="20">
        <v>413290</v>
      </c>
    </row>
    <row r="231" spans="1:14" ht="15" customHeight="1" x14ac:dyDescent="0.35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 x14ac:dyDescent="0.35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 x14ac:dyDescent="0.35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 x14ac:dyDescent="0.35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 x14ac:dyDescent="0.35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 x14ac:dyDescent="0.35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 x14ac:dyDescent="0.35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 x14ac:dyDescent="0.35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 x14ac:dyDescent="0.35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 x14ac:dyDescent="0.35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 x14ac:dyDescent="0.35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 x14ac:dyDescent="0.35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 x14ac:dyDescent="0.35">
      <c r="A243" s="101" t="s">
        <v>187</v>
      </c>
      <c r="B243" s="101"/>
      <c r="C243" s="101"/>
      <c r="D243" s="101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186</v>
      </c>
      <c r="N243" s="20">
        <v>244000</v>
      </c>
    </row>
    <row r="244" spans="1:14" ht="18" customHeight="1" x14ac:dyDescent="0.35">
      <c r="A244" s="98" t="s">
        <v>188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189</v>
      </c>
      <c r="N244" s="31">
        <f>IFERROR(N230+N243,"")</f>
        <v>657290</v>
      </c>
    </row>
    <row r="245" spans="1:14" ht="15" customHeight="1" x14ac:dyDescent="0.35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 x14ac:dyDescent="0.35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149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235</v>
      </c>
      <c r="N246" s="30"/>
    </row>
    <row r="247" spans="1:14" ht="15" customHeight="1" x14ac:dyDescent="0.35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236</v>
      </c>
      <c r="N247" s="30"/>
    </row>
    <row r="248" spans="1:14" ht="15" customHeight="1" x14ac:dyDescent="0.35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 x14ac:dyDescent="0.35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 x14ac:dyDescent="0.35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 x14ac:dyDescent="0.35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 x14ac:dyDescent="0.35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 x14ac:dyDescent="0.35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 x14ac:dyDescent="0.35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 x14ac:dyDescent="0.35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 x14ac:dyDescent="0.35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 x14ac:dyDescent="0.35">
      <c r="A257" s="101" t="s">
        <v>185</v>
      </c>
      <c r="B257" s="101"/>
      <c r="C257" s="101"/>
      <c r="D257" s="101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186</v>
      </c>
      <c r="N257" s="20">
        <v>399590</v>
      </c>
    </row>
    <row r="258" spans="1:14" ht="15" customHeight="1" x14ac:dyDescent="0.35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124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237</v>
      </c>
      <c r="N258" s="30"/>
    </row>
    <row r="259" spans="1:14" ht="15" customHeight="1" x14ac:dyDescent="0.35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133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 x14ac:dyDescent="0.35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 x14ac:dyDescent="0.35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 x14ac:dyDescent="0.35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 x14ac:dyDescent="0.35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 x14ac:dyDescent="0.35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 x14ac:dyDescent="0.35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 x14ac:dyDescent="0.35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 x14ac:dyDescent="0.35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 x14ac:dyDescent="0.35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 x14ac:dyDescent="0.35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 x14ac:dyDescent="0.35">
      <c r="A270" s="101" t="s">
        <v>187</v>
      </c>
      <c r="B270" s="101"/>
      <c r="C270" s="101"/>
      <c r="D270" s="101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186</v>
      </c>
      <c r="N270" s="20">
        <v>8130</v>
      </c>
    </row>
    <row r="271" spans="1:14" ht="18" customHeight="1" x14ac:dyDescent="0.35">
      <c r="A271" s="98" t="s">
        <v>188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189</v>
      </c>
      <c r="N271" s="31">
        <f>IFERROR(N257+N270,"")</f>
        <v>407720</v>
      </c>
    </row>
    <row r="272" spans="1:14" ht="15" customHeight="1" x14ac:dyDescent="0.35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 x14ac:dyDescent="0.35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 x14ac:dyDescent="0.35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238</v>
      </c>
      <c r="N274" s="30"/>
    </row>
    <row r="275" spans="1:14" ht="15" customHeight="1" x14ac:dyDescent="0.35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 x14ac:dyDescent="0.35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 x14ac:dyDescent="0.35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 x14ac:dyDescent="0.35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 x14ac:dyDescent="0.35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 x14ac:dyDescent="0.35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 x14ac:dyDescent="0.35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 x14ac:dyDescent="0.35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 x14ac:dyDescent="0.35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 x14ac:dyDescent="0.35">
      <c r="A284" s="101" t="s">
        <v>185</v>
      </c>
      <c r="B284" s="101"/>
      <c r="C284" s="101"/>
      <c r="D284" s="101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186</v>
      </c>
      <c r="N284" s="20">
        <v>329950</v>
      </c>
    </row>
    <row r="285" spans="1:14" ht="15" customHeight="1" x14ac:dyDescent="0.35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 x14ac:dyDescent="0.35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 x14ac:dyDescent="0.35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 x14ac:dyDescent="0.35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 x14ac:dyDescent="0.35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 x14ac:dyDescent="0.35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 x14ac:dyDescent="0.35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 x14ac:dyDescent="0.35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 x14ac:dyDescent="0.35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 x14ac:dyDescent="0.35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 x14ac:dyDescent="0.35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 x14ac:dyDescent="0.35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 x14ac:dyDescent="0.35">
      <c r="A297" s="101" t="s">
        <v>187</v>
      </c>
      <c r="B297" s="101"/>
      <c r="C297" s="101"/>
      <c r="D297" s="101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186</v>
      </c>
      <c r="N297" s="20">
        <f>229280+228660</f>
        <v>457940</v>
      </c>
    </row>
    <row r="298" spans="1:14" ht="18" customHeight="1" x14ac:dyDescent="0.35">
      <c r="A298" s="98" t="s">
        <v>188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189</v>
      </c>
      <c r="N298" s="31">
        <f>IFERROR(N284+N297,"")</f>
        <v>787890</v>
      </c>
    </row>
    <row r="299" spans="1:14" ht="15" customHeight="1" x14ac:dyDescent="0.35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239</v>
      </c>
      <c r="N299" s="30"/>
    </row>
    <row r="300" spans="1:14" ht="15" customHeight="1" x14ac:dyDescent="0.35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240</v>
      </c>
      <c r="N300" s="30"/>
    </row>
    <row r="301" spans="1:14" ht="15" customHeight="1" x14ac:dyDescent="0.35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240</v>
      </c>
      <c r="N301" s="30"/>
    </row>
    <row r="302" spans="1:14" ht="15" customHeight="1" x14ac:dyDescent="0.35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241</v>
      </c>
      <c r="N302" s="30"/>
    </row>
    <row r="303" spans="1:14" ht="15" customHeight="1" x14ac:dyDescent="0.35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 x14ac:dyDescent="0.35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 x14ac:dyDescent="0.35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 x14ac:dyDescent="0.35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 x14ac:dyDescent="0.35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 x14ac:dyDescent="0.35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 x14ac:dyDescent="0.35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 x14ac:dyDescent="0.35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 x14ac:dyDescent="0.35">
      <c r="A311" s="101" t="s">
        <v>185</v>
      </c>
      <c r="B311" s="101"/>
      <c r="C311" s="101"/>
      <c r="D311" s="101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186</v>
      </c>
      <c r="N311" s="20">
        <v>340420</v>
      </c>
    </row>
    <row r="312" spans="1:14" ht="15" customHeight="1" x14ac:dyDescent="0.35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 x14ac:dyDescent="0.35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 x14ac:dyDescent="0.35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 x14ac:dyDescent="0.35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 x14ac:dyDescent="0.35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 x14ac:dyDescent="0.35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 x14ac:dyDescent="0.35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 x14ac:dyDescent="0.35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242</v>
      </c>
      <c r="N319" s="30"/>
    </row>
    <row r="320" spans="1:14" ht="15" customHeight="1" x14ac:dyDescent="0.35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243</v>
      </c>
      <c r="N320" s="30"/>
    </row>
    <row r="321" spans="1:14" ht="15" customHeight="1" x14ac:dyDescent="0.35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244</v>
      </c>
      <c r="N321" s="30"/>
    </row>
    <row r="322" spans="1:14" ht="15" customHeight="1" x14ac:dyDescent="0.35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245</v>
      </c>
      <c r="N322" s="30"/>
    </row>
    <row r="323" spans="1:14" ht="15" customHeight="1" x14ac:dyDescent="0.35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 x14ac:dyDescent="0.35">
      <c r="A324" s="101" t="s">
        <v>187</v>
      </c>
      <c r="B324" s="101"/>
      <c r="C324" s="101"/>
      <c r="D324" s="101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186</v>
      </c>
      <c r="N324" s="20">
        <f>217310+197670</f>
        <v>414980</v>
      </c>
    </row>
    <row r="325" spans="1:14" ht="18" customHeight="1" x14ac:dyDescent="0.35">
      <c r="A325" s="98" t="s">
        <v>188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189</v>
      </c>
      <c r="N325" s="31">
        <f>IFERROR(N311+N324,"")</f>
        <v>755400</v>
      </c>
    </row>
    <row r="326" spans="1:14" ht="15" customHeight="1" x14ac:dyDescent="0.35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 x14ac:dyDescent="0.35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29" t="s">
        <v>246</v>
      </c>
      <c r="N327" s="30"/>
    </row>
    <row r="328" spans="1:14" ht="15" customHeight="1" x14ac:dyDescent="0.35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110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 x14ac:dyDescent="0.35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247</v>
      </c>
      <c r="N329" s="30"/>
    </row>
    <row r="330" spans="1:14" ht="15" customHeight="1" x14ac:dyDescent="0.35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 x14ac:dyDescent="0.35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 x14ac:dyDescent="0.35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 x14ac:dyDescent="0.35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 x14ac:dyDescent="0.35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 x14ac:dyDescent="0.35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 x14ac:dyDescent="0.35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 x14ac:dyDescent="0.35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 x14ac:dyDescent="0.35">
      <c r="A338" s="101" t="s">
        <v>185</v>
      </c>
      <c r="B338" s="101"/>
      <c r="C338" s="101"/>
      <c r="D338" s="101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186</v>
      </c>
      <c r="N338" s="20">
        <f>39870+453420</f>
        <v>493290</v>
      </c>
    </row>
    <row r="339" spans="1:14" ht="15" customHeight="1" x14ac:dyDescent="0.35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145</v>
      </c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248</v>
      </c>
      <c r="N339" s="30"/>
    </row>
    <row r="340" spans="1:14" ht="15" customHeight="1" x14ac:dyDescent="0.35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149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249</v>
      </c>
      <c r="N340" s="30"/>
    </row>
    <row r="341" spans="1:14" ht="15" customHeight="1" x14ac:dyDescent="0.35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 x14ac:dyDescent="0.35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 x14ac:dyDescent="0.35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 x14ac:dyDescent="0.35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 x14ac:dyDescent="0.35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 x14ac:dyDescent="0.35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 x14ac:dyDescent="0.35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 x14ac:dyDescent="0.35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 x14ac:dyDescent="0.35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 x14ac:dyDescent="0.35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 x14ac:dyDescent="0.35">
      <c r="A351" s="101" t="s">
        <v>187</v>
      </c>
      <c r="B351" s="101"/>
      <c r="C351" s="101"/>
      <c r="D351" s="101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186</v>
      </c>
      <c r="N351" s="20">
        <f>135270+304860</f>
        <v>440130</v>
      </c>
    </row>
    <row r="352" spans="1:14" ht="18" customHeight="1" x14ac:dyDescent="0.35">
      <c r="A352" s="98" t="s">
        <v>188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189</v>
      </c>
      <c r="N352" s="31">
        <f>IFERROR(N338+N351,"")</f>
        <v>933420</v>
      </c>
    </row>
    <row r="353" spans="1:14" ht="15" customHeight="1" x14ac:dyDescent="0.35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250</v>
      </c>
      <c r="N353" s="30"/>
    </row>
    <row r="354" spans="1:14" ht="15" customHeight="1" x14ac:dyDescent="0.35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251</v>
      </c>
      <c r="N354" s="30"/>
    </row>
    <row r="355" spans="1:14" ht="15" customHeight="1" x14ac:dyDescent="0.35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 x14ac:dyDescent="0.35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145</v>
      </c>
      <c r="I356" s="10" t="s">
        <v>112</v>
      </c>
      <c r="J356" s="13"/>
      <c r="K356" s="13"/>
      <c r="L356" s="70" t="str">
        <f t="shared" si="79"/>
        <v/>
      </c>
      <c r="M356" s="29"/>
      <c r="N356" s="30"/>
    </row>
    <row r="357" spans="1:14" ht="15" customHeight="1" x14ac:dyDescent="0.35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 x14ac:dyDescent="0.35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 x14ac:dyDescent="0.35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 x14ac:dyDescent="0.35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 x14ac:dyDescent="0.35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252</v>
      </c>
      <c r="N361" s="30"/>
    </row>
    <row r="362" spans="1:14" ht="15" customHeight="1" x14ac:dyDescent="0.35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 x14ac:dyDescent="0.35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 x14ac:dyDescent="0.35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 x14ac:dyDescent="0.35">
      <c r="A365" s="101" t="s">
        <v>185</v>
      </c>
      <c r="B365" s="101"/>
      <c r="C365" s="101"/>
      <c r="D365" s="101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186</v>
      </c>
      <c r="N365" s="20">
        <f>264260+141380</f>
        <v>405640</v>
      </c>
    </row>
    <row r="366" spans="1:14" ht="15" customHeight="1" x14ac:dyDescent="0.35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 x14ac:dyDescent="0.35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 x14ac:dyDescent="0.35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149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 x14ac:dyDescent="0.35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 x14ac:dyDescent="0.35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 x14ac:dyDescent="0.35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 x14ac:dyDescent="0.35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 x14ac:dyDescent="0.35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 x14ac:dyDescent="0.35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 x14ac:dyDescent="0.35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 x14ac:dyDescent="0.35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 x14ac:dyDescent="0.35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 x14ac:dyDescent="0.35">
      <c r="A378" s="101" t="s">
        <v>187</v>
      </c>
      <c r="B378" s="101"/>
      <c r="C378" s="101"/>
      <c r="D378" s="101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186</v>
      </c>
      <c r="N378" s="20">
        <f>291750+291000</f>
        <v>582750</v>
      </c>
    </row>
    <row r="379" spans="1:14" ht="18" customHeight="1" x14ac:dyDescent="0.35">
      <c r="A379" s="98" t="s">
        <v>188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189</v>
      </c>
      <c r="N379" s="31">
        <f>IFERROR(N365+N378,"")</f>
        <v>988390</v>
      </c>
    </row>
    <row r="380" spans="1:14" ht="15" customHeight="1" x14ac:dyDescent="0.35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150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 x14ac:dyDescent="0.35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 x14ac:dyDescent="0.35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 x14ac:dyDescent="0.35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 x14ac:dyDescent="0.35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 x14ac:dyDescent="0.35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 x14ac:dyDescent="0.35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 x14ac:dyDescent="0.35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 x14ac:dyDescent="0.35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 x14ac:dyDescent="0.35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 x14ac:dyDescent="0.35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 x14ac:dyDescent="0.35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 x14ac:dyDescent="0.35">
      <c r="A392" s="101" t="s">
        <v>185</v>
      </c>
      <c r="B392" s="101"/>
      <c r="C392" s="101"/>
      <c r="D392" s="101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186</v>
      </c>
      <c r="N392" s="20">
        <v>116280</v>
      </c>
    </row>
    <row r="393" spans="1:14" ht="15" customHeight="1" x14ac:dyDescent="0.35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150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253</v>
      </c>
      <c r="N393" s="30"/>
    </row>
    <row r="394" spans="1:14" ht="15" customHeight="1" x14ac:dyDescent="0.35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155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 x14ac:dyDescent="0.35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 x14ac:dyDescent="0.35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 x14ac:dyDescent="0.35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 x14ac:dyDescent="0.35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 x14ac:dyDescent="0.35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 x14ac:dyDescent="0.35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 x14ac:dyDescent="0.35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 x14ac:dyDescent="0.35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107</v>
      </c>
      <c r="I402" s="10" t="s">
        <v>33</v>
      </c>
      <c r="J402" s="13"/>
      <c r="K402" s="13"/>
      <c r="L402" s="70" t="str">
        <f t="shared" si="88"/>
        <v/>
      </c>
      <c r="M402" s="29" t="s">
        <v>254</v>
      </c>
      <c r="N402" s="30"/>
    </row>
    <row r="403" spans="1:14" ht="15" customHeight="1" x14ac:dyDescent="0.35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 x14ac:dyDescent="0.35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 x14ac:dyDescent="0.35">
      <c r="A405" s="101" t="s">
        <v>187</v>
      </c>
      <c r="B405" s="101"/>
      <c r="C405" s="101"/>
      <c r="D405" s="101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186</v>
      </c>
      <c r="N405" s="20">
        <v>305810</v>
      </c>
    </row>
    <row r="406" spans="1:14" ht="18" customHeight="1" x14ac:dyDescent="0.35">
      <c r="A406" s="98" t="s">
        <v>188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189</v>
      </c>
      <c r="N406" s="31">
        <f>IFERROR(N392+N405,"")</f>
        <v>422090</v>
      </c>
    </row>
    <row r="407" spans="1:14" ht="15" customHeight="1" x14ac:dyDescent="0.35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 x14ac:dyDescent="0.35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 x14ac:dyDescent="0.35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 x14ac:dyDescent="0.35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153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255</v>
      </c>
      <c r="N410" s="30"/>
    </row>
    <row r="411" spans="1:14" ht="15" customHeight="1" x14ac:dyDescent="0.35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124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256</v>
      </c>
      <c r="N411" s="30"/>
    </row>
    <row r="412" spans="1:14" ht="15" customHeight="1" x14ac:dyDescent="0.35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257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 x14ac:dyDescent="0.35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 x14ac:dyDescent="0.35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 x14ac:dyDescent="0.35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 x14ac:dyDescent="0.35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 x14ac:dyDescent="0.35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 x14ac:dyDescent="0.35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 x14ac:dyDescent="0.35">
      <c r="A419" s="101" t="s">
        <v>185</v>
      </c>
      <c r="B419" s="101"/>
      <c r="C419" s="101"/>
      <c r="D419" s="101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186</v>
      </c>
      <c r="N419" s="20">
        <v>333610</v>
      </c>
    </row>
    <row r="420" spans="1:14" ht="15" customHeight="1" x14ac:dyDescent="0.35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120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258</v>
      </c>
      <c r="N420" s="30"/>
    </row>
    <row r="421" spans="1:14" ht="15" customHeight="1" x14ac:dyDescent="0.35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259</v>
      </c>
      <c r="N421" s="30"/>
    </row>
    <row r="422" spans="1:14" ht="15" customHeight="1" x14ac:dyDescent="0.35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 x14ac:dyDescent="0.35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 x14ac:dyDescent="0.35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 x14ac:dyDescent="0.35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 x14ac:dyDescent="0.35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 x14ac:dyDescent="0.35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 x14ac:dyDescent="0.35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 x14ac:dyDescent="0.35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 x14ac:dyDescent="0.35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 x14ac:dyDescent="0.35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 x14ac:dyDescent="0.35">
      <c r="A432" s="101" t="s">
        <v>187</v>
      </c>
      <c r="B432" s="101"/>
      <c r="C432" s="101"/>
      <c r="D432" s="101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186</v>
      </c>
      <c r="N432" s="20">
        <v>522180</v>
      </c>
    </row>
    <row r="433" spans="1:14" ht="18" customHeight="1" x14ac:dyDescent="0.35">
      <c r="A433" s="98" t="s">
        <v>188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189</v>
      </c>
      <c r="N433" s="31">
        <f>IFERROR(N419+N432,"")</f>
        <v>855790</v>
      </c>
    </row>
    <row r="434" spans="1:14" ht="15" customHeight="1" x14ac:dyDescent="0.35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260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 x14ac:dyDescent="0.35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 x14ac:dyDescent="0.35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261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 x14ac:dyDescent="0.35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 x14ac:dyDescent="0.35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111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 x14ac:dyDescent="0.35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262</v>
      </c>
      <c r="N439" s="30"/>
    </row>
    <row r="440" spans="1:14" ht="15" customHeight="1" x14ac:dyDescent="0.35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 x14ac:dyDescent="0.35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 x14ac:dyDescent="0.35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 x14ac:dyDescent="0.35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 x14ac:dyDescent="0.35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 x14ac:dyDescent="0.35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 x14ac:dyDescent="0.35">
      <c r="A446" s="101" t="s">
        <v>185</v>
      </c>
      <c r="B446" s="101"/>
      <c r="C446" s="101"/>
      <c r="D446" s="101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186</v>
      </c>
      <c r="N446" s="20">
        <v>426830</v>
      </c>
    </row>
    <row r="447" spans="1:14" ht="15" customHeight="1" x14ac:dyDescent="0.35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146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263</v>
      </c>
      <c r="N447" s="30"/>
    </row>
    <row r="448" spans="1:14" ht="15" customHeight="1" x14ac:dyDescent="0.35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 x14ac:dyDescent="0.35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149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 x14ac:dyDescent="0.35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147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 x14ac:dyDescent="0.35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 x14ac:dyDescent="0.35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 x14ac:dyDescent="0.35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 x14ac:dyDescent="0.35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 x14ac:dyDescent="0.35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 x14ac:dyDescent="0.35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 x14ac:dyDescent="0.35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 x14ac:dyDescent="0.35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 x14ac:dyDescent="0.35">
      <c r="A459" s="101" t="s">
        <v>187</v>
      </c>
      <c r="B459" s="101"/>
      <c r="C459" s="101"/>
      <c r="D459" s="101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186</v>
      </c>
      <c r="N459" s="20">
        <v>560220</v>
      </c>
    </row>
    <row r="460" spans="1:14" ht="18" customHeight="1" x14ac:dyDescent="0.35">
      <c r="A460" s="98" t="s">
        <v>188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189</v>
      </c>
      <c r="N460" s="31">
        <f>IFERROR(N446+N459,"")</f>
        <v>987050</v>
      </c>
    </row>
    <row r="461" spans="1:14" ht="15" customHeight="1" x14ac:dyDescent="0.35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 x14ac:dyDescent="0.35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 x14ac:dyDescent="0.35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156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 x14ac:dyDescent="0.35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 x14ac:dyDescent="0.35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113</v>
      </c>
      <c r="I465" s="16" t="s">
        <v>264</v>
      </c>
      <c r="J465" s="13">
        <v>0.70833333333333337</v>
      </c>
      <c r="K465" s="13" t="s">
        <v>265</v>
      </c>
      <c r="L465" s="71" t="str">
        <f t="shared" si="103"/>
        <v/>
      </c>
      <c r="M465" s="29"/>
      <c r="N465" s="30"/>
    </row>
    <row r="466" spans="1:14" ht="15" customHeight="1" x14ac:dyDescent="0.35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 x14ac:dyDescent="0.35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 x14ac:dyDescent="0.35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 x14ac:dyDescent="0.35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 x14ac:dyDescent="0.35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 x14ac:dyDescent="0.35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 x14ac:dyDescent="0.35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266</v>
      </c>
      <c r="N472" s="30"/>
    </row>
    <row r="473" spans="1:14" ht="15.75" customHeight="1" x14ac:dyDescent="0.35">
      <c r="A473" s="101" t="s">
        <v>185</v>
      </c>
      <c r="B473" s="101"/>
      <c r="C473" s="101"/>
      <c r="D473" s="101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186</v>
      </c>
      <c r="N473" s="20">
        <v>544800</v>
      </c>
    </row>
    <row r="474" spans="1:14" ht="15" customHeight="1" x14ac:dyDescent="0.35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149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267</v>
      </c>
      <c r="N474" s="30">
        <v>1</v>
      </c>
    </row>
    <row r="475" spans="1:14" ht="15" customHeight="1" x14ac:dyDescent="0.35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 x14ac:dyDescent="0.35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 x14ac:dyDescent="0.35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113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268</v>
      </c>
      <c r="N477" s="30"/>
    </row>
    <row r="478" spans="1:14" ht="15" customHeight="1" x14ac:dyDescent="0.35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 x14ac:dyDescent="0.35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 x14ac:dyDescent="0.35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 x14ac:dyDescent="0.35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 x14ac:dyDescent="0.35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 x14ac:dyDescent="0.35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 x14ac:dyDescent="0.35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 x14ac:dyDescent="0.35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 x14ac:dyDescent="0.35">
      <c r="A486" s="101" t="s">
        <v>187</v>
      </c>
      <c r="B486" s="101"/>
      <c r="C486" s="101"/>
      <c r="D486" s="101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186</v>
      </c>
      <c r="N486" s="20">
        <v>400000</v>
      </c>
    </row>
    <row r="487" spans="1:14" ht="18" customHeight="1" x14ac:dyDescent="0.35">
      <c r="A487" s="98" t="s">
        <v>188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189</v>
      </c>
      <c r="N487" s="31">
        <f>IFERROR(N473+N486,"")</f>
        <v>944800</v>
      </c>
    </row>
    <row r="488" spans="1:14" ht="15" customHeight="1" x14ac:dyDescent="0.35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 x14ac:dyDescent="0.35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 x14ac:dyDescent="0.35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 x14ac:dyDescent="0.35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 x14ac:dyDescent="0.35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 x14ac:dyDescent="0.35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 x14ac:dyDescent="0.35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 x14ac:dyDescent="0.35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 x14ac:dyDescent="0.35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 x14ac:dyDescent="0.35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 x14ac:dyDescent="0.35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 x14ac:dyDescent="0.35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 x14ac:dyDescent="0.35">
      <c r="A500" s="101" t="s">
        <v>185</v>
      </c>
      <c r="B500" s="101"/>
      <c r="C500" s="101"/>
      <c r="D500" s="101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186</v>
      </c>
      <c r="N500" s="20">
        <f>92570+255950+56000</f>
        <v>404520</v>
      </c>
    </row>
    <row r="501" spans="1:14" ht="15" customHeight="1" x14ac:dyDescent="0.35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149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 x14ac:dyDescent="0.35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149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 x14ac:dyDescent="0.35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146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269</v>
      </c>
      <c r="N503" s="30"/>
    </row>
    <row r="504" spans="1:14" ht="15" customHeight="1" x14ac:dyDescent="0.35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 x14ac:dyDescent="0.35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 x14ac:dyDescent="0.35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 x14ac:dyDescent="0.35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 x14ac:dyDescent="0.35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 x14ac:dyDescent="0.35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 x14ac:dyDescent="0.35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 x14ac:dyDescent="0.35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 x14ac:dyDescent="0.35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 x14ac:dyDescent="0.35">
      <c r="A513" s="101" t="s">
        <v>187</v>
      </c>
      <c r="B513" s="101"/>
      <c r="C513" s="101"/>
      <c r="D513" s="101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186</v>
      </c>
      <c r="N513" s="20">
        <f>1031250+71560</f>
        <v>1102810</v>
      </c>
    </row>
    <row r="514" spans="1:14" ht="18" customHeight="1" x14ac:dyDescent="0.35">
      <c r="A514" s="98" t="s">
        <v>188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189</v>
      </c>
      <c r="N514" s="31">
        <f>IFERROR(N500+N513,"")</f>
        <v>1507330</v>
      </c>
    </row>
    <row r="515" spans="1:14" ht="15" customHeight="1" x14ac:dyDescent="0.35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207</v>
      </c>
      <c r="N515" s="30"/>
    </row>
    <row r="516" spans="1:14" ht="15" customHeight="1" x14ac:dyDescent="0.35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207</v>
      </c>
      <c r="N516" s="30"/>
    </row>
    <row r="517" spans="1:14" ht="15" customHeight="1" x14ac:dyDescent="0.35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207</v>
      </c>
      <c r="N517" s="30"/>
    </row>
    <row r="518" spans="1:14" ht="15" customHeight="1" x14ac:dyDescent="0.35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 x14ac:dyDescent="0.35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 x14ac:dyDescent="0.35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 x14ac:dyDescent="0.35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 x14ac:dyDescent="0.35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 x14ac:dyDescent="0.35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 x14ac:dyDescent="0.35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 x14ac:dyDescent="0.35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 x14ac:dyDescent="0.35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 x14ac:dyDescent="0.35">
      <c r="A527" s="101" t="s">
        <v>185</v>
      </c>
      <c r="B527" s="101"/>
      <c r="C527" s="101"/>
      <c r="D527" s="101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186</v>
      </c>
      <c r="N527" s="20">
        <v>396000</v>
      </c>
    </row>
    <row r="528" spans="1:14" ht="15" customHeight="1" x14ac:dyDescent="0.35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168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270</v>
      </c>
      <c r="N528" s="30"/>
    </row>
    <row r="529" spans="1:14" ht="15" customHeight="1" x14ac:dyDescent="0.35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139</v>
      </c>
      <c r="I529" s="16" t="s">
        <v>124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271</v>
      </c>
      <c r="N529" s="30"/>
    </row>
    <row r="530" spans="1:14" ht="15" customHeight="1" x14ac:dyDescent="0.35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272</v>
      </c>
      <c r="N530" s="30"/>
    </row>
    <row r="531" spans="1:14" ht="15" customHeight="1" x14ac:dyDescent="0.35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125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273</v>
      </c>
      <c r="N531" s="30"/>
    </row>
    <row r="532" spans="1:14" ht="15" customHeight="1" x14ac:dyDescent="0.35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274</v>
      </c>
      <c r="N532" s="30"/>
    </row>
    <row r="533" spans="1:14" ht="15" customHeight="1" x14ac:dyDescent="0.35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274</v>
      </c>
      <c r="N533" s="30"/>
    </row>
    <row r="534" spans="1:14" ht="15" customHeight="1" x14ac:dyDescent="0.35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147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 x14ac:dyDescent="0.35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 x14ac:dyDescent="0.35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 x14ac:dyDescent="0.35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 x14ac:dyDescent="0.35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 x14ac:dyDescent="0.35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 x14ac:dyDescent="0.35">
      <c r="A540" s="101" t="s">
        <v>187</v>
      </c>
      <c r="B540" s="101"/>
      <c r="C540" s="101"/>
      <c r="D540" s="101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186</v>
      </c>
      <c r="N540" s="20">
        <v>504470</v>
      </c>
    </row>
    <row r="541" spans="1:14" ht="18" customHeight="1" x14ac:dyDescent="0.35">
      <c r="A541" s="98" t="s">
        <v>188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189</v>
      </c>
      <c r="N541" s="31">
        <f>IFERROR(N527+N540,"")</f>
        <v>900470</v>
      </c>
    </row>
    <row r="542" spans="1:14" ht="15" customHeight="1" x14ac:dyDescent="0.35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 x14ac:dyDescent="0.35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 x14ac:dyDescent="0.35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275</v>
      </c>
      <c r="N544" s="30"/>
    </row>
    <row r="545" spans="1:14" ht="15" customHeight="1" x14ac:dyDescent="0.35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 x14ac:dyDescent="0.35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 x14ac:dyDescent="0.35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 x14ac:dyDescent="0.35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 x14ac:dyDescent="0.35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 x14ac:dyDescent="0.35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 x14ac:dyDescent="0.35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 x14ac:dyDescent="0.35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 x14ac:dyDescent="0.35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 x14ac:dyDescent="0.35">
      <c r="A554" s="101" t="s">
        <v>185</v>
      </c>
      <c r="B554" s="101"/>
      <c r="C554" s="101"/>
      <c r="D554" s="101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186</v>
      </c>
      <c r="N554" s="20">
        <v>354670</v>
      </c>
    </row>
    <row r="555" spans="1:14" ht="15" customHeight="1" x14ac:dyDescent="0.35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125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 x14ac:dyDescent="0.35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149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 x14ac:dyDescent="0.35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 x14ac:dyDescent="0.35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 x14ac:dyDescent="0.35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 x14ac:dyDescent="0.35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 x14ac:dyDescent="0.35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 x14ac:dyDescent="0.35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 x14ac:dyDescent="0.35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 x14ac:dyDescent="0.35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 x14ac:dyDescent="0.35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 x14ac:dyDescent="0.35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 x14ac:dyDescent="0.35">
      <c r="A567" s="101" t="s">
        <v>187</v>
      </c>
      <c r="B567" s="101"/>
      <c r="C567" s="101"/>
      <c r="D567" s="101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186</v>
      </c>
      <c r="N567" s="20">
        <v>0</v>
      </c>
    </row>
    <row r="568" spans="1:14" ht="18" customHeight="1" x14ac:dyDescent="0.35">
      <c r="A568" s="98" t="s">
        <v>188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189</v>
      </c>
      <c r="N568" s="31">
        <f>IFERROR(N554+N567,"")</f>
        <v>354670</v>
      </c>
    </row>
    <row r="569" spans="1:14" ht="15" customHeight="1" x14ac:dyDescent="0.35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128</v>
      </c>
      <c r="I569" s="16" t="s">
        <v>108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 x14ac:dyDescent="0.35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 x14ac:dyDescent="0.35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 x14ac:dyDescent="0.35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 x14ac:dyDescent="0.35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 x14ac:dyDescent="0.35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 x14ac:dyDescent="0.35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 x14ac:dyDescent="0.35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 x14ac:dyDescent="0.35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 x14ac:dyDescent="0.35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 x14ac:dyDescent="0.35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 x14ac:dyDescent="0.35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 x14ac:dyDescent="0.35">
      <c r="A581" s="101" t="s">
        <v>185</v>
      </c>
      <c r="B581" s="101"/>
      <c r="C581" s="101"/>
      <c r="D581" s="101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186</v>
      </c>
      <c r="N581" s="20">
        <v>0</v>
      </c>
    </row>
    <row r="582" spans="1:14" ht="15" customHeight="1" x14ac:dyDescent="0.35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128</v>
      </c>
      <c r="I582" s="10" t="s">
        <v>108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 x14ac:dyDescent="0.35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139</v>
      </c>
      <c r="I583" s="16" t="s">
        <v>124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276</v>
      </c>
      <c r="N583" s="30"/>
    </row>
    <row r="584" spans="1:14" ht="15" customHeight="1" x14ac:dyDescent="0.35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 x14ac:dyDescent="0.35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 x14ac:dyDescent="0.35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 x14ac:dyDescent="0.35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 x14ac:dyDescent="0.35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 x14ac:dyDescent="0.35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 x14ac:dyDescent="0.35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 x14ac:dyDescent="0.35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 x14ac:dyDescent="0.35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 x14ac:dyDescent="0.35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 x14ac:dyDescent="0.35">
      <c r="A594" s="101" t="s">
        <v>187</v>
      </c>
      <c r="B594" s="101"/>
      <c r="C594" s="101"/>
      <c r="D594" s="101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186</v>
      </c>
      <c r="N594" s="20">
        <v>258960</v>
      </c>
    </row>
    <row r="595" spans="1:14" ht="18" customHeight="1" x14ac:dyDescent="0.35">
      <c r="A595" s="98" t="s">
        <v>188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189</v>
      </c>
      <c r="N595" s="31">
        <f>IFERROR(N581+N594,"")</f>
        <v>258960</v>
      </c>
    </row>
    <row r="596" spans="1:14" ht="15" customHeight="1" x14ac:dyDescent="0.35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169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277</v>
      </c>
      <c r="N596" s="30"/>
    </row>
    <row r="597" spans="1:14" ht="15" customHeight="1" x14ac:dyDescent="0.35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 x14ac:dyDescent="0.35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278</v>
      </c>
      <c r="N598" s="30"/>
    </row>
    <row r="599" spans="1:14" ht="15" customHeight="1" x14ac:dyDescent="0.35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146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279</v>
      </c>
      <c r="N599" s="30"/>
    </row>
    <row r="600" spans="1:14" ht="15" customHeight="1" x14ac:dyDescent="0.35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 x14ac:dyDescent="0.35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 x14ac:dyDescent="0.35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 x14ac:dyDescent="0.35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 x14ac:dyDescent="0.35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 x14ac:dyDescent="0.35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 x14ac:dyDescent="0.35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 x14ac:dyDescent="0.35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 x14ac:dyDescent="0.35">
      <c r="A608" s="101" t="s">
        <v>185</v>
      </c>
      <c r="B608" s="101"/>
      <c r="C608" s="101"/>
      <c r="D608" s="101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186</v>
      </c>
      <c r="N608" s="20">
        <v>682730</v>
      </c>
    </row>
    <row r="609" spans="1:14" ht="15" customHeight="1" x14ac:dyDescent="0.35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149</v>
      </c>
      <c r="I609" s="16" t="s">
        <v>160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280</v>
      </c>
      <c r="N609" s="30"/>
    </row>
    <row r="610" spans="1:14" ht="15" customHeight="1" x14ac:dyDescent="0.35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10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 x14ac:dyDescent="0.35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156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 x14ac:dyDescent="0.35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281</v>
      </c>
      <c r="N612" s="30"/>
    </row>
    <row r="613" spans="1:14" ht="15" customHeight="1" x14ac:dyDescent="0.35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 x14ac:dyDescent="0.35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 x14ac:dyDescent="0.35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 x14ac:dyDescent="0.35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 x14ac:dyDescent="0.35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 x14ac:dyDescent="0.35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 x14ac:dyDescent="0.35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 x14ac:dyDescent="0.35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 x14ac:dyDescent="0.35">
      <c r="A621" s="101" t="s">
        <v>187</v>
      </c>
      <c r="B621" s="101"/>
      <c r="C621" s="101"/>
      <c r="D621" s="101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186</v>
      </c>
      <c r="N621" s="20">
        <v>687740</v>
      </c>
    </row>
    <row r="622" spans="1:14" ht="18" customHeight="1" x14ac:dyDescent="0.35">
      <c r="A622" s="98" t="s">
        <v>188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189</v>
      </c>
      <c r="N622" s="31">
        <f>N608+N621</f>
        <v>1370470</v>
      </c>
    </row>
    <row r="623" spans="1:14" ht="15" customHeight="1" x14ac:dyDescent="0.35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149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 x14ac:dyDescent="0.35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 x14ac:dyDescent="0.35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282</v>
      </c>
      <c r="N625" s="30"/>
    </row>
    <row r="626" spans="1:14" ht="15" customHeight="1" x14ac:dyDescent="0.35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 x14ac:dyDescent="0.35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 x14ac:dyDescent="0.35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 x14ac:dyDescent="0.35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 x14ac:dyDescent="0.35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 x14ac:dyDescent="0.35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 x14ac:dyDescent="0.35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 x14ac:dyDescent="0.35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 x14ac:dyDescent="0.35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 x14ac:dyDescent="0.35">
      <c r="A635" s="101" t="s">
        <v>185</v>
      </c>
      <c r="B635" s="101"/>
      <c r="C635" s="101"/>
      <c r="D635" s="101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186</v>
      </c>
      <c r="N635" s="89">
        <v>565490</v>
      </c>
    </row>
    <row r="636" spans="1:14" ht="15" customHeight="1" x14ac:dyDescent="0.35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149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283</v>
      </c>
      <c r="N636" s="30"/>
    </row>
    <row r="637" spans="1:14" ht="15" customHeight="1" x14ac:dyDescent="0.35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160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284</v>
      </c>
      <c r="N637" s="30"/>
    </row>
    <row r="638" spans="1:14" ht="15" customHeight="1" x14ac:dyDescent="0.35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160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285</v>
      </c>
      <c r="N638" s="30"/>
    </row>
    <row r="639" spans="1:14" ht="15" customHeight="1" x14ac:dyDescent="0.35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 x14ac:dyDescent="0.35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 x14ac:dyDescent="0.35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 x14ac:dyDescent="0.35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 x14ac:dyDescent="0.35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 x14ac:dyDescent="0.35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 x14ac:dyDescent="0.35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 x14ac:dyDescent="0.35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 x14ac:dyDescent="0.35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 x14ac:dyDescent="0.35">
      <c r="A648" s="101" t="s">
        <v>187</v>
      </c>
      <c r="B648" s="101"/>
      <c r="C648" s="101"/>
      <c r="D648" s="101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186</v>
      </c>
      <c r="N648" s="20">
        <f>47050+58630</f>
        <v>105680</v>
      </c>
    </row>
    <row r="649" spans="1:14" ht="18" customHeight="1" x14ac:dyDescent="0.35">
      <c r="A649" s="98" t="s">
        <v>188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189</v>
      </c>
      <c r="N649" s="31">
        <f>N635+N648</f>
        <v>671170</v>
      </c>
    </row>
    <row r="650" spans="1:14" ht="15" customHeight="1" x14ac:dyDescent="0.35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133</v>
      </c>
      <c r="I650" s="16" t="s">
        <v>120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 x14ac:dyDescent="0.35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128</v>
      </c>
      <c r="I651" s="16" t="s">
        <v>96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 x14ac:dyDescent="0.35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 x14ac:dyDescent="0.35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 x14ac:dyDescent="0.35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 x14ac:dyDescent="0.35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 x14ac:dyDescent="0.35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 x14ac:dyDescent="0.35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 x14ac:dyDescent="0.35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 x14ac:dyDescent="0.35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 x14ac:dyDescent="0.35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 x14ac:dyDescent="0.35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 x14ac:dyDescent="0.35">
      <c r="A662" s="101" t="s">
        <v>185</v>
      </c>
      <c r="B662" s="101"/>
      <c r="C662" s="101"/>
      <c r="D662" s="101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186</v>
      </c>
      <c r="N662" s="20">
        <v>127580</v>
      </c>
    </row>
    <row r="663" spans="1:14" ht="15" customHeight="1" x14ac:dyDescent="0.35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286</v>
      </c>
      <c r="N663" s="30"/>
    </row>
    <row r="664" spans="1:14" ht="15" customHeight="1" x14ac:dyDescent="0.35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287</v>
      </c>
      <c r="N664" s="30"/>
    </row>
    <row r="665" spans="1:14" ht="15" customHeight="1" x14ac:dyDescent="0.35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 x14ac:dyDescent="0.35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121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 x14ac:dyDescent="0.35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 x14ac:dyDescent="0.35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165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 x14ac:dyDescent="0.35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165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 x14ac:dyDescent="0.35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 x14ac:dyDescent="0.35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121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 x14ac:dyDescent="0.35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121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288</v>
      </c>
      <c r="N672" s="30"/>
    </row>
    <row r="673" spans="1:14" ht="15" customHeight="1" x14ac:dyDescent="0.35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 x14ac:dyDescent="0.35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 x14ac:dyDescent="0.35">
      <c r="A675" s="101" t="s">
        <v>187</v>
      </c>
      <c r="B675" s="101"/>
      <c r="C675" s="101"/>
      <c r="D675" s="101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186</v>
      </c>
      <c r="N675" s="20">
        <v>546550</v>
      </c>
    </row>
    <row r="676" spans="1:14" ht="18" customHeight="1" x14ac:dyDescent="0.35">
      <c r="A676" s="98" t="s">
        <v>188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189</v>
      </c>
      <c r="N676" s="31">
        <f>IFERROR(N662+N675,"")</f>
        <v>674130</v>
      </c>
    </row>
    <row r="677" spans="1:14" ht="15" customHeight="1" x14ac:dyDescent="0.35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149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 x14ac:dyDescent="0.35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121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 x14ac:dyDescent="0.35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146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289</v>
      </c>
      <c r="N679" s="30"/>
    </row>
    <row r="680" spans="1:14" ht="15" customHeight="1" x14ac:dyDescent="0.35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149</v>
      </c>
      <c r="I680" s="10" t="s">
        <v>156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 x14ac:dyDescent="0.35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 x14ac:dyDescent="0.35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 x14ac:dyDescent="0.35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 x14ac:dyDescent="0.35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 x14ac:dyDescent="0.35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 x14ac:dyDescent="0.35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 x14ac:dyDescent="0.35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 x14ac:dyDescent="0.35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 x14ac:dyDescent="0.35">
      <c r="A689" s="101" t="s">
        <v>185</v>
      </c>
      <c r="B689" s="101"/>
      <c r="C689" s="101"/>
      <c r="D689" s="101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186</v>
      </c>
      <c r="N689" s="20">
        <v>628720</v>
      </c>
    </row>
    <row r="690" spans="1:14" ht="15" customHeight="1" x14ac:dyDescent="0.35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 x14ac:dyDescent="0.35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149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290</v>
      </c>
      <c r="N691" s="30"/>
    </row>
    <row r="692" spans="1:14" ht="15" customHeight="1" x14ac:dyDescent="0.35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291</v>
      </c>
      <c r="N692" s="30"/>
    </row>
    <row r="693" spans="1:14" ht="15" customHeight="1" x14ac:dyDescent="0.35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121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 x14ac:dyDescent="0.35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 x14ac:dyDescent="0.35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 x14ac:dyDescent="0.35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 x14ac:dyDescent="0.35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 x14ac:dyDescent="0.35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 x14ac:dyDescent="0.35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 x14ac:dyDescent="0.35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 x14ac:dyDescent="0.35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 x14ac:dyDescent="0.35">
      <c r="A702" s="101" t="s">
        <v>187</v>
      </c>
      <c r="B702" s="101"/>
      <c r="C702" s="101"/>
      <c r="D702" s="101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186</v>
      </c>
      <c r="N702" s="20">
        <f>430070+116100</f>
        <v>546170</v>
      </c>
    </row>
    <row r="703" spans="1:14" ht="18" customHeight="1" x14ac:dyDescent="0.35">
      <c r="A703" s="98" t="s">
        <v>188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189</v>
      </c>
      <c r="N703" s="31">
        <f>IFERROR(N689+N702,"")</f>
        <v>1174890</v>
      </c>
    </row>
    <row r="704" spans="1:14" ht="15" customHeight="1" x14ac:dyDescent="0.35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149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5" ht="15" customHeight="1" x14ac:dyDescent="0.35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/>
      <c r="L705" s="71" t="str">
        <f t="shared" si="158"/>
        <v/>
      </c>
      <c r="M705" s="29"/>
      <c r="N705" s="30"/>
    </row>
    <row r="706" spans="1:15" ht="15" customHeight="1" x14ac:dyDescent="0.35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/>
      <c r="H706" s="10"/>
      <c r="I706" s="10"/>
      <c r="J706" s="13"/>
      <c r="K706" s="13"/>
      <c r="L706" s="70" t="str">
        <f t="shared" si="158"/>
        <v/>
      </c>
      <c r="M706" s="29"/>
      <c r="N706" s="30"/>
    </row>
    <row r="707" spans="1:15" ht="15" customHeight="1" x14ac:dyDescent="0.35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/>
      <c r="H707" s="16"/>
      <c r="I707" s="16"/>
      <c r="J707" s="13"/>
      <c r="K707" s="13"/>
      <c r="L707" s="71" t="str">
        <f t="shared" si="158"/>
        <v/>
      </c>
      <c r="M707" s="29"/>
      <c r="N707" s="30"/>
      <c r="O707" s="97"/>
    </row>
    <row r="708" spans="1:15" ht="15" customHeight="1" x14ac:dyDescent="0.35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20</v>
      </c>
      <c r="F708" s="12">
        <f t="shared" si="157"/>
        <v>80</v>
      </c>
      <c r="G708" s="10"/>
      <c r="H708" s="10"/>
      <c r="I708" s="10"/>
      <c r="J708" s="13"/>
      <c r="K708" s="13"/>
      <c r="L708" s="70" t="str">
        <f t="shared" si="158"/>
        <v/>
      </c>
      <c r="M708" s="29"/>
      <c r="N708" s="30"/>
    </row>
    <row r="709" spans="1:15" ht="15" customHeight="1" x14ac:dyDescent="0.35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10</v>
      </c>
      <c r="F709" s="17">
        <f t="shared" si="157"/>
        <v>40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5" ht="15" customHeight="1" x14ac:dyDescent="0.35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20</v>
      </c>
      <c r="F710" s="12">
        <f t="shared" si="157"/>
        <v>80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5" ht="15" customHeight="1" x14ac:dyDescent="0.35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10</v>
      </c>
      <c r="F711" s="17">
        <f t="shared" si="157"/>
        <v>40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5" ht="15" customHeight="1" x14ac:dyDescent="0.35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20</v>
      </c>
      <c r="F712" s="12">
        <f t="shared" si="157"/>
        <v>80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5" ht="15" customHeight="1" x14ac:dyDescent="0.35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10</v>
      </c>
      <c r="F713" s="17">
        <f t="shared" si="157"/>
        <v>40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5" ht="15" customHeight="1" x14ac:dyDescent="0.35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20</v>
      </c>
      <c r="F714" s="12">
        <f t="shared" si="157"/>
        <v>80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5" ht="15" customHeight="1" x14ac:dyDescent="0.35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10</v>
      </c>
      <c r="F715" s="17">
        <f t="shared" si="157"/>
        <v>40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5" ht="15.75" customHeight="1" x14ac:dyDescent="0.35">
      <c r="A716" s="101" t="s">
        <v>185</v>
      </c>
      <c r="B716" s="101"/>
      <c r="C716" s="101"/>
      <c r="D716" s="101"/>
      <c r="E716" s="19">
        <f>SUM(E704:E715)</f>
        <v>167</v>
      </c>
      <c r="F716" s="19">
        <f>SUM(F704:F715)</f>
        <v>668</v>
      </c>
      <c r="G716" s="18"/>
      <c r="H716" s="18"/>
      <c r="I716" s="18"/>
      <c r="J716" s="18"/>
      <c r="K716" s="18"/>
      <c r="L716" s="72">
        <f>IFERROR(SUM(L704:L715),"")</f>
        <v>2.4305555555555525E-2</v>
      </c>
      <c r="M716" s="19" t="s">
        <v>186</v>
      </c>
      <c r="N716" s="20">
        <v>680000</v>
      </c>
    </row>
    <row r="717" spans="1:15" ht="15" customHeight="1" x14ac:dyDescent="0.35">
      <c r="A717" s="59">
        <v>46200</v>
      </c>
      <c r="B717" s="15">
        <v>0.83333333333333304</v>
      </c>
      <c r="C717" s="16"/>
      <c r="D717" s="16"/>
      <c r="E717" s="11">
        <v>20</v>
      </c>
      <c r="F717" s="17">
        <f t="shared" ref="F717:F728" si="160">IF(E717="","",E717*4)</f>
        <v>80</v>
      </c>
      <c r="G717" s="16"/>
      <c r="H717" s="16"/>
      <c r="I717" s="16"/>
      <c r="J717" s="13"/>
      <c r="K717" s="13"/>
      <c r="L717" s="71" t="str">
        <f t="shared" ref="L717:L728" si="161">IFERROR(IF(K717="","",IF(K717&gt;=J717,K717-J717,K717+1-J717)),"")</f>
        <v/>
      </c>
      <c r="M717" s="29"/>
      <c r="N717" s="30"/>
    </row>
    <row r="718" spans="1:15" ht="15" customHeight="1" x14ac:dyDescent="0.35">
      <c r="A718" s="58">
        <v>46200</v>
      </c>
      <c r="B718" s="9">
        <f t="shared" ref="B718:B728" si="162">B717+TIME(0,60,0)</f>
        <v>0.87499999999999967</v>
      </c>
      <c r="C718" s="10"/>
      <c r="D718" s="10"/>
      <c r="E718" s="11">
        <v>20</v>
      </c>
      <c r="F718" s="12">
        <f t="shared" si="160"/>
        <v>80</v>
      </c>
      <c r="G718" s="10"/>
      <c r="H718" s="10"/>
      <c r="I718" s="10"/>
      <c r="J718" s="13"/>
      <c r="K718" s="13"/>
      <c r="L718" s="70" t="str">
        <f t="shared" si="161"/>
        <v/>
      </c>
      <c r="M718" s="29"/>
      <c r="N718" s="30"/>
    </row>
    <row r="719" spans="1:15" ht="15" customHeight="1" x14ac:dyDescent="0.35">
      <c r="A719" s="59">
        <v>46200</v>
      </c>
      <c r="B719" s="15">
        <f t="shared" si="162"/>
        <v>0.9166666666666663</v>
      </c>
      <c r="C719" s="16"/>
      <c r="D719" s="16"/>
      <c r="E719" s="11">
        <v>20</v>
      </c>
      <c r="F719" s="17">
        <f t="shared" si="160"/>
        <v>80</v>
      </c>
      <c r="G719" s="16"/>
      <c r="H719" s="16"/>
      <c r="I719" s="16"/>
      <c r="J719" s="13"/>
      <c r="K719" s="13"/>
      <c r="L719" s="71" t="str">
        <f t="shared" si="161"/>
        <v/>
      </c>
      <c r="M719" s="29"/>
      <c r="N719" s="30"/>
    </row>
    <row r="720" spans="1:15" ht="15" customHeight="1" x14ac:dyDescent="0.35">
      <c r="A720" s="58">
        <v>46200</v>
      </c>
      <c r="B720" s="9">
        <f t="shared" si="162"/>
        <v>0.95833333333333293</v>
      </c>
      <c r="C720" s="10"/>
      <c r="D720" s="10"/>
      <c r="E720" s="11"/>
      <c r="F720" s="12" t="str">
        <f t="shared" si="160"/>
        <v/>
      </c>
      <c r="G720" s="10"/>
      <c r="H720" s="10"/>
      <c r="I720" s="10"/>
      <c r="J720" s="13"/>
      <c r="K720" s="13"/>
      <c r="L720" s="70" t="str">
        <f t="shared" si="161"/>
        <v/>
      </c>
      <c r="M720" s="29"/>
      <c r="N720" s="30"/>
    </row>
    <row r="721" spans="1:14" ht="15" customHeight="1" x14ac:dyDescent="0.35">
      <c r="A721" s="59">
        <v>46200</v>
      </c>
      <c r="B721" s="15">
        <f t="shared" si="162"/>
        <v>0.99999999999999956</v>
      </c>
      <c r="C721" s="16"/>
      <c r="D721" s="16"/>
      <c r="E721" s="11"/>
      <c r="F721" s="17" t="str">
        <f t="shared" si="160"/>
        <v/>
      </c>
      <c r="G721" s="16"/>
      <c r="H721" s="16"/>
      <c r="I721" s="16"/>
      <c r="J721" s="13"/>
      <c r="K721" s="13"/>
      <c r="L721" s="71" t="str">
        <f t="shared" si="161"/>
        <v/>
      </c>
      <c r="M721" s="29"/>
      <c r="N721" s="30"/>
    </row>
    <row r="722" spans="1:14" ht="15" customHeight="1" x14ac:dyDescent="0.35">
      <c r="A722" s="58">
        <v>46200</v>
      </c>
      <c r="B722" s="9">
        <f t="shared" si="162"/>
        <v>1.0416666666666663</v>
      </c>
      <c r="C722" s="10"/>
      <c r="D722" s="10"/>
      <c r="E722" s="11"/>
      <c r="F722" s="12" t="str">
        <f t="shared" si="160"/>
        <v/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 x14ac:dyDescent="0.35">
      <c r="A723" s="59">
        <v>46200</v>
      </c>
      <c r="B723" s="15">
        <f t="shared" si="162"/>
        <v>1.083333333333333</v>
      </c>
      <c r="C723" s="16"/>
      <c r="D723" s="16"/>
      <c r="E723" s="11"/>
      <c r="F723" s="17" t="str">
        <f t="shared" si="160"/>
        <v/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 x14ac:dyDescent="0.35">
      <c r="A724" s="58">
        <v>46200</v>
      </c>
      <c r="B724" s="9">
        <f t="shared" si="162"/>
        <v>1.1249999999999998</v>
      </c>
      <c r="C724" s="10"/>
      <c r="D724" s="10"/>
      <c r="E724" s="11"/>
      <c r="F724" s="12" t="str">
        <f t="shared" si="160"/>
        <v/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 x14ac:dyDescent="0.35">
      <c r="A725" s="59">
        <v>46200</v>
      </c>
      <c r="B725" s="15">
        <f t="shared" si="162"/>
        <v>1.1666666666666665</v>
      </c>
      <c r="C725" s="16"/>
      <c r="D725" s="16"/>
      <c r="E725" s="11"/>
      <c r="F725" s="17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 x14ac:dyDescent="0.35">
      <c r="A726" s="58">
        <v>46200</v>
      </c>
      <c r="B726" s="9">
        <f t="shared" si="162"/>
        <v>1.2083333333333333</v>
      </c>
      <c r="C726" s="10"/>
      <c r="D726" s="10"/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 x14ac:dyDescent="0.35">
      <c r="A727" s="59">
        <v>46200</v>
      </c>
      <c r="B727" s="15">
        <f t="shared" si="162"/>
        <v>1.25</v>
      </c>
      <c r="C727" s="16"/>
      <c r="D727" s="16"/>
      <c r="E727" s="11"/>
      <c r="F727" s="17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 x14ac:dyDescent="0.35">
      <c r="A728" s="58">
        <v>46200</v>
      </c>
      <c r="B728" s="9">
        <f t="shared" si="162"/>
        <v>1.2916666666666667</v>
      </c>
      <c r="C728" s="10"/>
      <c r="D728" s="10"/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 x14ac:dyDescent="0.35">
      <c r="A729" s="101" t="s">
        <v>187</v>
      </c>
      <c r="B729" s="101"/>
      <c r="C729" s="101"/>
      <c r="D729" s="101"/>
      <c r="E729" s="19">
        <f>SUM(E717:E728)</f>
        <v>60</v>
      </c>
      <c r="F729" s="19">
        <f>SUM(F717:F728)</f>
        <v>240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186</v>
      </c>
      <c r="N729" s="20">
        <v>680000</v>
      </c>
    </row>
    <row r="730" spans="1:14" ht="18" customHeight="1" x14ac:dyDescent="0.35">
      <c r="A730" s="98" t="s">
        <v>188</v>
      </c>
      <c r="B730" s="98"/>
      <c r="C730" s="98"/>
      <c r="D730" s="98"/>
      <c r="E730" s="22">
        <f>E716+E729</f>
        <v>227</v>
      </c>
      <c r="F730" s="22">
        <f>F716+F729</f>
        <v>908</v>
      </c>
      <c r="G730" s="21"/>
      <c r="H730" s="21"/>
      <c r="I730" s="21"/>
      <c r="J730" s="21"/>
      <c r="K730" s="21"/>
      <c r="L730" s="73">
        <f>IFERROR(L716+L729,"")</f>
        <v>2.4305555555555525E-2</v>
      </c>
      <c r="M730" s="22" t="s">
        <v>189</v>
      </c>
      <c r="N730" s="31">
        <f>IFERROR(N716+N729,"")</f>
        <v>1360000</v>
      </c>
    </row>
    <row r="731" spans="1:14" ht="15" customHeight="1" x14ac:dyDescent="0.35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29"/>
      <c r="N731" s="30"/>
    </row>
    <row r="732" spans="1:14" ht="15" customHeight="1" x14ac:dyDescent="0.35">
      <c r="A732" s="58">
        <v>46201</v>
      </c>
      <c r="B732" s="9">
        <f t="shared" ref="B732:B742" si="165">B731+TIME(0,60,0)</f>
        <v>0.37499999999999967</v>
      </c>
      <c r="C732" s="10"/>
      <c r="D732" s="10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29"/>
      <c r="N732" s="30"/>
    </row>
    <row r="733" spans="1:14" ht="15" customHeight="1" x14ac:dyDescent="0.35">
      <c r="A733" s="59">
        <v>46201</v>
      </c>
      <c r="B733" s="15">
        <f t="shared" si="165"/>
        <v>0.41666666666666635</v>
      </c>
      <c r="C733" s="16"/>
      <c r="D733" s="16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 x14ac:dyDescent="0.35">
      <c r="A734" s="58">
        <v>46201</v>
      </c>
      <c r="B734" s="9">
        <f t="shared" si="165"/>
        <v>0.45833333333333304</v>
      </c>
      <c r="C734" s="10"/>
      <c r="D734" s="10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 x14ac:dyDescent="0.35">
      <c r="A735" s="59">
        <v>46201</v>
      </c>
      <c r="B735" s="15">
        <f t="shared" si="165"/>
        <v>0.49999999999999972</v>
      </c>
      <c r="C735" s="16"/>
      <c r="D735" s="16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 x14ac:dyDescent="0.35">
      <c r="A736" s="58">
        <v>46201</v>
      </c>
      <c r="B736" s="9">
        <f t="shared" si="165"/>
        <v>0.54166666666666641</v>
      </c>
      <c r="C736" s="10"/>
      <c r="D736" s="10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 x14ac:dyDescent="0.35">
      <c r="A737" s="59">
        <v>46201</v>
      </c>
      <c r="B737" s="15">
        <f t="shared" si="165"/>
        <v>0.58333333333333304</v>
      </c>
      <c r="C737" s="16"/>
      <c r="D737" s="16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 x14ac:dyDescent="0.35">
      <c r="A738" s="58">
        <v>46201</v>
      </c>
      <c r="B738" s="9">
        <f t="shared" si="165"/>
        <v>0.62499999999999967</v>
      </c>
      <c r="C738" s="10"/>
      <c r="D738" s="10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 x14ac:dyDescent="0.35">
      <c r="A739" s="59">
        <v>46201</v>
      </c>
      <c r="B739" s="15">
        <f t="shared" si="165"/>
        <v>0.6666666666666663</v>
      </c>
      <c r="C739" s="16"/>
      <c r="D739" s="16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 x14ac:dyDescent="0.35">
      <c r="A740" s="58">
        <v>46201</v>
      </c>
      <c r="B740" s="9">
        <f t="shared" si="165"/>
        <v>0.70833333333333293</v>
      </c>
      <c r="C740" s="10"/>
      <c r="D740" s="10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 x14ac:dyDescent="0.35">
      <c r="A741" s="59">
        <v>46201</v>
      </c>
      <c r="B741" s="15">
        <f t="shared" si="165"/>
        <v>0.74999999999999956</v>
      </c>
      <c r="C741" s="16"/>
      <c r="D741" s="16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 x14ac:dyDescent="0.35">
      <c r="A742" s="58">
        <v>46201</v>
      </c>
      <c r="B742" s="9">
        <f t="shared" si="165"/>
        <v>0.79166666666666619</v>
      </c>
      <c r="C742" s="10"/>
      <c r="D742" s="10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 x14ac:dyDescent="0.35">
      <c r="A743" s="101" t="s">
        <v>185</v>
      </c>
      <c r="B743" s="101"/>
      <c r="C743" s="101"/>
      <c r="D743" s="101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186</v>
      </c>
      <c r="N743" s="20"/>
    </row>
    <row r="744" spans="1:14" ht="15" customHeight="1" x14ac:dyDescent="0.35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 x14ac:dyDescent="0.35">
      <c r="A745" s="59">
        <v>46201</v>
      </c>
      <c r="B745" s="15">
        <f t="shared" ref="B745:B755" si="168">B744+TIME(0,60,0)</f>
        <v>0.87499999999999967</v>
      </c>
      <c r="C745" s="16"/>
      <c r="D745" s="16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 x14ac:dyDescent="0.35">
      <c r="A746" s="58">
        <v>46201</v>
      </c>
      <c r="B746" s="9">
        <f t="shared" si="168"/>
        <v>0.9166666666666663</v>
      </c>
      <c r="C746" s="10"/>
      <c r="D746" s="10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 x14ac:dyDescent="0.35">
      <c r="A747" s="59">
        <v>46201</v>
      </c>
      <c r="B747" s="15">
        <f t="shared" si="168"/>
        <v>0.95833333333333293</v>
      </c>
      <c r="C747" s="16"/>
      <c r="D747" s="16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 x14ac:dyDescent="0.35">
      <c r="A748" s="58">
        <v>46201</v>
      </c>
      <c r="B748" s="9">
        <f t="shared" si="168"/>
        <v>0.99999999999999956</v>
      </c>
      <c r="C748" s="10"/>
      <c r="D748" s="10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 x14ac:dyDescent="0.35">
      <c r="A749" s="59">
        <v>46201</v>
      </c>
      <c r="B749" s="15">
        <f t="shared" si="168"/>
        <v>1.0416666666666663</v>
      </c>
      <c r="C749" s="16"/>
      <c r="D749" s="16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 x14ac:dyDescent="0.35">
      <c r="A750" s="58">
        <v>46201</v>
      </c>
      <c r="B750" s="9">
        <f t="shared" si="168"/>
        <v>1.083333333333333</v>
      </c>
      <c r="C750" s="10"/>
      <c r="D750" s="10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 x14ac:dyDescent="0.35">
      <c r="A751" s="59">
        <v>46201</v>
      </c>
      <c r="B751" s="15">
        <f t="shared" si="168"/>
        <v>1.1249999999999998</v>
      </c>
      <c r="C751" s="16"/>
      <c r="D751" s="16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 x14ac:dyDescent="0.35">
      <c r="A752" s="58">
        <v>46201</v>
      </c>
      <c r="B752" s="9">
        <f t="shared" si="168"/>
        <v>1.1666666666666665</v>
      </c>
      <c r="C752" s="10"/>
      <c r="D752" s="10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 x14ac:dyDescent="0.35">
      <c r="A753" s="59">
        <v>46201</v>
      </c>
      <c r="B753" s="15">
        <f t="shared" si="168"/>
        <v>1.2083333333333333</v>
      </c>
      <c r="C753" s="16"/>
      <c r="D753" s="16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 x14ac:dyDescent="0.35">
      <c r="A754" s="58">
        <v>46201</v>
      </c>
      <c r="B754" s="9">
        <f t="shared" si="168"/>
        <v>1.25</v>
      </c>
      <c r="C754" s="10"/>
      <c r="D754" s="10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 x14ac:dyDescent="0.35">
      <c r="A755" s="59">
        <v>46201</v>
      </c>
      <c r="B755" s="15">
        <f t="shared" si="168"/>
        <v>1.2916666666666667</v>
      </c>
      <c r="C755" s="16"/>
      <c r="D755" s="16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 x14ac:dyDescent="0.35">
      <c r="A756" s="101" t="s">
        <v>187</v>
      </c>
      <c r="B756" s="101"/>
      <c r="C756" s="101"/>
      <c r="D756" s="101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186</v>
      </c>
      <c r="N756" s="20"/>
    </row>
    <row r="757" spans="1:14" ht="18" customHeight="1" x14ac:dyDescent="0.35">
      <c r="A757" s="98" t="s">
        <v>188</v>
      </c>
      <c r="B757" s="98"/>
      <c r="C757" s="98"/>
      <c r="D757" s="98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189</v>
      </c>
      <c r="N757" s="31">
        <f>IFERROR(N743+N756,"")</f>
        <v>0</v>
      </c>
    </row>
    <row r="758" spans="1:14" ht="15" customHeight="1" x14ac:dyDescent="0.35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 x14ac:dyDescent="0.35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 x14ac:dyDescent="0.35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 x14ac:dyDescent="0.35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 x14ac:dyDescent="0.35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 x14ac:dyDescent="0.35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 x14ac:dyDescent="0.35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 x14ac:dyDescent="0.35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 x14ac:dyDescent="0.35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 x14ac:dyDescent="0.35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 x14ac:dyDescent="0.35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 x14ac:dyDescent="0.35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 x14ac:dyDescent="0.35">
      <c r="A770" s="101" t="s">
        <v>185</v>
      </c>
      <c r="B770" s="101"/>
      <c r="C770" s="101"/>
      <c r="D770" s="101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186</v>
      </c>
      <c r="N770" s="20"/>
    </row>
    <row r="771" spans="1:14" ht="15" customHeight="1" x14ac:dyDescent="0.35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 x14ac:dyDescent="0.35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 x14ac:dyDescent="0.35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 x14ac:dyDescent="0.35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 x14ac:dyDescent="0.35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 x14ac:dyDescent="0.35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 x14ac:dyDescent="0.35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 x14ac:dyDescent="0.35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 x14ac:dyDescent="0.35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 x14ac:dyDescent="0.35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 x14ac:dyDescent="0.35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 x14ac:dyDescent="0.35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 x14ac:dyDescent="0.35">
      <c r="A783" s="101" t="s">
        <v>187</v>
      </c>
      <c r="B783" s="101"/>
      <c r="C783" s="101"/>
      <c r="D783" s="101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186</v>
      </c>
      <c r="N783" s="20"/>
    </row>
    <row r="784" spans="1:14" ht="18" customHeight="1" x14ac:dyDescent="0.35">
      <c r="A784" s="98" t="s">
        <v>188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189</v>
      </c>
      <c r="N784" s="31">
        <f>IFERROR(N770+N783,"")</f>
        <v>0</v>
      </c>
    </row>
    <row r="785" spans="1:14" ht="15" customHeight="1" x14ac:dyDescent="0.35">
      <c r="A785" s="59">
        <v>46203</v>
      </c>
      <c r="B785" s="15">
        <v>0.33333333333333298</v>
      </c>
      <c r="C785" s="67"/>
      <c r="D785" s="67"/>
      <c r="E785" s="11"/>
      <c r="F785" s="93" t="str">
        <f t="shared" ref="F785:F796" si="175">IF(E785="","",E785*4)</f>
        <v/>
      </c>
      <c r="G785" s="67"/>
      <c r="H785" s="67"/>
      <c r="I785" s="67"/>
      <c r="J785" s="13"/>
      <c r="K785" s="13"/>
      <c r="L785" s="86" t="str">
        <f t="shared" ref="L785:L796" si="176">IFERROR(IF(K785="","",IF(K785&gt;=J785,K785-J785,K785+1-J785)),"")</f>
        <v/>
      </c>
      <c r="M785" s="29"/>
      <c r="N785" s="30"/>
    </row>
    <row r="786" spans="1:14" ht="15" customHeight="1" x14ac:dyDescent="0.35">
      <c r="A786" s="58">
        <v>46203</v>
      </c>
      <c r="B786" s="9">
        <f t="shared" ref="B786:B796" si="177">B785+TIME(0,60,0)</f>
        <v>0.37499999999999967</v>
      </c>
      <c r="C786" s="76"/>
      <c r="D786" s="76"/>
      <c r="E786" s="11"/>
      <c r="F786" s="80" t="str">
        <f t="shared" si="175"/>
        <v/>
      </c>
      <c r="G786" s="76"/>
      <c r="H786" s="76"/>
      <c r="I786" s="76"/>
      <c r="J786" s="13"/>
      <c r="K786" s="13"/>
      <c r="L786" s="77" t="str">
        <f t="shared" si="176"/>
        <v/>
      </c>
      <c r="M786" s="29"/>
      <c r="N786" s="30"/>
    </row>
    <row r="787" spans="1:14" ht="15" customHeight="1" x14ac:dyDescent="0.35">
      <c r="A787" s="59">
        <v>46203</v>
      </c>
      <c r="B787" s="15">
        <f t="shared" si="177"/>
        <v>0.41666666666666635</v>
      </c>
      <c r="C787" s="67"/>
      <c r="D787" s="67"/>
      <c r="E787" s="11"/>
      <c r="F787" s="93" t="str">
        <f t="shared" si="175"/>
        <v/>
      </c>
      <c r="G787" s="67"/>
      <c r="H787" s="67"/>
      <c r="I787" s="67"/>
      <c r="J787" s="13"/>
      <c r="K787" s="13"/>
      <c r="L787" s="86" t="str">
        <f t="shared" si="176"/>
        <v/>
      </c>
      <c r="M787" s="29"/>
      <c r="N787" s="30"/>
    </row>
    <row r="788" spans="1:14" ht="15" customHeight="1" x14ac:dyDescent="0.35">
      <c r="A788" s="58">
        <v>46203</v>
      </c>
      <c r="B788" s="9">
        <f t="shared" si="177"/>
        <v>0.45833333333333304</v>
      </c>
      <c r="C788" s="76"/>
      <c r="D788" s="76"/>
      <c r="E788" s="11"/>
      <c r="F788" s="80" t="str">
        <f t="shared" si="175"/>
        <v/>
      </c>
      <c r="G788" s="76"/>
      <c r="H788" s="76"/>
      <c r="I788" s="76"/>
      <c r="J788" s="13"/>
      <c r="K788" s="13"/>
      <c r="L788" s="77" t="str">
        <f t="shared" si="176"/>
        <v/>
      </c>
      <c r="M788" s="29"/>
      <c r="N788" s="30"/>
    </row>
    <row r="789" spans="1:14" ht="15" customHeight="1" x14ac:dyDescent="0.35">
      <c r="A789" s="59">
        <v>46203</v>
      </c>
      <c r="B789" s="15">
        <f t="shared" si="177"/>
        <v>0.49999999999999972</v>
      </c>
      <c r="C789" s="67"/>
      <c r="D789" s="67"/>
      <c r="E789" s="11"/>
      <c r="F789" s="93" t="str">
        <f t="shared" si="175"/>
        <v/>
      </c>
      <c r="G789" s="67"/>
      <c r="H789" s="67"/>
      <c r="I789" s="67"/>
      <c r="J789" s="13"/>
      <c r="K789" s="13"/>
      <c r="L789" s="86" t="str">
        <f t="shared" si="176"/>
        <v/>
      </c>
      <c r="M789" s="29"/>
      <c r="N789" s="30"/>
    </row>
    <row r="790" spans="1:14" ht="15" customHeight="1" x14ac:dyDescent="0.35">
      <c r="A790" s="58">
        <v>46203</v>
      </c>
      <c r="B790" s="9">
        <f t="shared" si="177"/>
        <v>0.54166666666666641</v>
      </c>
      <c r="C790" s="76"/>
      <c r="D790" s="76"/>
      <c r="E790" s="11"/>
      <c r="F790" s="80" t="str">
        <f t="shared" si="175"/>
        <v/>
      </c>
      <c r="G790" s="76"/>
      <c r="H790" s="76"/>
      <c r="I790" s="76"/>
      <c r="J790" s="13"/>
      <c r="K790" s="13"/>
      <c r="L790" s="77" t="str">
        <f t="shared" si="176"/>
        <v/>
      </c>
      <c r="M790" s="29"/>
      <c r="N790" s="30"/>
    </row>
    <row r="791" spans="1:14" ht="15" customHeight="1" x14ac:dyDescent="0.35">
      <c r="A791" s="59">
        <v>46203</v>
      </c>
      <c r="B791" s="15">
        <f t="shared" si="177"/>
        <v>0.58333333333333304</v>
      </c>
      <c r="C791" s="67"/>
      <c r="D791" s="67"/>
      <c r="E791" s="11"/>
      <c r="F791" s="93" t="str">
        <f t="shared" si="175"/>
        <v/>
      </c>
      <c r="G791" s="67"/>
      <c r="H791" s="67"/>
      <c r="I791" s="67"/>
      <c r="J791" s="13"/>
      <c r="K791" s="13"/>
      <c r="L791" s="86" t="str">
        <f t="shared" si="176"/>
        <v/>
      </c>
      <c r="M791" s="29"/>
      <c r="N791" s="30"/>
    </row>
    <row r="792" spans="1:14" ht="15" customHeight="1" x14ac:dyDescent="0.35">
      <c r="A792" s="58">
        <v>46203</v>
      </c>
      <c r="B792" s="9">
        <f t="shared" si="177"/>
        <v>0.62499999999999967</v>
      </c>
      <c r="C792" s="76"/>
      <c r="D792" s="76"/>
      <c r="E792" s="11"/>
      <c r="F792" s="80" t="str">
        <f t="shared" si="175"/>
        <v/>
      </c>
      <c r="G792" s="76"/>
      <c r="H792" s="76"/>
      <c r="I792" s="76"/>
      <c r="J792" s="13"/>
      <c r="K792" s="13"/>
      <c r="L792" s="77" t="str">
        <f t="shared" si="176"/>
        <v/>
      </c>
      <c r="M792" s="29"/>
      <c r="N792" s="30"/>
    </row>
    <row r="793" spans="1:14" ht="15" customHeight="1" x14ac:dyDescent="0.35">
      <c r="A793" s="59">
        <v>46203</v>
      </c>
      <c r="B793" s="15">
        <f t="shared" si="177"/>
        <v>0.6666666666666663</v>
      </c>
      <c r="C793" s="67"/>
      <c r="D793" s="67"/>
      <c r="E793" s="11"/>
      <c r="F793" s="93" t="str">
        <f t="shared" si="175"/>
        <v/>
      </c>
      <c r="G793" s="67"/>
      <c r="H793" s="67"/>
      <c r="I793" s="67"/>
      <c r="J793" s="13"/>
      <c r="K793" s="13"/>
      <c r="L793" s="86" t="str">
        <f t="shared" si="176"/>
        <v/>
      </c>
      <c r="M793" s="29"/>
      <c r="N793" s="30"/>
    </row>
    <row r="794" spans="1:14" ht="15" customHeight="1" x14ac:dyDescent="0.35">
      <c r="A794" s="58">
        <v>46203</v>
      </c>
      <c r="B794" s="9">
        <f t="shared" si="177"/>
        <v>0.70833333333333293</v>
      </c>
      <c r="C794" s="76"/>
      <c r="D794" s="76"/>
      <c r="E794" s="11"/>
      <c r="F794" s="80" t="str">
        <f t="shared" si="175"/>
        <v/>
      </c>
      <c r="G794" s="76"/>
      <c r="H794" s="76"/>
      <c r="I794" s="76"/>
      <c r="J794" s="13"/>
      <c r="K794" s="13"/>
      <c r="L794" s="77" t="str">
        <f t="shared" si="176"/>
        <v/>
      </c>
      <c r="M794" s="29"/>
      <c r="N794" s="30"/>
    </row>
    <row r="795" spans="1:14" ht="15" customHeight="1" x14ac:dyDescent="0.35">
      <c r="A795" s="59">
        <v>46203</v>
      </c>
      <c r="B795" s="15">
        <f t="shared" si="177"/>
        <v>0.74999999999999956</v>
      </c>
      <c r="C795" s="67"/>
      <c r="D795" s="67"/>
      <c r="E795" s="11"/>
      <c r="F795" s="93" t="str">
        <f t="shared" si="175"/>
        <v/>
      </c>
      <c r="G795" s="67"/>
      <c r="H795" s="67"/>
      <c r="I795" s="67"/>
      <c r="J795" s="13"/>
      <c r="K795" s="13"/>
      <c r="L795" s="86" t="str">
        <f t="shared" si="176"/>
        <v/>
      </c>
      <c r="M795" s="29"/>
      <c r="N795" s="30"/>
    </row>
    <row r="796" spans="1:14" ht="15" customHeight="1" x14ac:dyDescent="0.35">
      <c r="A796" s="58">
        <v>46203</v>
      </c>
      <c r="B796" s="9">
        <f t="shared" si="177"/>
        <v>0.79166666666666619</v>
      </c>
      <c r="C796" s="76"/>
      <c r="D796" s="76"/>
      <c r="E796" s="11"/>
      <c r="F796" s="80" t="str">
        <f t="shared" si="175"/>
        <v/>
      </c>
      <c r="G796" s="76"/>
      <c r="H796" s="76"/>
      <c r="I796" s="76"/>
      <c r="J796" s="13"/>
      <c r="K796" s="13"/>
      <c r="L796" s="77" t="str">
        <f t="shared" si="176"/>
        <v/>
      </c>
      <c r="M796" s="29"/>
      <c r="N796" s="30"/>
    </row>
    <row r="797" spans="1:14" ht="15.75" customHeight="1" x14ac:dyDescent="0.35">
      <c r="A797" s="101" t="s">
        <v>185</v>
      </c>
      <c r="B797" s="101"/>
      <c r="C797" s="101"/>
      <c r="D797" s="101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186</v>
      </c>
      <c r="N797" s="20"/>
    </row>
    <row r="798" spans="1:14" ht="15" customHeight="1" x14ac:dyDescent="0.35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8">IFERROR(IF(K798="","",IF(K798&gt;=J798,K798-J798,K798+1-J798)),"")</f>
        <v/>
      </c>
      <c r="M798" s="29"/>
      <c r="N798" s="30"/>
    </row>
    <row r="799" spans="1:14" ht="15" customHeight="1" x14ac:dyDescent="0.35">
      <c r="A799" s="59">
        <v>46203</v>
      </c>
      <c r="B799" s="15">
        <f t="shared" ref="B799:B809" si="179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8"/>
        <v/>
      </c>
      <c r="M799" s="29"/>
      <c r="N799" s="30"/>
    </row>
    <row r="800" spans="1:14" ht="15" customHeight="1" x14ac:dyDescent="0.35">
      <c r="A800" s="58">
        <v>46203</v>
      </c>
      <c r="B800" s="9">
        <f t="shared" si="179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8"/>
        <v/>
      </c>
      <c r="M800" s="29"/>
      <c r="N800" s="30"/>
    </row>
    <row r="801" spans="1:14" ht="15" customHeight="1" x14ac:dyDescent="0.35">
      <c r="A801" s="59">
        <v>46203</v>
      </c>
      <c r="B801" s="15">
        <f t="shared" si="179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8"/>
        <v/>
      </c>
      <c r="M801" s="29"/>
      <c r="N801" s="30"/>
    </row>
    <row r="802" spans="1:14" ht="15" customHeight="1" x14ac:dyDescent="0.35">
      <c r="A802" s="58">
        <v>46203</v>
      </c>
      <c r="B802" s="9">
        <f t="shared" si="179"/>
        <v>0.99999999999999956</v>
      </c>
      <c r="C802" s="76"/>
      <c r="D802" s="76"/>
      <c r="E802" s="11"/>
      <c r="F802" s="80" t="str">
        <f t="shared" ref="F802:F809" si="180">IF(E802="","",E802*4)</f>
        <v/>
      </c>
      <c r="G802" s="76"/>
      <c r="H802" s="76"/>
      <c r="I802" s="76"/>
      <c r="J802" s="13"/>
      <c r="K802" s="13"/>
      <c r="L802" s="77" t="str">
        <f t="shared" si="178"/>
        <v/>
      </c>
      <c r="M802" s="29"/>
      <c r="N802" s="30"/>
    </row>
    <row r="803" spans="1:14" ht="15" customHeight="1" x14ac:dyDescent="0.35">
      <c r="A803" s="59">
        <v>46203</v>
      </c>
      <c r="B803" s="15">
        <f t="shared" si="179"/>
        <v>1.0416666666666663</v>
      </c>
      <c r="C803" s="67"/>
      <c r="D803" s="67"/>
      <c r="E803" s="11"/>
      <c r="F803" s="93" t="str">
        <f t="shared" si="180"/>
        <v/>
      </c>
      <c r="G803" s="67"/>
      <c r="H803" s="67"/>
      <c r="I803" s="67"/>
      <c r="J803" s="13"/>
      <c r="K803" s="13"/>
      <c r="L803" s="86" t="str">
        <f t="shared" si="178"/>
        <v/>
      </c>
      <c r="M803" s="29"/>
      <c r="N803" s="30"/>
    </row>
    <row r="804" spans="1:14" ht="15" customHeight="1" x14ac:dyDescent="0.35">
      <c r="A804" s="58">
        <v>46203</v>
      </c>
      <c r="B804" s="9">
        <f t="shared" si="179"/>
        <v>1.083333333333333</v>
      </c>
      <c r="C804" s="76"/>
      <c r="D804" s="76"/>
      <c r="E804" s="11"/>
      <c r="F804" s="80" t="str">
        <f t="shared" si="180"/>
        <v/>
      </c>
      <c r="G804" s="76"/>
      <c r="H804" s="76"/>
      <c r="I804" s="76"/>
      <c r="J804" s="13"/>
      <c r="K804" s="13"/>
      <c r="L804" s="77" t="str">
        <f t="shared" si="178"/>
        <v/>
      </c>
      <c r="M804" s="29"/>
      <c r="N804" s="30"/>
    </row>
    <row r="805" spans="1:14" ht="15" customHeight="1" x14ac:dyDescent="0.35">
      <c r="A805" s="59">
        <v>46203</v>
      </c>
      <c r="B805" s="15">
        <f t="shared" si="179"/>
        <v>1.1249999999999998</v>
      </c>
      <c r="C805" s="67"/>
      <c r="D805" s="67"/>
      <c r="E805" s="11"/>
      <c r="F805" s="93" t="str">
        <f t="shared" si="180"/>
        <v/>
      </c>
      <c r="G805" s="67"/>
      <c r="H805" s="67"/>
      <c r="I805" s="67"/>
      <c r="J805" s="13"/>
      <c r="K805" s="13"/>
      <c r="L805" s="86" t="str">
        <f t="shared" si="178"/>
        <v/>
      </c>
      <c r="M805" s="29"/>
      <c r="N805" s="30"/>
    </row>
    <row r="806" spans="1:14" ht="15" customHeight="1" x14ac:dyDescent="0.35">
      <c r="A806" s="58">
        <v>46203</v>
      </c>
      <c r="B806" s="9">
        <f t="shared" si="179"/>
        <v>1.1666666666666665</v>
      </c>
      <c r="C806" s="76"/>
      <c r="D806" s="76"/>
      <c r="E806" s="11"/>
      <c r="F806" s="80" t="str">
        <f t="shared" si="180"/>
        <v/>
      </c>
      <c r="G806" s="76"/>
      <c r="H806" s="76"/>
      <c r="I806" s="76"/>
      <c r="J806" s="13"/>
      <c r="K806" s="13"/>
      <c r="L806" s="77" t="str">
        <f t="shared" si="178"/>
        <v/>
      </c>
      <c r="M806" s="29"/>
      <c r="N806" s="30"/>
    </row>
    <row r="807" spans="1:14" ht="15" customHeight="1" x14ac:dyDescent="0.35">
      <c r="A807" s="59">
        <v>46203</v>
      </c>
      <c r="B807" s="15">
        <f t="shared" si="179"/>
        <v>1.2083333333333333</v>
      </c>
      <c r="C807" s="67"/>
      <c r="D807" s="67"/>
      <c r="E807" s="11"/>
      <c r="F807" s="93" t="str">
        <f t="shared" si="180"/>
        <v/>
      </c>
      <c r="G807" s="67"/>
      <c r="H807" s="67"/>
      <c r="I807" s="67"/>
      <c r="J807" s="13"/>
      <c r="K807" s="13"/>
      <c r="L807" s="86" t="str">
        <f t="shared" si="178"/>
        <v/>
      </c>
      <c r="M807" s="29"/>
      <c r="N807" s="30"/>
    </row>
    <row r="808" spans="1:14" ht="15" customHeight="1" x14ac:dyDescent="0.35">
      <c r="A808" s="58">
        <v>46203</v>
      </c>
      <c r="B808" s="9">
        <f t="shared" si="179"/>
        <v>1.25</v>
      </c>
      <c r="C808" s="76"/>
      <c r="D808" s="76"/>
      <c r="E808" s="11"/>
      <c r="F808" s="80" t="str">
        <f t="shared" si="180"/>
        <v/>
      </c>
      <c r="G808" s="76"/>
      <c r="H808" s="76"/>
      <c r="I808" s="76"/>
      <c r="J808" s="13"/>
      <c r="K808" s="13"/>
      <c r="L808" s="77" t="str">
        <f t="shared" si="178"/>
        <v/>
      </c>
      <c r="M808" s="29"/>
      <c r="N808" s="30"/>
    </row>
    <row r="809" spans="1:14" ht="15" customHeight="1" x14ac:dyDescent="0.35">
      <c r="A809" s="59">
        <v>46203</v>
      </c>
      <c r="B809" s="15">
        <f t="shared" si="179"/>
        <v>1.2916666666666667</v>
      </c>
      <c r="C809" s="67"/>
      <c r="D809" s="67"/>
      <c r="E809" s="11"/>
      <c r="F809" s="93" t="str">
        <f t="shared" si="180"/>
        <v/>
      </c>
      <c r="G809" s="67"/>
      <c r="H809" s="67"/>
      <c r="I809" s="67"/>
      <c r="J809" s="13"/>
      <c r="K809" s="13"/>
      <c r="L809" s="86" t="str">
        <f t="shared" si="178"/>
        <v/>
      </c>
      <c r="M809" s="29"/>
      <c r="N809" s="30"/>
    </row>
    <row r="810" spans="1:14" ht="15.75" customHeight="1" x14ac:dyDescent="0.35">
      <c r="A810" s="101" t="s">
        <v>187</v>
      </c>
      <c r="B810" s="101"/>
      <c r="C810" s="101"/>
      <c r="D810" s="101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186</v>
      </c>
      <c r="N810" s="20"/>
    </row>
    <row r="811" spans="1:14" ht="18" customHeight="1" x14ac:dyDescent="0.35">
      <c r="A811" s="98" t="s">
        <v>188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189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43:D743"/>
    <mergeCell ref="A756:D756"/>
    <mergeCell ref="A757:D757"/>
    <mergeCell ref="A770:D770"/>
    <mergeCell ref="A783:D783"/>
    <mergeCell ref="A784:D784"/>
    <mergeCell ref="A797:D797"/>
    <mergeCell ref="A810:D810"/>
    <mergeCell ref="A811:D811"/>
  </mergeCells>
  <dataValidations count="1">
    <dataValidation type="list" showErrorMessage="1" errorTitle="Atenção" error="Selecione primeiro o Tipo de Parada (col G) e depois escolha a Descrição da lista." sqref="I2:I681 I683:I900" xr:uid="{00000000-0002-0000-02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1000000}">
          <x14:formula1>
            <xm:f>Cadastro!$C$4:$C$10</xm:f>
          </x14:formula1>
          <x14:formula2>
            <xm:f>0</xm:f>
          </x14:formula2>
          <xm:sqref>D2:D900</xm:sqref>
        </x14:dataValidation>
        <x14:dataValidation type="list" allowBlank="1" showErrorMessage="1" errorTitle="Valor inválido" error="Selecione da lista." xr:uid="{00000000-0002-0000-0200-000002000000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00000000-0002-0000-0200-000000000000}">
          <x14:formula1>
            <xm:f>Cadastro!$A$4:$A$50</xm:f>
          </x14:formula1>
          <x14:formula2>
            <xm:f>0</xm:f>
          </x14:formula2>
          <xm:sqref>D542:D553 C2:C900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O811"/>
  <sheetViews>
    <sheetView showGridLines="0" topLeftCell="B1" zoomScale="80" zoomScaleNormal="80" workbookViewId="0">
      <pane ySplit="1" topLeftCell="A692" activePane="bottomLeft" state="frozen"/>
      <selection pane="bottomLeft" activeCell="N729" sqref="N729"/>
    </sheetView>
  </sheetViews>
  <sheetFormatPr defaultColWidth="8.54296875" defaultRowHeight="14.5" x14ac:dyDescent="0.3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265625" style="7" customWidth="1"/>
    <col min="8" max="8" width="30.453125" style="7" customWidth="1"/>
    <col min="9" max="9" width="46.453125" style="7" customWidth="1"/>
    <col min="10" max="10" width="12" style="7" customWidth="1"/>
    <col min="11" max="11" width="16.453125" style="7" customWidth="1"/>
    <col min="12" max="12" width="14" style="74" customWidth="1"/>
    <col min="13" max="13" width="43.7265625" style="7" customWidth="1"/>
    <col min="14" max="14" width="14" style="7" customWidth="1"/>
  </cols>
  <sheetData>
    <row r="1" spans="1:14" ht="37.5" customHeight="1" x14ac:dyDescent="0.35">
      <c r="A1" s="57" t="s">
        <v>7</v>
      </c>
      <c r="B1" s="8" t="s">
        <v>175</v>
      </c>
      <c r="C1" s="8" t="s">
        <v>12</v>
      </c>
      <c r="D1" s="8" t="s">
        <v>13</v>
      </c>
      <c r="E1" s="8" t="s">
        <v>176</v>
      </c>
      <c r="F1" s="8" t="s">
        <v>292</v>
      </c>
      <c r="G1" s="8" t="s">
        <v>14</v>
      </c>
      <c r="H1" s="8" t="s">
        <v>15</v>
      </c>
      <c r="I1" s="8" t="s">
        <v>178</v>
      </c>
      <c r="J1" s="8" t="s">
        <v>179</v>
      </c>
      <c r="K1" s="8" t="s">
        <v>180</v>
      </c>
      <c r="L1" s="69" t="s">
        <v>181</v>
      </c>
      <c r="M1" s="8" t="s">
        <v>182</v>
      </c>
      <c r="N1" s="8" t="s">
        <v>183</v>
      </c>
    </row>
    <row r="2" spans="1:14" ht="15" customHeight="1" x14ac:dyDescent="0.35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 x14ac:dyDescent="0.35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 x14ac:dyDescent="0.35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 x14ac:dyDescent="0.35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 x14ac:dyDescent="0.35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 x14ac:dyDescent="0.35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 x14ac:dyDescent="0.35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 x14ac:dyDescent="0.35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 x14ac:dyDescent="0.35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 x14ac:dyDescent="0.35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 x14ac:dyDescent="0.35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 x14ac:dyDescent="0.35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 x14ac:dyDescent="0.35">
      <c r="A14" s="101" t="s">
        <v>185</v>
      </c>
      <c r="B14" s="101"/>
      <c r="C14" s="101"/>
      <c r="D14" s="101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186</v>
      </c>
      <c r="N14" s="20"/>
    </row>
    <row r="15" spans="1:14" ht="15" customHeight="1" x14ac:dyDescent="0.35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 x14ac:dyDescent="0.35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 x14ac:dyDescent="0.35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 x14ac:dyDescent="0.35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 x14ac:dyDescent="0.35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 x14ac:dyDescent="0.35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 x14ac:dyDescent="0.35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 x14ac:dyDescent="0.35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 x14ac:dyDescent="0.35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 x14ac:dyDescent="0.35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 x14ac:dyDescent="0.35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 x14ac:dyDescent="0.35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 x14ac:dyDescent="0.35">
      <c r="A27" s="101" t="s">
        <v>187</v>
      </c>
      <c r="B27" s="101"/>
      <c r="C27" s="101"/>
      <c r="D27" s="101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186</v>
      </c>
      <c r="N27" s="20"/>
    </row>
    <row r="28" spans="1:14" ht="18" customHeight="1" x14ac:dyDescent="0.35">
      <c r="A28" s="98" t="s">
        <v>188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189</v>
      </c>
      <c r="N28" s="23">
        <f>IFERROR(N14+N27,"")</f>
        <v>0</v>
      </c>
    </row>
    <row r="29" spans="1:14" ht="15" customHeight="1" x14ac:dyDescent="0.35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 x14ac:dyDescent="0.35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 x14ac:dyDescent="0.35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 x14ac:dyDescent="0.35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 x14ac:dyDescent="0.35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 x14ac:dyDescent="0.35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 x14ac:dyDescent="0.35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 x14ac:dyDescent="0.35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 x14ac:dyDescent="0.35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 x14ac:dyDescent="0.35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 x14ac:dyDescent="0.35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 x14ac:dyDescent="0.35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 x14ac:dyDescent="0.35">
      <c r="A41" s="101" t="s">
        <v>185</v>
      </c>
      <c r="B41" s="101"/>
      <c r="C41" s="101"/>
      <c r="D41" s="101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186</v>
      </c>
      <c r="N41" s="20"/>
    </row>
    <row r="42" spans="1:14" ht="15" customHeight="1" x14ac:dyDescent="0.35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 x14ac:dyDescent="0.35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 x14ac:dyDescent="0.35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 x14ac:dyDescent="0.35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 x14ac:dyDescent="0.35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 x14ac:dyDescent="0.35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 x14ac:dyDescent="0.35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 x14ac:dyDescent="0.35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 x14ac:dyDescent="0.35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 x14ac:dyDescent="0.35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 x14ac:dyDescent="0.35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 x14ac:dyDescent="0.35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 x14ac:dyDescent="0.35">
      <c r="A54" s="101" t="s">
        <v>187</v>
      </c>
      <c r="B54" s="101"/>
      <c r="C54" s="101"/>
      <c r="D54" s="101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186</v>
      </c>
      <c r="N54" s="20"/>
    </row>
    <row r="55" spans="1:14" ht="18" customHeight="1" x14ac:dyDescent="0.35">
      <c r="A55" s="98" t="s">
        <v>188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189</v>
      </c>
      <c r="N55" s="23">
        <f>IFERROR(N41+N54,"")</f>
        <v>0</v>
      </c>
    </row>
    <row r="56" spans="1:14" ht="15" customHeight="1" x14ac:dyDescent="0.35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 x14ac:dyDescent="0.35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 x14ac:dyDescent="0.35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 x14ac:dyDescent="0.35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 x14ac:dyDescent="0.35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 x14ac:dyDescent="0.35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 x14ac:dyDescent="0.35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 x14ac:dyDescent="0.35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 x14ac:dyDescent="0.35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 x14ac:dyDescent="0.35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 x14ac:dyDescent="0.35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 x14ac:dyDescent="0.35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 x14ac:dyDescent="0.35">
      <c r="A68" s="101" t="s">
        <v>185</v>
      </c>
      <c r="B68" s="101"/>
      <c r="C68" s="101"/>
      <c r="D68" s="101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186</v>
      </c>
      <c r="N68" s="20"/>
    </row>
    <row r="69" spans="1:14" ht="15" customHeight="1" x14ac:dyDescent="0.35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 x14ac:dyDescent="0.35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 x14ac:dyDescent="0.35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133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 x14ac:dyDescent="0.35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 x14ac:dyDescent="0.35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 x14ac:dyDescent="0.35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124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 x14ac:dyDescent="0.35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 x14ac:dyDescent="0.35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 x14ac:dyDescent="0.35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 x14ac:dyDescent="0.35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 x14ac:dyDescent="0.35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 x14ac:dyDescent="0.35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293</v>
      </c>
      <c r="I80" s="10" t="s">
        <v>226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 x14ac:dyDescent="0.35">
      <c r="A81" s="101" t="s">
        <v>187</v>
      </c>
      <c r="B81" s="101"/>
      <c r="C81" s="101"/>
      <c r="D81" s="101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186</v>
      </c>
      <c r="N81" s="20">
        <v>206440</v>
      </c>
    </row>
    <row r="82" spans="1:14" ht="18" customHeight="1" x14ac:dyDescent="0.35">
      <c r="A82" s="98" t="s">
        <v>188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189</v>
      </c>
      <c r="N82" s="23">
        <f>IFERROR(N68+N81,"")</f>
        <v>206440</v>
      </c>
    </row>
    <row r="83" spans="1:14" ht="15" customHeight="1" x14ac:dyDescent="0.35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 x14ac:dyDescent="0.35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 x14ac:dyDescent="0.35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 x14ac:dyDescent="0.35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 x14ac:dyDescent="0.35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 x14ac:dyDescent="0.35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 x14ac:dyDescent="0.35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 x14ac:dyDescent="0.35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 x14ac:dyDescent="0.35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 x14ac:dyDescent="0.35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 x14ac:dyDescent="0.35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 x14ac:dyDescent="0.35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 x14ac:dyDescent="0.35">
      <c r="A95" s="101" t="s">
        <v>185</v>
      </c>
      <c r="B95" s="101"/>
      <c r="C95" s="101"/>
      <c r="D95" s="101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186</v>
      </c>
      <c r="N95" s="20"/>
    </row>
    <row r="96" spans="1:14" ht="15" customHeight="1" x14ac:dyDescent="0.35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 x14ac:dyDescent="0.35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 x14ac:dyDescent="0.35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 x14ac:dyDescent="0.35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 x14ac:dyDescent="0.35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 x14ac:dyDescent="0.35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 x14ac:dyDescent="0.35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 x14ac:dyDescent="0.35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 x14ac:dyDescent="0.35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 x14ac:dyDescent="0.35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 x14ac:dyDescent="0.35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 x14ac:dyDescent="0.35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 x14ac:dyDescent="0.35">
      <c r="A108" s="101" t="s">
        <v>187</v>
      </c>
      <c r="B108" s="101"/>
      <c r="C108" s="101"/>
      <c r="D108" s="101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186</v>
      </c>
      <c r="N108" s="20"/>
    </row>
    <row r="109" spans="1:14" ht="18" customHeight="1" x14ac:dyDescent="0.35">
      <c r="A109" s="98" t="s">
        <v>188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189</v>
      </c>
      <c r="N109" s="23">
        <f>IFERROR(N95+N108,"")</f>
        <v>0</v>
      </c>
    </row>
    <row r="110" spans="1:14" ht="15" customHeight="1" x14ac:dyDescent="0.35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 x14ac:dyDescent="0.35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 x14ac:dyDescent="0.35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 x14ac:dyDescent="0.35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 x14ac:dyDescent="0.35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 x14ac:dyDescent="0.35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 x14ac:dyDescent="0.35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 x14ac:dyDescent="0.35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 x14ac:dyDescent="0.35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 x14ac:dyDescent="0.35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 x14ac:dyDescent="0.35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 x14ac:dyDescent="0.35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 x14ac:dyDescent="0.35">
      <c r="A122" s="101" t="s">
        <v>185</v>
      </c>
      <c r="B122" s="101"/>
      <c r="C122" s="101"/>
      <c r="D122" s="101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186</v>
      </c>
      <c r="N122" s="20"/>
    </row>
    <row r="123" spans="1:14" ht="15" customHeight="1" x14ac:dyDescent="0.35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 x14ac:dyDescent="0.35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 x14ac:dyDescent="0.35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 x14ac:dyDescent="0.35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 x14ac:dyDescent="0.35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 x14ac:dyDescent="0.35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 x14ac:dyDescent="0.35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 x14ac:dyDescent="0.35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 x14ac:dyDescent="0.35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 x14ac:dyDescent="0.35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 x14ac:dyDescent="0.35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 x14ac:dyDescent="0.35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 x14ac:dyDescent="0.35">
      <c r="A135" s="101" t="s">
        <v>187</v>
      </c>
      <c r="B135" s="101"/>
      <c r="C135" s="101"/>
      <c r="D135" s="101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186</v>
      </c>
      <c r="N135" s="20"/>
    </row>
    <row r="136" spans="1:14" ht="18" customHeight="1" x14ac:dyDescent="0.35">
      <c r="A136" s="98" t="s">
        <v>188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189</v>
      </c>
      <c r="N136" s="23">
        <f>IFERROR(N122+N135,"")</f>
        <v>0</v>
      </c>
    </row>
    <row r="137" spans="1:14" ht="15" customHeight="1" x14ac:dyDescent="0.35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 x14ac:dyDescent="0.35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 x14ac:dyDescent="0.35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 x14ac:dyDescent="0.35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 x14ac:dyDescent="0.35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 x14ac:dyDescent="0.35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 x14ac:dyDescent="0.35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 x14ac:dyDescent="0.35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 x14ac:dyDescent="0.35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 x14ac:dyDescent="0.35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 x14ac:dyDescent="0.35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 x14ac:dyDescent="0.35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 x14ac:dyDescent="0.35">
      <c r="A149" s="101" t="s">
        <v>185</v>
      </c>
      <c r="B149" s="101"/>
      <c r="C149" s="101"/>
      <c r="D149" s="101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186</v>
      </c>
      <c r="N149" s="20"/>
    </row>
    <row r="150" spans="1:14" ht="15" customHeight="1" x14ac:dyDescent="0.35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 x14ac:dyDescent="0.35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 x14ac:dyDescent="0.35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 x14ac:dyDescent="0.35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 x14ac:dyDescent="0.35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 x14ac:dyDescent="0.35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 x14ac:dyDescent="0.35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 x14ac:dyDescent="0.35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 x14ac:dyDescent="0.35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 x14ac:dyDescent="0.35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 x14ac:dyDescent="0.35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 x14ac:dyDescent="0.35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 x14ac:dyDescent="0.35">
      <c r="A162" s="101" t="s">
        <v>187</v>
      </c>
      <c r="B162" s="101"/>
      <c r="C162" s="101"/>
      <c r="D162" s="101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186</v>
      </c>
      <c r="N162" s="20">
        <v>0</v>
      </c>
    </row>
    <row r="163" spans="1:14" ht="18" customHeight="1" x14ac:dyDescent="0.35">
      <c r="A163" s="98" t="s">
        <v>188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189</v>
      </c>
      <c r="N163" s="23">
        <f>IFERROR(N149+N162,"")</f>
        <v>0</v>
      </c>
    </row>
    <row r="164" spans="1:14" ht="15" customHeight="1" x14ac:dyDescent="0.35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 x14ac:dyDescent="0.35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 x14ac:dyDescent="0.35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 x14ac:dyDescent="0.35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 x14ac:dyDescent="0.35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 x14ac:dyDescent="0.35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 x14ac:dyDescent="0.35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 x14ac:dyDescent="0.35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 x14ac:dyDescent="0.35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 x14ac:dyDescent="0.35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 x14ac:dyDescent="0.35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 x14ac:dyDescent="0.35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 x14ac:dyDescent="0.35">
      <c r="A176" s="101" t="s">
        <v>185</v>
      </c>
      <c r="B176" s="101"/>
      <c r="C176" s="101"/>
      <c r="D176" s="101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186</v>
      </c>
      <c r="N176" s="20">
        <v>0</v>
      </c>
    </row>
    <row r="177" spans="1:14" ht="15" customHeight="1" x14ac:dyDescent="0.35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 x14ac:dyDescent="0.35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 x14ac:dyDescent="0.35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 x14ac:dyDescent="0.35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 x14ac:dyDescent="0.35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 x14ac:dyDescent="0.35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 x14ac:dyDescent="0.35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 x14ac:dyDescent="0.35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 x14ac:dyDescent="0.35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 x14ac:dyDescent="0.35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 x14ac:dyDescent="0.35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 x14ac:dyDescent="0.35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 x14ac:dyDescent="0.35">
      <c r="A189" s="101" t="s">
        <v>187</v>
      </c>
      <c r="B189" s="101"/>
      <c r="C189" s="101"/>
      <c r="D189" s="101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186</v>
      </c>
      <c r="N189" s="20">
        <v>0</v>
      </c>
    </row>
    <row r="190" spans="1:14" ht="18" customHeight="1" x14ac:dyDescent="0.35">
      <c r="A190" s="98" t="s">
        <v>188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189</v>
      </c>
      <c r="N190" s="23">
        <f>IFERROR(N176+N189,"")</f>
        <v>0</v>
      </c>
    </row>
    <row r="191" spans="1:14" ht="15" customHeight="1" x14ac:dyDescent="0.35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 x14ac:dyDescent="0.35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 x14ac:dyDescent="0.35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 x14ac:dyDescent="0.35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 x14ac:dyDescent="0.35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 x14ac:dyDescent="0.35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 x14ac:dyDescent="0.35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 x14ac:dyDescent="0.35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 x14ac:dyDescent="0.35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 x14ac:dyDescent="0.35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 x14ac:dyDescent="0.35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 x14ac:dyDescent="0.35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 x14ac:dyDescent="0.35">
      <c r="A203" s="101" t="s">
        <v>185</v>
      </c>
      <c r="B203" s="101"/>
      <c r="C203" s="101"/>
      <c r="D203" s="101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186</v>
      </c>
      <c r="N203" s="20"/>
    </row>
    <row r="204" spans="1:14" ht="15" customHeight="1" x14ac:dyDescent="0.35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 x14ac:dyDescent="0.35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 x14ac:dyDescent="0.35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 x14ac:dyDescent="0.35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 x14ac:dyDescent="0.35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 x14ac:dyDescent="0.35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 x14ac:dyDescent="0.35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 x14ac:dyDescent="0.35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 x14ac:dyDescent="0.35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 x14ac:dyDescent="0.35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 x14ac:dyDescent="0.35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 x14ac:dyDescent="0.35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 x14ac:dyDescent="0.35">
      <c r="A216" s="101" t="s">
        <v>187</v>
      </c>
      <c r="B216" s="101"/>
      <c r="C216" s="101"/>
      <c r="D216" s="101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186</v>
      </c>
      <c r="N216" s="20"/>
    </row>
    <row r="217" spans="1:14" ht="18" customHeight="1" x14ac:dyDescent="0.35">
      <c r="A217" s="98" t="s">
        <v>188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189</v>
      </c>
      <c r="N217" s="31">
        <f>IFERROR(N203+N216,"")</f>
        <v>0</v>
      </c>
    </row>
    <row r="218" spans="1:14" ht="15" customHeight="1" x14ac:dyDescent="0.35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133</v>
      </c>
      <c r="I218" s="10" t="s">
        <v>140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 x14ac:dyDescent="0.35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 x14ac:dyDescent="0.35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 x14ac:dyDescent="0.35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 x14ac:dyDescent="0.35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 x14ac:dyDescent="0.35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 x14ac:dyDescent="0.35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 x14ac:dyDescent="0.35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 x14ac:dyDescent="0.35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 x14ac:dyDescent="0.35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 x14ac:dyDescent="0.35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 x14ac:dyDescent="0.35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 x14ac:dyDescent="0.35">
      <c r="A230" s="101" t="s">
        <v>185</v>
      </c>
      <c r="B230" s="101"/>
      <c r="C230" s="101"/>
      <c r="D230" s="101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186</v>
      </c>
      <c r="N230" s="20">
        <v>101560</v>
      </c>
    </row>
    <row r="231" spans="1:14" ht="15" customHeight="1" x14ac:dyDescent="0.35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 x14ac:dyDescent="0.35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 x14ac:dyDescent="0.35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 x14ac:dyDescent="0.35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 x14ac:dyDescent="0.35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 x14ac:dyDescent="0.35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 x14ac:dyDescent="0.35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 x14ac:dyDescent="0.35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 x14ac:dyDescent="0.35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 x14ac:dyDescent="0.35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 x14ac:dyDescent="0.35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 x14ac:dyDescent="0.35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 x14ac:dyDescent="0.35">
      <c r="A243" s="101" t="s">
        <v>187</v>
      </c>
      <c r="B243" s="101"/>
      <c r="C243" s="101"/>
      <c r="D243" s="101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186</v>
      </c>
      <c r="N243" s="20">
        <v>180000</v>
      </c>
    </row>
    <row r="244" spans="1:14" ht="18" customHeight="1" x14ac:dyDescent="0.35">
      <c r="A244" s="98" t="s">
        <v>188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189</v>
      </c>
      <c r="N244" s="31">
        <f>IFERROR(N230+N243,"")</f>
        <v>281560</v>
      </c>
    </row>
    <row r="245" spans="1:14" ht="15" customHeight="1" x14ac:dyDescent="0.35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133</v>
      </c>
      <c r="I245" s="16" t="s">
        <v>108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294</v>
      </c>
      <c r="N245" s="30"/>
    </row>
    <row r="246" spans="1:14" ht="15" customHeight="1" x14ac:dyDescent="0.35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133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294</v>
      </c>
      <c r="N246" s="30"/>
    </row>
    <row r="247" spans="1:14" ht="15" customHeight="1" x14ac:dyDescent="0.35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 x14ac:dyDescent="0.35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 x14ac:dyDescent="0.35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 x14ac:dyDescent="0.35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 x14ac:dyDescent="0.35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 x14ac:dyDescent="0.35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 x14ac:dyDescent="0.35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 x14ac:dyDescent="0.35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 x14ac:dyDescent="0.35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 x14ac:dyDescent="0.35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 x14ac:dyDescent="0.35">
      <c r="A257" s="101" t="s">
        <v>185</v>
      </c>
      <c r="B257" s="101"/>
      <c r="C257" s="101"/>
      <c r="D257" s="101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186</v>
      </c>
      <c r="N257" s="20">
        <v>295090</v>
      </c>
    </row>
    <row r="258" spans="1:14" ht="15" customHeight="1" x14ac:dyDescent="0.35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121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237</v>
      </c>
      <c r="N258" s="30"/>
    </row>
    <row r="259" spans="1:14" ht="15" customHeight="1" x14ac:dyDescent="0.35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 x14ac:dyDescent="0.35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 x14ac:dyDescent="0.35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 x14ac:dyDescent="0.35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 x14ac:dyDescent="0.35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 x14ac:dyDescent="0.35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 x14ac:dyDescent="0.35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 x14ac:dyDescent="0.35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 x14ac:dyDescent="0.35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 x14ac:dyDescent="0.35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 x14ac:dyDescent="0.35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 x14ac:dyDescent="0.35">
      <c r="A270" s="101" t="s">
        <v>187</v>
      </c>
      <c r="B270" s="101"/>
      <c r="C270" s="101"/>
      <c r="D270" s="101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186</v>
      </c>
      <c r="N270" s="20">
        <f>103170+137770</f>
        <v>240940</v>
      </c>
    </row>
    <row r="271" spans="1:14" ht="18" customHeight="1" x14ac:dyDescent="0.35">
      <c r="A271" s="98" t="s">
        <v>188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189</v>
      </c>
      <c r="N271" s="31">
        <f>IFERROR(N257+N270,"")</f>
        <v>536030</v>
      </c>
    </row>
    <row r="272" spans="1:14" ht="15" customHeight="1" x14ac:dyDescent="0.35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 x14ac:dyDescent="0.35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 x14ac:dyDescent="0.35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 x14ac:dyDescent="0.35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 x14ac:dyDescent="0.35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139</v>
      </c>
      <c r="I276" s="10" t="s">
        <v>124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 x14ac:dyDescent="0.35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 x14ac:dyDescent="0.35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 x14ac:dyDescent="0.35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 x14ac:dyDescent="0.35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 x14ac:dyDescent="0.35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 x14ac:dyDescent="0.35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 x14ac:dyDescent="0.35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 x14ac:dyDescent="0.35">
      <c r="A284" s="101" t="s">
        <v>185</v>
      </c>
      <c r="B284" s="101"/>
      <c r="C284" s="101"/>
      <c r="D284" s="101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186</v>
      </c>
      <c r="N284" s="20">
        <v>167970</v>
      </c>
    </row>
    <row r="285" spans="1:14" ht="15" customHeight="1" x14ac:dyDescent="0.35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295</v>
      </c>
      <c r="N285" s="30"/>
    </row>
    <row r="286" spans="1:14" ht="15" customHeight="1" x14ac:dyDescent="0.35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 x14ac:dyDescent="0.35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 x14ac:dyDescent="0.35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 x14ac:dyDescent="0.35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 x14ac:dyDescent="0.35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 x14ac:dyDescent="0.35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 x14ac:dyDescent="0.35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 x14ac:dyDescent="0.35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 x14ac:dyDescent="0.35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 x14ac:dyDescent="0.35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 x14ac:dyDescent="0.35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 x14ac:dyDescent="0.35">
      <c r="A297" s="101" t="s">
        <v>187</v>
      </c>
      <c r="B297" s="101"/>
      <c r="C297" s="101"/>
      <c r="D297" s="101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186</v>
      </c>
      <c r="N297" s="20">
        <f>110740+118380</f>
        <v>229120</v>
      </c>
    </row>
    <row r="298" spans="1:14" ht="18" customHeight="1" x14ac:dyDescent="0.35">
      <c r="A298" s="98" t="s">
        <v>188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189</v>
      </c>
      <c r="N298" s="31">
        <f>IFERROR(N284+N297,"")</f>
        <v>397090</v>
      </c>
    </row>
    <row r="299" spans="1:14" ht="15" customHeight="1" x14ac:dyDescent="0.35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296</v>
      </c>
      <c r="N299" s="30"/>
    </row>
    <row r="300" spans="1:14" ht="15" customHeight="1" x14ac:dyDescent="0.35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 x14ac:dyDescent="0.35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 x14ac:dyDescent="0.35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 x14ac:dyDescent="0.35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 x14ac:dyDescent="0.35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 x14ac:dyDescent="0.35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 x14ac:dyDescent="0.35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 x14ac:dyDescent="0.35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 x14ac:dyDescent="0.35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 x14ac:dyDescent="0.35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 x14ac:dyDescent="0.35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 x14ac:dyDescent="0.35">
      <c r="A311" s="101" t="s">
        <v>185</v>
      </c>
      <c r="B311" s="101"/>
      <c r="C311" s="101"/>
      <c r="D311" s="101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186</v>
      </c>
      <c r="N311" s="20">
        <v>298940</v>
      </c>
    </row>
    <row r="312" spans="1:14" ht="15" customHeight="1" x14ac:dyDescent="0.35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 x14ac:dyDescent="0.35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 x14ac:dyDescent="0.35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 x14ac:dyDescent="0.35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 x14ac:dyDescent="0.35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 x14ac:dyDescent="0.35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 x14ac:dyDescent="0.35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 x14ac:dyDescent="0.35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297</v>
      </c>
      <c r="N319" s="30"/>
    </row>
    <row r="320" spans="1:14" ht="15" customHeight="1" x14ac:dyDescent="0.35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 x14ac:dyDescent="0.35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244</v>
      </c>
      <c r="N321" s="30"/>
    </row>
    <row r="322" spans="1:14" ht="15" customHeight="1" x14ac:dyDescent="0.35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 x14ac:dyDescent="0.35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 x14ac:dyDescent="0.35">
      <c r="A324" s="101" t="s">
        <v>187</v>
      </c>
      <c r="B324" s="101"/>
      <c r="C324" s="101"/>
      <c r="D324" s="101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186</v>
      </c>
      <c r="N324" s="20">
        <f>119730+227060</f>
        <v>346790</v>
      </c>
    </row>
    <row r="325" spans="1:14" ht="18" customHeight="1" x14ac:dyDescent="0.35">
      <c r="A325" s="98" t="s">
        <v>188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189</v>
      </c>
      <c r="N325" s="31">
        <f>IFERROR(N311+N324,"")</f>
        <v>645730</v>
      </c>
    </row>
    <row r="326" spans="1:14" ht="15" customHeight="1" x14ac:dyDescent="0.35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 x14ac:dyDescent="0.35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 x14ac:dyDescent="0.35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 x14ac:dyDescent="0.35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110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 x14ac:dyDescent="0.35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 x14ac:dyDescent="0.35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 x14ac:dyDescent="0.35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 x14ac:dyDescent="0.35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 x14ac:dyDescent="0.35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 x14ac:dyDescent="0.35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 x14ac:dyDescent="0.35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 x14ac:dyDescent="0.35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 x14ac:dyDescent="0.35">
      <c r="A338" s="101" t="s">
        <v>185</v>
      </c>
      <c r="B338" s="101"/>
      <c r="C338" s="101"/>
      <c r="D338" s="101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186</v>
      </c>
      <c r="N338" s="20">
        <f>248450+10690</f>
        <v>259140</v>
      </c>
    </row>
    <row r="339" spans="1:14" ht="15" customHeight="1" x14ac:dyDescent="0.35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 x14ac:dyDescent="0.35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 x14ac:dyDescent="0.35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 x14ac:dyDescent="0.35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 x14ac:dyDescent="0.35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 x14ac:dyDescent="0.35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145</v>
      </c>
      <c r="I344" s="10" t="s">
        <v>112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 x14ac:dyDescent="0.35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145</v>
      </c>
      <c r="I345" s="16" t="s">
        <v>112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 x14ac:dyDescent="0.35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109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249</v>
      </c>
      <c r="N346" s="30"/>
    </row>
    <row r="347" spans="1:14" ht="15" customHeight="1" x14ac:dyDescent="0.35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 x14ac:dyDescent="0.35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 x14ac:dyDescent="0.35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 x14ac:dyDescent="0.35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 x14ac:dyDescent="0.35">
      <c r="A351" s="101" t="s">
        <v>187</v>
      </c>
      <c r="B351" s="101"/>
      <c r="C351" s="101"/>
      <c r="D351" s="101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186</v>
      </c>
      <c r="N351" s="20">
        <f>50730+24450</f>
        <v>75180</v>
      </c>
    </row>
    <row r="352" spans="1:14" ht="18" customHeight="1" x14ac:dyDescent="0.35">
      <c r="A352" s="98" t="s">
        <v>188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189</v>
      </c>
      <c r="N352" s="31">
        <f>IFERROR(N338+N351,"")</f>
        <v>334320</v>
      </c>
    </row>
    <row r="353" spans="1:14" ht="15" customHeight="1" x14ac:dyDescent="0.35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252</v>
      </c>
      <c r="N353" s="30"/>
    </row>
    <row r="354" spans="1:14" ht="15" customHeight="1" x14ac:dyDescent="0.35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298</v>
      </c>
      <c r="N354" s="30"/>
    </row>
    <row r="355" spans="1:14" ht="15" customHeight="1" x14ac:dyDescent="0.35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 x14ac:dyDescent="0.35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 x14ac:dyDescent="0.35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 x14ac:dyDescent="0.35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 x14ac:dyDescent="0.35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 x14ac:dyDescent="0.35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 x14ac:dyDescent="0.35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 x14ac:dyDescent="0.35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 x14ac:dyDescent="0.35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 x14ac:dyDescent="0.35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 x14ac:dyDescent="0.35">
      <c r="A365" s="101" t="s">
        <v>185</v>
      </c>
      <c r="B365" s="101"/>
      <c r="C365" s="101"/>
      <c r="D365" s="101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186</v>
      </c>
      <c r="N365" s="20">
        <f>25050+217470</f>
        <v>242520</v>
      </c>
    </row>
    <row r="366" spans="1:14" ht="15" customHeight="1" x14ac:dyDescent="0.35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145</v>
      </c>
      <c r="I366" s="10" t="s">
        <v>112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 x14ac:dyDescent="0.35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 x14ac:dyDescent="0.35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 x14ac:dyDescent="0.35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 x14ac:dyDescent="0.35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 x14ac:dyDescent="0.35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 x14ac:dyDescent="0.35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 x14ac:dyDescent="0.35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 x14ac:dyDescent="0.35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 x14ac:dyDescent="0.35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 x14ac:dyDescent="0.35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 x14ac:dyDescent="0.35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 x14ac:dyDescent="0.35">
      <c r="A378" s="101" t="s">
        <v>187</v>
      </c>
      <c r="B378" s="101"/>
      <c r="C378" s="101"/>
      <c r="D378" s="101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186</v>
      </c>
      <c r="N378" s="20">
        <f>151130+160740</f>
        <v>311870</v>
      </c>
    </row>
    <row r="379" spans="1:14" ht="18" customHeight="1" x14ac:dyDescent="0.35">
      <c r="A379" s="98" t="s">
        <v>188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189</v>
      </c>
      <c r="N379" s="31">
        <f>IFERROR(N365+N378,"")</f>
        <v>554390</v>
      </c>
    </row>
    <row r="380" spans="1:14" ht="15" customHeight="1" x14ac:dyDescent="0.35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 x14ac:dyDescent="0.35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 x14ac:dyDescent="0.35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 x14ac:dyDescent="0.35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 x14ac:dyDescent="0.35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 x14ac:dyDescent="0.35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 x14ac:dyDescent="0.35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 x14ac:dyDescent="0.35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 x14ac:dyDescent="0.35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 x14ac:dyDescent="0.35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 x14ac:dyDescent="0.35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 x14ac:dyDescent="0.35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 x14ac:dyDescent="0.35">
      <c r="A392" s="19" t="s">
        <v>185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186</v>
      </c>
      <c r="N392" s="20">
        <v>506470</v>
      </c>
    </row>
    <row r="393" spans="1:14" ht="15" customHeight="1" x14ac:dyDescent="0.35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 x14ac:dyDescent="0.35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 x14ac:dyDescent="0.35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 x14ac:dyDescent="0.35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 x14ac:dyDescent="0.35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 x14ac:dyDescent="0.35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 x14ac:dyDescent="0.35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 x14ac:dyDescent="0.35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 x14ac:dyDescent="0.35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 x14ac:dyDescent="0.35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 x14ac:dyDescent="0.35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 x14ac:dyDescent="0.35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 x14ac:dyDescent="0.35">
      <c r="A405" s="101" t="s">
        <v>187</v>
      </c>
      <c r="B405" s="101"/>
      <c r="C405" s="101"/>
      <c r="D405" s="101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186</v>
      </c>
      <c r="N405" s="20">
        <v>340530</v>
      </c>
    </row>
    <row r="406" spans="1:14" ht="18" customHeight="1" x14ac:dyDescent="0.35">
      <c r="A406" s="98" t="s">
        <v>188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189</v>
      </c>
      <c r="N406" s="31">
        <f>IFERROR(N392+N405,"")</f>
        <v>847000</v>
      </c>
    </row>
    <row r="407" spans="1:14" ht="15" customHeight="1" x14ac:dyDescent="0.35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 x14ac:dyDescent="0.35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 x14ac:dyDescent="0.35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 x14ac:dyDescent="0.35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 x14ac:dyDescent="0.35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 x14ac:dyDescent="0.35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 x14ac:dyDescent="0.35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 x14ac:dyDescent="0.35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 x14ac:dyDescent="0.35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 x14ac:dyDescent="0.35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 x14ac:dyDescent="0.35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 x14ac:dyDescent="0.35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 x14ac:dyDescent="0.35">
      <c r="A419" s="101" t="s">
        <v>185</v>
      </c>
      <c r="B419" s="101"/>
      <c r="C419" s="101"/>
      <c r="D419" s="101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186</v>
      </c>
      <c r="N419" s="20">
        <v>313490</v>
      </c>
    </row>
    <row r="420" spans="1:14" ht="15" customHeight="1" x14ac:dyDescent="0.35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 x14ac:dyDescent="0.35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 x14ac:dyDescent="0.35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 x14ac:dyDescent="0.35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145</v>
      </c>
      <c r="I423" s="16" t="s">
        <v>112</v>
      </c>
      <c r="J423" s="13"/>
      <c r="K423" s="13"/>
      <c r="L423" s="71" t="str">
        <f t="shared" si="94"/>
        <v/>
      </c>
      <c r="M423" s="11"/>
      <c r="N423" s="30"/>
    </row>
    <row r="424" spans="1:14" ht="15" customHeight="1" x14ac:dyDescent="0.35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 x14ac:dyDescent="0.35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 x14ac:dyDescent="0.35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 x14ac:dyDescent="0.35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 x14ac:dyDescent="0.35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 x14ac:dyDescent="0.35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 x14ac:dyDescent="0.35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 x14ac:dyDescent="0.35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145</v>
      </c>
      <c r="I431" s="16" t="s">
        <v>112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 x14ac:dyDescent="0.35">
      <c r="A432" s="101" t="s">
        <v>187</v>
      </c>
      <c r="B432" s="101"/>
      <c r="C432" s="101"/>
      <c r="D432" s="101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186</v>
      </c>
      <c r="N432" s="20">
        <v>169230</v>
      </c>
    </row>
    <row r="433" spans="1:14" ht="18" customHeight="1" x14ac:dyDescent="0.35">
      <c r="A433" s="98" t="s">
        <v>188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189</v>
      </c>
      <c r="N433" s="31">
        <f>IFERROR(N419+N432,"")</f>
        <v>482720</v>
      </c>
    </row>
    <row r="434" spans="1:14" ht="15" customHeight="1" x14ac:dyDescent="0.35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 x14ac:dyDescent="0.35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 x14ac:dyDescent="0.35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 x14ac:dyDescent="0.35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299</v>
      </c>
      <c r="N437" s="30"/>
    </row>
    <row r="438" spans="1:14" ht="15" customHeight="1" x14ac:dyDescent="0.35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 x14ac:dyDescent="0.35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262</v>
      </c>
      <c r="N439" s="30"/>
    </row>
    <row r="440" spans="1:14" ht="15" customHeight="1" x14ac:dyDescent="0.35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 x14ac:dyDescent="0.35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 x14ac:dyDescent="0.35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 x14ac:dyDescent="0.35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 x14ac:dyDescent="0.35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 x14ac:dyDescent="0.35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 x14ac:dyDescent="0.35">
      <c r="A446" s="101" t="s">
        <v>185</v>
      </c>
      <c r="B446" s="101"/>
      <c r="C446" s="101"/>
      <c r="D446" s="101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186</v>
      </c>
      <c r="N446" s="20">
        <v>269950</v>
      </c>
    </row>
    <row r="447" spans="1:14" ht="15" customHeight="1" x14ac:dyDescent="0.35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300</v>
      </c>
      <c r="N447" s="30"/>
    </row>
    <row r="448" spans="1:14" ht="15" customHeight="1" x14ac:dyDescent="0.35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 x14ac:dyDescent="0.35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147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 x14ac:dyDescent="0.35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 x14ac:dyDescent="0.35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 x14ac:dyDescent="0.35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 x14ac:dyDescent="0.35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 x14ac:dyDescent="0.35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 x14ac:dyDescent="0.35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 x14ac:dyDescent="0.35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 x14ac:dyDescent="0.35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 x14ac:dyDescent="0.35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 x14ac:dyDescent="0.35">
      <c r="A459" s="101" t="s">
        <v>187</v>
      </c>
      <c r="B459" s="101"/>
      <c r="C459" s="101"/>
      <c r="D459" s="101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186</v>
      </c>
      <c r="N459" s="20">
        <v>221750</v>
      </c>
    </row>
    <row r="460" spans="1:14" ht="18" customHeight="1" x14ac:dyDescent="0.35">
      <c r="A460" s="98" t="s">
        <v>188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189</v>
      </c>
      <c r="N460" s="31">
        <f>IFERROR(N446+N459,"")</f>
        <v>491700</v>
      </c>
    </row>
    <row r="461" spans="1:14" ht="15" customHeight="1" x14ac:dyDescent="0.35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 x14ac:dyDescent="0.35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 x14ac:dyDescent="0.35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 x14ac:dyDescent="0.35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113</v>
      </c>
      <c r="I464" s="10" t="s">
        <v>264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266</v>
      </c>
      <c r="N464" s="30"/>
    </row>
    <row r="465" spans="1:14" ht="15" customHeight="1" x14ac:dyDescent="0.35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 x14ac:dyDescent="0.35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 x14ac:dyDescent="0.35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 x14ac:dyDescent="0.35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 x14ac:dyDescent="0.35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 x14ac:dyDescent="0.35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 x14ac:dyDescent="0.35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 x14ac:dyDescent="0.35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266</v>
      </c>
      <c r="N472" s="30"/>
    </row>
    <row r="473" spans="1:14" ht="15.75" customHeight="1" x14ac:dyDescent="0.35">
      <c r="A473" s="101" t="s">
        <v>185</v>
      </c>
      <c r="B473" s="101"/>
      <c r="C473" s="101"/>
      <c r="D473" s="101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186</v>
      </c>
      <c r="N473" s="20">
        <v>208000</v>
      </c>
    </row>
    <row r="474" spans="1:14" ht="15" customHeight="1" x14ac:dyDescent="0.35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 x14ac:dyDescent="0.35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 x14ac:dyDescent="0.35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 x14ac:dyDescent="0.35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 x14ac:dyDescent="0.35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 x14ac:dyDescent="0.35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 x14ac:dyDescent="0.35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 x14ac:dyDescent="0.35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 x14ac:dyDescent="0.35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 x14ac:dyDescent="0.35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 x14ac:dyDescent="0.35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 x14ac:dyDescent="0.35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 x14ac:dyDescent="0.35">
      <c r="A486" s="101" t="s">
        <v>187</v>
      </c>
      <c r="B486" s="101"/>
      <c r="C486" s="101"/>
      <c r="D486" s="101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186</v>
      </c>
      <c r="N486" s="20">
        <v>240000</v>
      </c>
    </row>
    <row r="487" spans="1:14" ht="18" customHeight="1" x14ac:dyDescent="0.35">
      <c r="A487" s="98" t="s">
        <v>188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189</v>
      </c>
      <c r="N487" s="31">
        <f>IFERROR(N473+N486,"")</f>
        <v>448000</v>
      </c>
    </row>
    <row r="488" spans="1:14" ht="15" customHeight="1" x14ac:dyDescent="0.35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 x14ac:dyDescent="0.35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 x14ac:dyDescent="0.35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 x14ac:dyDescent="0.35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 x14ac:dyDescent="0.35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 x14ac:dyDescent="0.35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 x14ac:dyDescent="0.35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 x14ac:dyDescent="0.35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 x14ac:dyDescent="0.35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 x14ac:dyDescent="0.35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 x14ac:dyDescent="0.35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 x14ac:dyDescent="0.35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 x14ac:dyDescent="0.35">
      <c r="A500" s="101" t="s">
        <v>185</v>
      </c>
      <c r="B500" s="101"/>
      <c r="C500" s="101"/>
      <c r="D500" s="101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186</v>
      </c>
      <c r="N500" s="20">
        <f>39010+12770+77040</f>
        <v>128820</v>
      </c>
    </row>
    <row r="501" spans="1:14" ht="15" customHeight="1" x14ac:dyDescent="0.35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 x14ac:dyDescent="0.35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 x14ac:dyDescent="0.35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 x14ac:dyDescent="0.35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 x14ac:dyDescent="0.35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 x14ac:dyDescent="0.35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 x14ac:dyDescent="0.35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 x14ac:dyDescent="0.35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 x14ac:dyDescent="0.35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 x14ac:dyDescent="0.35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 x14ac:dyDescent="0.35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 x14ac:dyDescent="0.35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 x14ac:dyDescent="0.35">
      <c r="A513" s="101" t="s">
        <v>187</v>
      </c>
      <c r="B513" s="101"/>
      <c r="C513" s="101"/>
      <c r="D513" s="101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186</v>
      </c>
      <c r="N513" s="20">
        <v>3930</v>
      </c>
    </row>
    <row r="514" spans="1:14" ht="18" customHeight="1" x14ac:dyDescent="0.35">
      <c r="A514" s="98" t="s">
        <v>188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189</v>
      </c>
      <c r="N514" s="31">
        <f>IFERROR(N500+N513,"")</f>
        <v>132750</v>
      </c>
    </row>
    <row r="515" spans="1:14" ht="15" customHeight="1" x14ac:dyDescent="0.35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 x14ac:dyDescent="0.35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 x14ac:dyDescent="0.35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 x14ac:dyDescent="0.35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 x14ac:dyDescent="0.35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 x14ac:dyDescent="0.35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 x14ac:dyDescent="0.35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 x14ac:dyDescent="0.35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 x14ac:dyDescent="0.35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 x14ac:dyDescent="0.35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 x14ac:dyDescent="0.35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 x14ac:dyDescent="0.35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 x14ac:dyDescent="0.35">
      <c r="A527" s="101" t="s">
        <v>185</v>
      </c>
      <c r="B527" s="101"/>
      <c r="C527" s="101"/>
      <c r="D527" s="101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186</v>
      </c>
      <c r="N527" s="20">
        <v>164000</v>
      </c>
    </row>
    <row r="528" spans="1:14" ht="15" customHeight="1" x14ac:dyDescent="0.35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139</v>
      </c>
      <c r="I528" s="10" t="s">
        <v>124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301</v>
      </c>
      <c r="N528" s="30"/>
    </row>
    <row r="529" spans="1:14" ht="15" customHeight="1" x14ac:dyDescent="0.35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97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272</v>
      </c>
      <c r="N529" s="30"/>
    </row>
    <row r="530" spans="1:14" ht="15" customHeight="1" x14ac:dyDescent="0.35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 x14ac:dyDescent="0.35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147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 x14ac:dyDescent="0.35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 x14ac:dyDescent="0.35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 x14ac:dyDescent="0.35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 x14ac:dyDescent="0.35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 x14ac:dyDescent="0.35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 x14ac:dyDescent="0.35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 x14ac:dyDescent="0.35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 x14ac:dyDescent="0.35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 x14ac:dyDescent="0.35">
      <c r="A540" s="101" t="s">
        <v>187</v>
      </c>
      <c r="B540" s="101"/>
      <c r="C540" s="101"/>
      <c r="D540" s="101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186</v>
      </c>
      <c r="N540" s="20">
        <v>304230</v>
      </c>
    </row>
    <row r="541" spans="1:14" ht="18" customHeight="1" x14ac:dyDescent="0.35">
      <c r="A541" s="98" t="s">
        <v>188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189</v>
      </c>
      <c r="N541" s="31">
        <f>IFERROR(N527+N540,"")</f>
        <v>468230</v>
      </c>
    </row>
    <row r="542" spans="1:14" ht="15" customHeight="1" x14ac:dyDescent="0.35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260</v>
      </c>
      <c r="N542" s="30"/>
    </row>
    <row r="543" spans="1:14" ht="15" customHeight="1" x14ac:dyDescent="0.35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 x14ac:dyDescent="0.35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 x14ac:dyDescent="0.35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 x14ac:dyDescent="0.35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 x14ac:dyDescent="0.35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 x14ac:dyDescent="0.35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 x14ac:dyDescent="0.35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 x14ac:dyDescent="0.35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 x14ac:dyDescent="0.35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 x14ac:dyDescent="0.35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 x14ac:dyDescent="0.35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 x14ac:dyDescent="0.35">
      <c r="A554" s="101" t="s">
        <v>185</v>
      </c>
      <c r="B554" s="101"/>
      <c r="C554" s="101"/>
      <c r="D554" s="101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186</v>
      </c>
      <c r="N554" s="20">
        <v>202310</v>
      </c>
    </row>
    <row r="555" spans="1:14" ht="15" customHeight="1" x14ac:dyDescent="0.35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 x14ac:dyDescent="0.35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128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 x14ac:dyDescent="0.35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128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 x14ac:dyDescent="0.35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 x14ac:dyDescent="0.35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 x14ac:dyDescent="0.35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 x14ac:dyDescent="0.35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 x14ac:dyDescent="0.35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 x14ac:dyDescent="0.35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 x14ac:dyDescent="0.35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 x14ac:dyDescent="0.35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 x14ac:dyDescent="0.35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 x14ac:dyDescent="0.35">
      <c r="A567" s="101" t="s">
        <v>187</v>
      </c>
      <c r="B567" s="101"/>
      <c r="C567" s="101"/>
      <c r="D567" s="101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186</v>
      </c>
      <c r="N567" s="20">
        <v>437260</v>
      </c>
    </row>
    <row r="568" spans="1:14" ht="18" customHeight="1" x14ac:dyDescent="0.35">
      <c r="A568" s="98" t="s">
        <v>188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189</v>
      </c>
      <c r="N568" s="31">
        <f>IFERROR(N554+N567,"")</f>
        <v>639570</v>
      </c>
    </row>
    <row r="569" spans="1:14" ht="15" customHeight="1" x14ac:dyDescent="0.35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157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302</v>
      </c>
      <c r="N569" s="30"/>
    </row>
    <row r="570" spans="1:14" ht="15" customHeight="1" x14ac:dyDescent="0.35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159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 x14ac:dyDescent="0.35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 x14ac:dyDescent="0.35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 x14ac:dyDescent="0.35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 x14ac:dyDescent="0.35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 x14ac:dyDescent="0.35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 x14ac:dyDescent="0.35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 x14ac:dyDescent="0.35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 x14ac:dyDescent="0.35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 x14ac:dyDescent="0.35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 x14ac:dyDescent="0.35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 x14ac:dyDescent="0.35">
      <c r="A581" s="101" t="s">
        <v>185</v>
      </c>
      <c r="B581" s="101"/>
      <c r="C581" s="101"/>
      <c r="D581" s="101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186</v>
      </c>
      <c r="N581" s="20">
        <v>196620</v>
      </c>
    </row>
    <row r="582" spans="1:14" ht="15" customHeight="1" x14ac:dyDescent="0.35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 x14ac:dyDescent="0.35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125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 x14ac:dyDescent="0.35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 x14ac:dyDescent="0.35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 x14ac:dyDescent="0.35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303</v>
      </c>
      <c r="N586" s="30"/>
    </row>
    <row r="587" spans="1:14" ht="15" customHeight="1" x14ac:dyDescent="0.35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125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 x14ac:dyDescent="0.35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244</v>
      </c>
      <c r="N588" s="30"/>
    </row>
    <row r="589" spans="1:14" ht="15" customHeight="1" x14ac:dyDescent="0.35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 x14ac:dyDescent="0.35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 x14ac:dyDescent="0.35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 x14ac:dyDescent="0.35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 x14ac:dyDescent="0.35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 x14ac:dyDescent="0.35">
      <c r="A594" s="101" t="s">
        <v>187</v>
      </c>
      <c r="B594" s="101"/>
      <c r="C594" s="101"/>
      <c r="D594" s="101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186</v>
      </c>
      <c r="N594" s="20">
        <v>269570</v>
      </c>
    </row>
    <row r="595" spans="1:14" ht="18" customHeight="1" x14ac:dyDescent="0.35">
      <c r="A595" s="98" t="s">
        <v>188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189</v>
      </c>
      <c r="N595" s="31">
        <f>IFERROR(N581+N594,"")</f>
        <v>466190</v>
      </c>
    </row>
    <row r="596" spans="1:14" ht="15" customHeight="1" x14ac:dyDescent="0.35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 x14ac:dyDescent="0.35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146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 x14ac:dyDescent="0.35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157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 x14ac:dyDescent="0.35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 x14ac:dyDescent="0.35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 x14ac:dyDescent="0.35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 x14ac:dyDescent="0.35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 x14ac:dyDescent="0.35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 x14ac:dyDescent="0.35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 x14ac:dyDescent="0.35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 x14ac:dyDescent="0.35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 x14ac:dyDescent="0.35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 x14ac:dyDescent="0.35">
      <c r="A608" s="101" t="s">
        <v>185</v>
      </c>
      <c r="B608" s="101"/>
      <c r="C608" s="101"/>
      <c r="D608" s="101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186</v>
      </c>
      <c r="N608" s="20">
        <v>221720</v>
      </c>
    </row>
    <row r="609" spans="1:14" ht="15" customHeight="1" x14ac:dyDescent="0.35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121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 x14ac:dyDescent="0.35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161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 x14ac:dyDescent="0.35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 x14ac:dyDescent="0.35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160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304</v>
      </c>
      <c r="N612" s="30"/>
    </row>
    <row r="613" spans="1:14" ht="15" customHeight="1" x14ac:dyDescent="0.35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 x14ac:dyDescent="0.35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 x14ac:dyDescent="0.35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 x14ac:dyDescent="0.35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 x14ac:dyDescent="0.35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 x14ac:dyDescent="0.35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 x14ac:dyDescent="0.35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 x14ac:dyDescent="0.35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 x14ac:dyDescent="0.35">
      <c r="A621" s="101" t="s">
        <v>187</v>
      </c>
      <c r="B621" s="101"/>
      <c r="C621" s="101"/>
      <c r="D621" s="101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186</v>
      </c>
      <c r="N621" s="20">
        <v>176650</v>
      </c>
    </row>
    <row r="622" spans="1:14" ht="18" customHeight="1" x14ac:dyDescent="0.35">
      <c r="A622" s="98" t="s">
        <v>188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189</v>
      </c>
      <c r="N622" s="31">
        <f>IFERROR(N608+N621,"")</f>
        <v>398370</v>
      </c>
    </row>
    <row r="623" spans="1:14" ht="15" customHeight="1" x14ac:dyDescent="0.35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305</v>
      </c>
      <c r="N623" s="30"/>
    </row>
    <row r="624" spans="1:14" ht="15" customHeight="1" x14ac:dyDescent="0.35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 x14ac:dyDescent="0.35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 x14ac:dyDescent="0.35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 x14ac:dyDescent="0.35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 x14ac:dyDescent="0.35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 x14ac:dyDescent="0.35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 x14ac:dyDescent="0.35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 x14ac:dyDescent="0.35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 x14ac:dyDescent="0.35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 x14ac:dyDescent="0.35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 x14ac:dyDescent="0.35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 x14ac:dyDescent="0.35">
      <c r="A635" s="101" t="s">
        <v>185</v>
      </c>
      <c r="B635" s="101"/>
      <c r="C635" s="101"/>
      <c r="D635" s="101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186</v>
      </c>
      <c r="N635" s="20">
        <v>255890</v>
      </c>
    </row>
    <row r="636" spans="1:14" ht="15" customHeight="1" x14ac:dyDescent="0.35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 x14ac:dyDescent="0.35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 x14ac:dyDescent="0.35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306</v>
      </c>
      <c r="N638" s="30"/>
    </row>
    <row r="639" spans="1:14" ht="15" customHeight="1" x14ac:dyDescent="0.35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 x14ac:dyDescent="0.35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 x14ac:dyDescent="0.35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 x14ac:dyDescent="0.35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 x14ac:dyDescent="0.35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 x14ac:dyDescent="0.35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 x14ac:dyDescent="0.35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 x14ac:dyDescent="0.35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 x14ac:dyDescent="0.35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 x14ac:dyDescent="0.35">
      <c r="A648" s="101" t="s">
        <v>187</v>
      </c>
      <c r="B648" s="101"/>
      <c r="C648" s="101"/>
      <c r="D648" s="101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186</v>
      </c>
      <c r="N648" s="20">
        <f>154590+56700</f>
        <v>211290</v>
      </c>
    </row>
    <row r="649" spans="1:14" ht="18" customHeight="1" x14ac:dyDescent="0.35">
      <c r="A649" s="98" t="s">
        <v>188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189</v>
      </c>
      <c r="N649" s="31">
        <f>IFERROR(N635+N648,"")</f>
        <v>467180</v>
      </c>
    </row>
    <row r="650" spans="1:14" ht="15" customHeight="1" x14ac:dyDescent="0.35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 x14ac:dyDescent="0.35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 x14ac:dyDescent="0.35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128</v>
      </c>
      <c r="I652" s="10" t="s">
        <v>98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 x14ac:dyDescent="0.35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 x14ac:dyDescent="0.35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 x14ac:dyDescent="0.35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 x14ac:dyDescent="0.35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 x14ac:dyDescent="0.35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 x14ac:dyDescent="0.35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 x14ac:dyDescent="0.35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 x14ac:dyDescent="0.35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 x14ac:dyDescent="0.35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 x14ac:dyDescent="0.35">
      <c r="A662" s="101" t="s">
        <v>185</v>
      </c>
      <c r="B662" s="101"/>
      <c r="C662" s="101"/>
      <c r="D662" s="101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186</v>
      </c>
      <c r="N662" s="20">
        <v>148190</v>
      </c>
    </row>
    <row r="663" spans="1:14" ht="15" customHeight="1" x14ac:dyDescent="0.35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 x14ac:dyDescent="0.35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 x14ac:dyDescent="0.35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121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 x14ac:dyDescent="0.35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 x14ac:dyDescent="0.35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 x14ac:dyDescent="0.35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 x14ac:dyDescent="0.35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 x14ac:dyDescent="0.35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 x14ac:dyDescent="0.35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 x14ac:dyDescent="0.35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 x14ac:dyDescent="0.35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 x14ac:dyDescent="0.35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 x14ac:dyDescent="0.35">
      <c r="A675" s="101" t="s">
        <v>187</v>
      </c>
      <c r="B675" s="101"/>
      <c r="C675" s="101"/>
      <c r="D675" s="101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186</v>
      </c>
      <c r="N675" s="20">
        <v>234010</v>
      </c>
    </row>
    <row r="676" spans="1:14" ht="18" customHeight="1" x14ac:dyDescent="0.35">
      <c r="A676" s="98" t="s">
        <v>188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189</v>
      </c>
      <c r="N676" s="31">
        <f>IFERROR(N662+N675,"")</f>
        <v>382200</v>
      </c>
    </row>
    <row r="677" spans="1:14" ht="15" customHeight="1" x14ac:dyDescent="0.35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 x14ac:dyDescent="0.35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157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307</v>
      </c>
      <c r="N678" s="30"/>
    </row>
    <row r="679" spans="1:14" ht="15" customHeight="1" x14ac:dyDescent="0.35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167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 x14ac:dyDescent="0.35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 x14ac:dyDescent="0.35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 x14ac:dyDescent="0.35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 x14ac:dyDescent="0.35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 x14ac:dyDescent="0.35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 x14ac:dyDescent="0.35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 x14ac:dyDescent="0.35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 x14ac:dyDescent="0.35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 x14ac:dyDescent="0.35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 x14ac:dyDescent="0.35">
      <c r="A689" s="101" t="s">
        <v>185</v>
      </c>
      <c r="B689" s="101"/>
      <c r="C689" s="101"/>
      <c r="D689" s="101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186</v>
      </c>
      <c r="N689" s="20">
        <v>155700</v>
      </c>
    </row>
    <row r="690" spans="1:14" ht="15" customHeight="1" x14ac:dyDescent="0.35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 x14ac:dyDescent="0.35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121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 x14ac:dyDescent="0.35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 x14ac:dyDescent="0.35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 x14ac:dyDescent="0.35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 x14ac:dyDescent="0.35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 x14ac:dyDescent="0.35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 x14ac:dyDescent="0.35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 x14ac:dyDescent="0.35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 x14ac:dyDescent="0.35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 x14ac:dyDescent="0.35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 x14ac:dyDescent="0.35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 x14ac:dyDescent="0.35">
      <c r="A702" s="101" t="s">
        <v>187</v>
      </c>
      <c r="B702" s="101"/>
      <c r="C702" s="101"/>
      <c r="D702" s="101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186</v>
      </c>
      <c r="N702" s="20">
        <f>151740+85690</f>
        <v>237430</v>
      </c>
    </row>
    <row r="703" spans="1:14" ht="18" customHeight="1" x14ac:dyDescent="0.35">
      <c r="A703" s="98" t="s">
        <v>188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189</v>
      </c>
      <c r="N703" s="31">
        <f>IFERROR(N689+N702,"")</f>
        <v>393130</v>
      </c>
    </row>
    <row r="704" spans="1:14" ht="15" customHeight="1" x14ac:dyDescent="0.35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/>
      <c r="H704" s="10"/>
      <c r="I704" s="10"/>
      <c r="J704" s="13"/>
      <c r="K704" s="13"/>
      <c r="L704" s="70" t="str">
        <f t="shared" ref="L704:L715" si="157">IFERROR(IF(K704="","",IF(K704&gt;=J704,K704-J704,K704+1-J704)),"")</f>
        <v/>
      </c>
      <c r="M704" s="11"/>
      <c r="N704" s="30"/>
    </row>
    <row r="705" spans="1:15" ht="15" customHeight="1" x14ac:dyDescent="0.35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/>
      <c r="H705" s="16"/>
      <c r="I705" s="16"/>
      <c r="J705" s="13"/>
      <c r="K705" s="13"/>
      <c r="L705" s="71" t="str">
        <f t="shared" si="157"/>
        <v/>
      </c>
      <c r="M705" s="11"/>
      <c r="N705" s="30"/>
    </row>
    <row r="706" spans="1:15" ht="15" customHeight="1" x14ac:dyDescent="0.35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5" ht="15" customHeight="1" x14ac:dyDescent="0.35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  <c r="O707" s="97"/>
    </row>
    <row r="708" spans="1:15" ht="15" customHeight="1" x14ac:dyDescent="0.35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30</v>
      </c>
      <c r="F708" s="12">
        <f t="shared" si="156"/>
        <v>120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5" ht="15" customHeight="1" x14ac:dyDescent="0.35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20</v>
      </c>
      <c r="F709" s="17">
        <f t="shared" si="156"/>
        <v>80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5" ht="15" customHeight="1" x14ac:dyDescent="0.35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30</v>
      </c>
      <c r="F710" s="12">
        <f t="shared" si="156"/>
        <v>120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5" ht="15" customHeight="1" x14ac:dyDescent="0.35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20</v>
      </c>
      <c r="F711" s="17">
        <f t="shared" si="156"/>
        <v>80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5" ht="15" customHeight="1" x14ac:dyDescent="0.35">
      <c r="A712" s="58">
        <v>46200</v>
      </c>
      <c r="B712" s="9">
        <f t="shared" si="158"/>
        <v>0.6666666666666663</v>
      </c>
      <c r="C712" s="10" t="s">
        <v>21</v>
      </c>
      <c r="D712" s="10" t="s">
        <v>38</v>
      </c>
      <c r="E712" s="11">
        <v>30</v>
      </c>
      <c r="F712" s="12">
        <f t="shared" si="156"/>
        <v>120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5" ht="15" customHeight="1" x14ac:dyDescent="0.35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20</v>
      </c>
      <c r="F713" s="17">
        <f t="shared" si="156"/>
        <v>80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5" ht="15" customHeight="1" x14ac:dyDescent="0.35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30</v>
      </c>
      <c r="F714" s="12">
        <f t="shared" si="156"/>
        <v>120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5" ht="15" customHeight="1" x14ac:dyDescent="0.35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20</v>
      </c>
      <c r="F715" s="17">
        <f t="shared" si="156"/>
        <v>80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5" ht="15.75" customHeight="1" x14ac:dyDescent="0.35">
      <c r="A716" s="101" t="s">
        <v>185</v>
      </c>
      <c r="B716" s="101"/>
      <c r="C716" s="101"/>
      <c r="D716" s="101"/>
      <c r="E716" s="19">
        <f>SUM(E704:E715)</f>
        <v>226</v>
      </c>
      <c r="F716" s="19">
        <f>SUM(F704:F715)</f>
        <v>904</v>
      </c>
      <c r="G716" s="18"/>
      <c r="H716" s="18"/>
      <c r="I716" s="18"/>
      <c r="J716" s="18"/>
      <c r="K716" s="18"/>
      <c r="L716" s="72">
        <f>IFERROR(SUM(L704:L715),"")</f>
        <v>0</v>
      </c>
      <c r="M716" s="19" t="s">
        <v>186</v>
      </c>
      <c r="N716" s="20">
        <v>980000</v>
      </c>
    </row>
    <row r="717" spans="1:15" ht="15" customHeight="1" x14ac:dyDescent="0.35">
      <c r="A717" s="59">
        <v>46200</v>
      </c>
      <c r="B717" s="15">
        <v>0.83333333333333304</v>
      </c>
      <c r="C717" s="16"/>
      <c r="D717" s="16"/>
      <c r="E717" s="11">
        <v>10</v>
      </c>
      <c r="F717" s="17">
        <f t="shared" ref="F717:F728" si="159">IF(E717="","",E717*4)</f>
        <v>40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5" ht="15" customHeight="1" x14ac:dyDescent="0.35">
      <c r="A718" s="58">
        <v>46200</v>
      </c>
      <c r="B718" s="9">
        <f t="shared" ref="B718:B728" si="161">B717+TIME(0,60,0)</f>
        <v>0.87499999999999967</v>
      </c>
      <c r="C718" s="10"/>
      <c r="D718" s="10"/>
      <c r="E718" s="11">
        <v>10</v>
      </c>
      <c r="F718" s="12">
        <f t="shared" si="159"/>
        <v>40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5" ht="15" customHeight="1" x14ac:dyDescent="0.35">
      <c r="A719" s="59">
        <v>46200</v>
      </c>
      <c r="B719" s="15">
        <f t="shared" si="161"/>
        <v>0.9166666666666663</v>
      </c>
      <c r="C719" s="16"/>
      <c r="D719" s="16"/>
      <c r="E719" s="11">
        <v>10</v>
      </c>
      <c r="F719" s="17">
        <f t="shared" si="159"/>
        <v>40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5" ht="15" customHeight="1" x14ac:dyDescent="0.35">
      <c r="A720" s="58">
        <v>46200</v>
      </c>
      <c r="B720" s="9">
        <f t="shared" si="161"/>
        <v>0.95833333333333293</v>
      </c>
      <c r="C720" s="10"/>
      <c r="D720" s="10"/>
      <c r="E720" s="11"/>
      <c r="F720" s="12" t="str">
        <f t="shared" si="159"/>
        <v/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 x14ac:dyDescent="0.35">
      <c r="A721" s="59">
        <v>46200</v>
      </c>
      <c r="B721" s="15">
        <f t="shared" si="161"/>
        <v>0.99999999999999956</v>
      </c>
      <c r="C721" s="16"/>
      <c r="D721" s="16"/>
      <c r="E721" s="11"/>
      <c r="F721" s="17" t="str">
        <f t="shared" si="159"/>
        <v/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 x14ac:dyDescent="0.35">
      <c r="A722" s="58">
        <v>46200</v>
      </c>
      <c r="B722" s="9">
        <f t="shared" si="161"/>
        <v>1.0416666666666663</v>
      </c>
      <c r="C722" s="10"/>
      <c r="D722" s="10"/>
      <c r="E722" s="11"/>
      <c r="F722" s="12" t="str">
        <f t="shared" si="159"/>
        <v/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 x14ac:dyDescent="0.35">
      <c r="A723" s="59">
        <v>46200</v>
      </c>
      <c r="B723" s="15">
        <f t="shared" si="161"/>
        <v>1.083333333333333</v>
      </c>
      <c r="C723" s="16"/>
      <c r="D723" s="16"/>
      <c r="E723" s="11"/>
      <c r="F723" s="17" t="str">
        <f t="shared" si="159"/>
        <v/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 x14ac:dyDescent="0.35">
      <c r="A724" s="58">
        <v>46200</v>
      </c>
      <c r="B724" s="9">
        <f t="shared" si="161"/>
        <v>1.1249999999999998</v>
      </c>
      <c r="C724" s="10"/>
      <c r="D724" s="10"/>
      <c r="E724" s="11"/>
      <c r="F724" s="12" t="str">
        <f t="shared" si="159"/>
        <v/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 x14ac:dyDescent="0.35">
      <c r="A725" s="59">
        <v>46200</v>
      </c>
      <c r="B725" s="15">
        <f t="shared" si="161"/>
        <v>1.1666666666666665</v>
      </c>
      <c r="C725" s="16"/>
      <c r="D725" s="16"/>
      <c r="E725" s="11"/>
      <c r="F725" s="17" t="str">
        <f t="shared" si="159"/>
        <v/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 x14ac:dyDescent="0.35">
      <c r="A726" s="58">
        <v>46200</v>
      </c>
      <c r="B726" s="9">
        <f t="shared" si="161"/>
        <v>1.2083333333333333</v>
      </c>
      <c r="C726" s="10"/>
      <c r="D726" s="10"/>
      <c r="E726" s="11"/>
      <c r="F726" s="12" t="str">
        <f t="shared" si="159"/>
        <v/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 x14ac:dyDescent="0.35">
      <c r="A727" s="59">
        <v>46200</v>
      </c>
      <c r="B727" s="15">
        <f t="shared" si="161"/>
        <v>1.25</v>
      </c>
      <c r="C727" s="16"/>
      <c r="D727" s="16"/>
      <c r="E727" s="11"/>
      <c r="F727" s="17" t="str">
        <f t="shared" si="159"/>
        <v/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 x14ac:dyDescent="0.35">
      <c r="A728" s="58">
        <v>46200</v>
      </c>
      <c r="B728" s="9">
        <f t="shared" si="161"/>
        <v>1.2916666666666667</v>
      </c>
      <c r="C728" s="10"/>
      <c r="D728" s="10"/>
      <c r="E728" s="11"/>
      <c r="F728" s="12" t="str">
        <f t="shared" si="159"/>
        <v/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 x14ac:dyDescent="0.35">
      <c r="A729" s="101" t="s">
        <v>187</v>
      </c>
      <c r="B729" s="101"/>
      <c r="C729" s="101"/>
      <c r="D729" s="101"/>
      <c r="E729" s="19">
        <f>SUM(E717:E728)</f>
        <v>30</v>
      </c>
      <c r="F729" s="19">
        <f>SUM(F717:F728)</f>
        <v>120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186</v>
      </c>
      <c r="N729" s="20">
        <v>980000</v>
      </c>
    </row>
    <row r="730" spans="1:14" ht="18" customHeight="1" x14ac:dyDescent="0.35">
      <c r="A730" s="98" t="s">
        <v>188</v>
      </c>
      <c r="B730" s="98"/>
      <c r="C730" s="98"/>
      <c r="D730" s="98"/>
      <c r="E730" s="22">
        <f>E716+E729</f>
        <v>256</v>
      </c>
      <c r="F730" s="22">
        <f>F716+F729</f>
        <v>1024</v>
      </c>
      <c r="G730" s="21"/>
      <c r="H730" s="21"/>
      <c r="I730" s="21"/>
      <c r="J730" s="21"/>
      <c r="K730" s="21"/>
      <c r="L730" s="73">
        <f>IFERROR(L716+L729,"")</f>
        <v>0</v>
      </c>
      <c r="M730" s="22" t="s">
        <v>189</v>
      </c>
      <c r="N730" s="31">
        <f>IFERROR(N716+N729,"")</f>
        <v>1960000</v>
      </c>
    </row>
    <row r="731" spans="1:14" ht="15" customHeight="1" x14ac:dyDescent="0.35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2">IF(E731="","",E731*4)</f>
        <v/>
      </c>
      <c r="G731" s="16"/>
      <c r="H731" s="16"/>
      <c r="I731" s="16"/>
      <c r="J731" s="13"/>
      <c r="K731" s="13"/>
      <c r="L731" s="71" t="str">
        <f t="shared" ref="L731:L742" si="163">IFERROR(IF(K731="","",IF(K731&gt;=J731,K731-J731,K731+1-J731)),"")</f>
        <v/>
      </c>
      <c r="M731" s="11"/>
      <c r="N731" s="30"/>
    </row>
    <row r="732" spans="1:14" ht="15" customHeight="1" x14ac:dyDescent="0.35">
      <c r="A732" s="58">
        <v>46201</v>
      </c>
      <c r="B732" s="9">
        <f t="shared" ref="B732:B742" si="164">B731+TIME(0,60,0)</f>
        <v>0.37499999999999967</v>
      </c>
      <c r="C732" s="10"/>
      <c r="D732" s="10"/>
      <c r="E732" s="11"/>
      <c r="F732" s="12" t="str">
        <f t="shared" si="162"/>
        <v/>
      </c>
      <c r="G732" s="10"/>
      <c r="H732" s="10"/>
      <c r="I732" s="10"/>
      <c r="J732" s="13"/>
      <c r="K732" s="13"/>
      <c r="L732" s="70" t="str">
        <f t="shared" si="163"/>
        <v/>
      </c>
      <c r="M732" s="11"/>
      <c r="N732" s="30"/>
    </row>
    <row r="733" spans="1:14" ht="15" customHeight="1" x14ac:dyDescent="0.35">
      <c r="A733" s="59">
        <v>46201</v>
      </c>
      <c r="B733" s="15">
        <f t="shared" si="164"/>
        <v>0.41666666666666635</v>
      </c>
      <c r="C733" s="16"/>
      <c r="D733" s="16"/>
      <c r="E733" s="11"/>
      <c r="F733" s="17" t="str">
        <f t="shared" si="162"/>
        <v/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 x14ac:dyDescent="0.35">
      <c r="A734" s="58">
        <v>46201</v>
      </c>
      <c r="B734" s="9">
        <f t="shared" si="164"/>
        <v>0.45833333333333304</v>
      </c>
      <c r="C734" s="10"/>
      <c r="D734" s="10"/>
      <c r="E734" s="11"/>
      <c r="F734" s="12" t="str">
        <f t="shared" si="162"/>
        <v/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 x14ac:dyDescent="0.35">
      <c r="A735" s="59">
        <v>46201</v>
      </c>
      <c r="B735" s="15">
        <f t="shared" si="164"/>
        <v>0.49999999999999972</v>
      </c>
      <c r="C735" s="16"/>
      <c r="D735" s="16"/>
      <c r="E735" s="11"/>
      <c r="F735" s="17" t="str">
        <f t="shared" si="162"/>
        <v/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 x14ac:dyDescent="0.35">
      <c r="A736" s="58">
        <v>46201</v>
      </c>
      <c r="B736" s="9">
        <f t="shared" si="164"/>
        <v>0.54166666666666641</v>
      </c>
      <c r="C736" s="10"/>
      <c r="D736" s="10"/>
      <c r="E736" s="11"/>
      <c r="F736" s="12" t="str">
        <f t="shared" si="162"/>
        <v/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 x14ac:dyDescent="0.35">
      <c r="A737" s="59">
        <v>46201</v>
      </c>
      <c r="B737" s="15">
        <f t="shared" si="164"/>
        <v>0.58333333333333304</v>
      </c>
      <c r="C737" s="16"/>
      <c r="D737" s="16"/>
      <c r="E737" s="11"/>
      <c r="F737" s="17" t="str">
        <f t="shared" si="162"/>
        <v/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 x14ac:dyDescent="0.35">
      <c r="A738" s="58">
        <v>46201</v>
      </c>
      <c r="B738" s="9">
        <f t="shared" si="164"/>
        <v>0.62499999999999967</v>
      </c>
      <c r="C738" s="10"/>
      <c r="D738" s="10"/>
      <c r="E738" s="11"/>
      <c r="F738" s="12" t="str">
        <f t="shared" si="162"/>
        <v/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 x14ac:dyDescent="0.35">
      <c r="A739" s="59">
        <v>46201</v>
      </c>
      <c r="B739" s="15">
        <f t="shared" si="164"/>
        <v>0.6666666666666663</v>
      </c>
      <c r="C739" s="16"/>
      <c r="D739" s="16"/>
      <c r="E739" s="11"/>
      <c r="F739" s="17" t="str">
        <f t="shared" si="162"/>
        <v/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 x14ac:dyDescent="0.35">
      <c r="A740" s="58">
        <v>46201</v>
      </c>
      <c r="B740" s="9">
        <f t="shared" si="164"/>
        <v>0.70833333333333293</v>
      </c>
      <c r="C740" s="10"/>
      <c r="D740" s="10"/>
      <c r="E740" s="11"/>
      <c r="F740" s="12" t="str">
        <f t="shared" si="162"/>
        <v/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 x14ac:dyDescent="0.35">
      <c r="A741" s="59">
        <v>46201</v>
      </c>
      <c r="B741" s="15">
        <f t="shared" si="164"/>
        <v>0.74999999999999956</v>
      </c>
      <c r="C741" s="16"/>
      <c r="D741" s="16"/>
      <c r="E741" s="11"/>
      <c r="F741" s="17" t="str">
        <f t="shared" si="162"/>
        <v/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 x14ac:dyDescent="0.35">
      <c r="A742" s="58">
        <v>46201</v>
      </c>
      <c r="B742" s="9">
        <f t="shared" si="164"/>
        <v>0.79166666666666619</v>
      </c>
      <c r="C742" s="10"/>
      <c r="D742" s="10"/>
      <c r="E742" s="11"/>
      <c r="F742" s="12" t="str">
        <f t="shared" si="162"/>
        <v/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 x14ac:dyDescent="0.35">
      <c r="A743" s="101" t="s">
        <v>185</v>
      </c>
      <c r="B743" s="101"/>
      <c r="C743" s="101"/>
      <c r="D743" s="101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186</v>
      </c>
      <c r="N743" s="20"/>
    </row>
    <row r="744" spans="1:14" ht="15" customHeight="1" x14ac:dyDescent="0.35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5">IF(E744="","",E744*4)</f>
        <v/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 x14ac:dyDescent="0.35">
      <c r="A745" s="59">
        <v>46201</v>
      </c>
      <c r="B745" s="15">
        <f t="shared" ref="B745:B755" si="167">B744+TIME(0,60,0)</f>
        <v>0.87499999999999967</v>
      </c>
      <c r="C745" s="16"/>
      <c r="D745" s="16"/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 x14ac:dyDescent="0.35">
      <c r="A746" s="58">
        <v>46201</v>
      </c>
      <c r="B746" s="9">
        <f t="shared" si="167"/>
        <v>0.9166666666666663</v>
      </c>
      <c r="C746" s="10"/>
      <c r="D746" s="10"/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 x14ac:dyDescent="0.35">
      <c r="A747" s="59">
        <v>46201</v>
      </c>
      <c r="B747" s="15">
        <f t="shared" si="167"/>
        <v>0.95833333333333293</v>
      </c>
      <c r="C747" s="16"/>
      <c r="D747" s="16"/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 x14ac:dyDescent="0.35">
      <c r="A748" s="58">
        <v>46201</v>
      </c>
      <c r="B748" s="9">
        <f t="shared" si="167"/>
        <v>0.99999999999999956</v>
      </c>
      <c r="C748" s="10"/>
      <c r="D748" s="10"/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 x14ac:dyDescent="0.35">
      <c r="A749" s="59">
        <v>46201</v>
      </c>
      <c r="B749" s="15">
        <f t="shared" si="167"/>
        <v>1.0416666666666663</v>
      </c>
      <c r="C749" s="16"/>
      <c r="D749" s="16"/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 x14ac:dyDescent="0.35">
      <c r="A750" s="58">
        <v>46201</v>
      </c>
      <c r="B750" s="9">
        <f t="shared" si="167"/>
        <v>1.083333333333333</v>
      </c>
      <c r="C750" s="10"/>
      <c r="D750" s="10"/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 x14ac:dyDescent="0.35">
      <c r="A751" s="59">
        <v>46201</v>
      </c>
      <c r="B751" s="15">
        <f t="shared" si="167"/>
        <v>1.1249999999999998</v>
      </c>
      <c r="C751" s="16"/>
      <c r="D751" s="16"/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 x14ac:dyDescent="0.35">
      <c r="A752" s="58">
        <v>46201</v>
      </c>
      <c r="B752" s="9">
        <f t="shared" si="167"/>
        <v>1.1666666666666665</v>
      </c>
      <c r="C752" s="10"/>
      <c r="D752" s="10"/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 x14ac:dyDescent="0.35">
      <c r="A753" s="59">
        <v>46201</v>
      </c>
      <c r="B753" s="15">
        <f t="shared" si="167"/>
        <v>1.2083333333333333</v>
      </c>
      <c r="C753" s="16"/>
      <c r="D753" s="16"/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 x14ac:dyDescent="0.35">
      <c r="A754" s="58">
        <v>46201</v>
      </c>
      <c r="B754" s="9">
        <f t="shared" si="167"/>
        <v>1.25</v>
      </c>
      <c r="C754" s="10"/>
      <c r="D754" s="10"/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 x14ac:dyDescent="0.35">
      <c r="A755" s="59">
        <v>46201</v>
      </c>
      <c r="B755" s="15">
        <f t="shared" si="167"/>
        <v>1.2916666666666667</v>
      </c>
      <c r="C755" s="16"/>
      <c r="D755" s="16"/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 x14ac:dyDescent="0.35">
      <c r="A756" s="101" t="s">
        <v>187</v>
      </c>
      <c r="B756" s="101"/>
      <c r="C756" s="101"/>
      <c r="D756" s="101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186</v>
      </c>
      <c r="N756" s="20"/>
    </row>
    <row r="757" spans="1:14" ht="18" customHeight="1" x14ac:dyDescent="0.35">
      <c r="A757" s="98" t="s">
        <v>188</v>
      </c>
      <c r="B757" s="98"/>
      <c r="C757" s="98"/>
      <c r="D757" s="98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189</v>
      </c>
      <c r="N757" s="31">
        <f>IFERROR(N743+N756,"")</f>
        <v>0</v>
      </c>
    </row>
    <row r="758" spans="1:14" ht="15" customHeight="1" x14ac:dyDescent="0.35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 x14ac:dyDescent="0.35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 x14ac:dyDescent="0.35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 x14ac:dyDescent="0.35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 x14ac:dyDescent="0.35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 x14ac:dyDescent="0.35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 x14ac:dyDescent="0.35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 x14ac:dyDescent="0.35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 x14ac:dyDescent="0.35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 x14ac:dyDescent="0.35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 x14ac:dyDescent="0.35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 x14ac:dyDescent="0.35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 x14ac:dyDescent="0.35">
      <c r="A770" s="101" t="s">
        <v>185</v>
      </c>
      <c r="B770" s="101"/>
      <c r="C770" s="101"/>
      <c r="D770" s="101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186</v>
      </c>
      <c r="N770" s="20"/>
    </row>
    <row r="771" spans="1:14" ht="15" customHeight="1" x14ac:dyDescent="0.35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 x14ac:dyDescent="0.35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 x14ac:dyDescent="0.35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 x14ac:dyDescent="0.35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 x14ac:dyDescent="0.35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 x14ac:dyDescent="0.35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 x14ac:dyDescent="0.35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 x14ac:dyDescent="0.35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 x14ac:dyDescent="0.35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 x14ac:dyDescent="0.35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 x14ac:dyDescent="0.35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 x14ac:dyDescent="0.35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 x14ac:dyDescent="0.35">
      <c r="A783" s="101" t="s">
        <v>187</v>
      </c>
      <c r="B783" s="101"/>
      <c r="C783" s="101"/>
      <c r="D783" s="101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186</v>
      </c>
      <c r="N783" s="20"/>
    </row>
    <row r="784" spans="1:14" ht="18" customHeight="1" x14ac:dyDescent="0.35">
      <c r="A784" s="98" t="s">
        <v>188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189</v>
      </c>
      <c r="N784" s="31">
        <f>IFERROR(N770+N783,"")</f>
        <v>0</v>
      </c>
    </row>
    <row r="785" spans="1:14" ht="15" customHeight="1" x14ac:dyDescent="0.35">
      <c r="A785" s="59">
        <v>46203</v>
      </c>
      <c r="B785" s="15">
        <v>0.33333333333333298</v>
      </c>
      <c r="C785" s="67"/>
      <c r="D785" s="67"/>
      <c r="E785" s="11"/>
      <c r="F785" s="93" t="str">
        <f t="shared" ref="F785:F796" si="174"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30"/>
    </row>
    <row r="786" spans="1:14" ht="15" customHeight="1" x14ac:dyDescent="0.35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 t="shared" si="174"/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30"/>
    </row>
    <row r="787" spans="1:14" ht="15" customHeight="1" x14ac:dyDescent="0.35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 t="shared" si="174"/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30"/>
    </row>
    <row r="788" spans="1:14" ht="15" customHeight="1" x14ac:dyDescent="0.35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 t="shared" si="174"/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30"/>
    </row>
    <row r="789" spans="1:14" ht="15" customHeight="1" x14ac:dyDescent="0.35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 t="shared" si="174"/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30"/>
    </row>
    <row r="790" spans="1:14" ht="15" customHeight="1" x14ac:dyDescent="0.35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 t="shared" si="174"/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30"/>
    </row>
    <row r="791" spans="1:14" ht="15" customHeight="1" x14ac:dyDescent="0.35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 t="shared" si="174"/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30"/>
    </row>
    <row r="792" spans="1:14" ht="15" customHeight="1" x14ac:dyDescent="0.35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 t="shared" si="174"/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30"/>
    </row>
    <row r="793" spans="1:14" ht="15" customHeight="1" x14ac:dyDescent="0.35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 t="shared" si="174"/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30"/>
    </row>
    <row r="794" spans="1:14" ht="15" customHeight="1" x14ac:dyDescent="0.35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 t="shared" si="174"/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30"/>
    </row>
    <row r="795" spans="1:14" ht="15" customHeight="1" x14ac:dyDescent="0.35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 t="shared" si="174"/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30"/>
    </row>
    <row r="796" spans="1:14" ht="15" customHeight="1" x14ac:dyDescent="0.35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 t="shared" si="174"/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30"/>
    </row>
    <row r="797" spans="1:14" ht="15.75" customHeight="1" x14ac:dyDescent="0.35">
      <c r="A797" s="101" t="s">
        <v>185</v>
      </c>
      <c r="B797" s="101"/>
      <c r="C797" s="101"/>
      <c r="D797" s="101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186</v>
      </c>
      <c r="N797" s="20"/>
    </row>
    <row r="798" spans="1:14" ht="15" customHeight="1" x14ac:dyDescent="0.35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30"/>
    </row>
    <row r="799" spans="1:14" ht="15" customHeight="1" x14ac:dyDescent="0.35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30"/>
    </row>
    <row r="800" spans="1:14" ht="15" customHeight="1" x14ac:dyDescent="0.35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30"/>
    </row>
    <row r="801" spans="1:14" ht="15" customHeight="1" x14ac:dyDescent="0.35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 t="shared" ref="F801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30"/>
    </row>
    <row r="802" spans="1:14" ht="15" customHeight="1" x14ac:dyDescent="0.35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30"/>
    </row>
    <row r="803" spans="1:14" ht="15" customHeight="1" x14ac:dyDescent="0.35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30"/>
    </row>
    <row r="804" spans="1:14" ht="15" customHeight="1" x14ac:dyDescent="0.35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30"/>
    </row>
    <row r="805" spans="1:14" ht="15" customHeight="1" x14ac:dyDescent="0.35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30"/>
    </row>
    <row r="806" spans="1:14" ht="15" customHeight="1" x14ac:dyDescent="0.35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30"/>
    </row>
    <row r="807" spans="1:14" ht="15" customHeight="1" x14ac:dyDescent="0.35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30"/>
    </row>
    <row r="808" spans="1:14" ht="15" customHeight="1" x14ac:dyDescent="0.35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30"/>
    </row>
    <row r="809" spans="1:14" ht="15" customHeight="1" x14ac:dyDescent="0.35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30"/>
    </row>
    <row r="810" spans="1:14" ht="15.75" customHeight="1" x14ac:dyDescent="0.35">
      <c r="A810" s="101" t="s">
        <v>187</v>
      </c>
      <c r="B810" s="101"/>
      <c r="C810" s="101"/>
      <c r="D810" s="101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186</v>
      </c>
      <c r="N810" s="20"/>
    </row>
    <row r="811" spans="1:14" ht="18" customHeight="1" x14ac:dyDescent="0.35">
      <c r="A811" s="98" t="s">
        <v>188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189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topLeftCell="F1" zoomScale="70" zoomScaleNormal="70" workbookViewId="0">
      <pane ySplit="1" topLeftCell="A693" activePane="bottomLeft" state="frozen"/>
      <selection activeCell="D1" sqref="D1"/>
      <selection pane="bottomLeft" activeCell="N729" sqref="N729"/>
    </sheetView>
  </sheetViews>
  <sheetFormatPr defaultColWidth="8.54296875" defaultRowHeight="14.5" x14ac:dyDescent="0.3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796875" style="37" customWidth="1"/>
    <col min="9" max="9" width="52.1796875" style="37" customWidth="1"/>
    <col min="10" max="11" width="12" style="37" customWidth="1"/>
    <col min="12" max="12" width="14" style="75" customWidth="1"/>
    <col min="13" max="13" width="126.26953125" style="37" customWidth="1"/>
    <col min="14" max="14" width="14" style="37" customWidth="1"/>
  </cols>
  <sheetData>
    <row r="1" spans="1:14" ht="37.5" customHeight="1" x14ac:dyDescent="0.35">
      <c r="A1" s="57" t="s">
        <v>7</v>
      </c>
      <c r="B1" s="8" t="s">
        <v>175</v>
      </c>
      <c r="C1" s="8" t="s">
        <v>12</v>
      </c>
      <c r="D1" s="57" t="s">
        <v>13</v>
      </c>
      <c r="E1" s="8" t="s">
        <v>176</v>
      </c>
      <c r="F1" s="8" t="s">
        <v>308</v>
      </c>
      <c r="G1" s="8" t="s">
        <v>14</v>
      </c>
      <c r="H1" s="8" t="s">
        <v>15</v>
      </c>
      <c r="I1" s="8" t="s">
        <v>178</v>
      </c>
      <c r="J1" s="8" t="s">
        <v>179</v>
      </c>
      <c r="K1" s="8" t="s">
        <v>180</v>
      </c>
      <c r="L1" s="69" t="s">
        <v>181</v>
      </c>
      <c r="M1" s="8" t="s">
        <v>182</v>
      </c>
      <c r="N1" s="8" t="s">
        <v>183</v>
      </c>
    </row>
    <row r="2" spans="1:14" ht="15" customHeight="1" x14ac:dyDescent="0.35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309</v>
      </c>
      <c r="I2" s="10" t="s">
        <v>310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 x14ac:dyDescent="0.35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309</v>
      </c>
      <c r="I3" s="16" t="s">
        <v>310</v>
      </c>
      <c r="J3" s="13"/>
      <c r="K3" s="13"/>
      <c r="L3" s="71" t="str">
        <f t="shared" si="1"/>
        <v/>
      </c>
      <c r="M3" s="11"/>
      <c r="N3" s="14"/>
    </row>
    <row r="4" spans="1:14" ht="15" customHeight="1" x14ac:dyDescent="0.35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309</v>
      </c>
      <c r="I4" s="10" t="s">
        <v>310</v>
      </c>
      <c r="J4" s="13"/>
      <c r="K4" s="13"/>
      <c r="L4" s="70" t="str">
        <f t="shared" si="1"/>
        <v/>
      </c>
      <c r="M4" s="11"/>
      <c r="N4" s="14"/>
    </row>
    <row r="5" spans="1:14" ht="15" customHeight="1" x14ac:dyDescent="0.35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309</v>
      </c>
      <c r="I5" s="16" t="s">
        <v>310</v>
      </c>
      <c r="J5" s="13"/>
      <c r="K5" s="13"/>
      <c r="L5" s="71" t="str">
        <f t="shared" si="1"/>
        <v/>
      </c>
      <c r="M5" s="11"/>
      <c r="N5" s="14"/>
    </row>
    <row r="6" spans="1:14" ht="15" customHeight="1" x14ac:dyDescent="0.35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309</v>
      </c>
      <c r="I6" s="10" t="s">
        <v>310</v>
      </c>
      <c r="J6" s="13"/>
      <c r="K6" s="13"/>
      <c r="L6" s="70" t="str">
        <f t="shared" si="1"/>
        <v/>
      </c>
      <c r="M6" s="11"/>
      <c r="N6" s="14"/>
    </row>
    <row r="7" spans="1:14" ht="15" customHeight="1" x14ac:dyDescent="0.35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309</v>
      </c>
      <c r="I7" s="16" t="s">
        <v>310</v>
      </c>
      <c r="J7" s="13"/>
      <c r="K7" s="13"/>
      <c r="L7" s="71" t="str">
        <f t="shared" si="1"/>
        <v/>
      </c>
      <c r="M7" s="11"/>
      <c r="N7" s="14"/>
    </row>
    <row r="8" spans="1:14" ht="15" customHeight="1" x14ac:dyDescent="0.35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309</v>
      </c>
      <c r="I8" s="10" t="s">
        <v>310</v>
      </c>
      <c r="J8" s="13"/>
      <c r="K8" s="13"/>
      <c r="L8" s="70" t="str">
        <f t="shared" si="1"/>
        <v/>
      </c>
      <c r="M8" s="11"/>
      <c r="N8" s="14"/>
    </row>
    <row r="9" spans="1:14" ht="15" customHeight="1" x14ac:dyDescent="0.35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309</v>
      </c>
      <c r="I9" s="16" t="s">
        <v>310</v>
      </c>
      <c r="J9" s="13"/>
      <c r="K9" s="13"/>
      <c r="L9" s="71" t="str">
        <f t="shared" si="1"/>
        <v/>
      </c>
      <c r="M9" s="11"/>
      <c r="N9" s="14"/>
    </row>
    <row r="10" spans="1:14" ht="15" customHeight="1" x14ac:dyDescent="0.35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309</v>
      </c>
      <c r="I10" s="10" t="s">
        <v>310</v>
      </c>
      <c r="J10" s="13"/>
      <c r="K10" s="13"/>
      <c r="L10" s="70" t="str">
        <f t="shared" si="1"/>
        <v/>
      </c>
      <c r="M10" s="11"/>
      <c r="N10" s="14"/>
    </row>
    <row r="11" spans="1:14" ht="15" customHeight="1" x14ac:dyDescent="0.35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309</v>
      </c>
      <c r="I11" s="16" t="s">
        <v>310</v>
      </c>
      <c r="J11" s="13"/>
      <c r="K11" s="13"/>
      <c r="L11" s="71" t="str">
        <f t="shared" si="1"/>
        <v/>
      </c>
      <c r="M11" s="11"/>
      <c r="N11" s="14"/>
    </row>
    <row r="12" spans="1:14" ht="15" customHeight="1" x14ac:dyDescent="0.35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309</v>
      </c>
      <c r="I12" s="10" t="s">
        <v>310</v>
      </c>
      <c r="J12" s="13"/>
      <c r="K12" s="13"/>
      <c r="L12" s="70" t="str">
        <f t="shared" si="1"/>
        <v/>
      </c>
      <c r="M12" s="11"/>
      <c r="N12" s="14"/>
    </row>
    <row r="13" spans="1:14" ht="15" customHeight="1" x14ac:dyDescent="0.35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309</v>
      </c>
      <c r="I13" s="16" t="s">
        <v>310</v>
      </c>
      <c r="J13" s="13"/>
      <c r="K13" s="13"/>
      <c r="L13" s="71" t="str">
        <f t="shared" si="1"/>
        <v/>
      </c>
      <c r="M13" s="11"/>
      <c r="N13" s="14"/>
    </row>
    <row r="14" spans="1:14" ht="15.75" customHeight="1" x14ac:dyDescent="0.35">
      <c r="A14" s="101" t="s">
        <v>185</v>
      </c>
      <c r="B14" s="101"/>
      <c r="C14" s="101"/>
      <c r="D14" s="101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186</v>
      </c>
      <c r="N14" s="20">
        <v>50000</v>
      </c>
    </row>
    <row r="15" spans="1:14" ht="15" customHeight="1" x14ac:dyDescent="0.35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 x14ac:dyDescent="0.35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 x14ac:dyDescent="0.35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 x14ac:dyDescent="0.35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 x14ac:dyDescent="0.35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124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 x14ac:dyDescent="0.35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122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 x14ac:dyDescent="0.35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 x14ac:dyDescent="0.35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 x14ac:dyDescent="0.35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 x14ac:dyDescent="0.35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122</v>
      </c>
      <c r="I24" s="10" t="s">
        <v>311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 x14ac:dyDescent="0.35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 x14ac:dyDescent="0.35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 x14ac:dyDescent="0.35">
      <c r="A27" s="101" t="s">
        <v>187</v>
      </c>
      <c r="B27" s="101"/>
      <c r="C27" s="101"/>
      <c r="D27" s="101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186</v>
      </c>
      <c r="N27" s="20">
        <v>537710</v>
      </c>
    </row>
    <row r="28" spans="1:14" ht="18" customHeight="1" x14ac:dyDescent="0.35">
      <c r="A28" s="98" t="s">
        <v>188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189</v>
      </c>
      <c r="N28" s="23">
        <f>IFERROR(N14+N27,"")</f>
        <v>587710</v>
      </c>
    </row>
    <row r="29" spans="1:14" ht="15" customHeight="1" x14ac:dyDescent="0.35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 x14ac:dyDescent="0.35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312</v>
      </c>
      <c r="I30" s="10" t="s">
        <v>96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 x14ac:dyDescent="0.35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 x14ac:dyDescent="0.35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 x14ac:dyDescent="0.35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313</v>
      </c>
      <c r="I33" s="16" t="s">
        <v>314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 x14ac:dyDescent="0.35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 x14ac:dyDescent="0.35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 x14ac:dyDescent="0.35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184</v>
      </c>
      <c r="H36" s="10" t="s">
        <v>315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 x14ac:dyDescent="0.35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 x14ac:dyDescent="0.35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 x14ac:dyDescent="0.35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 x14ac:dyDescent="0.35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 x14ac:dyDescent="0.35">
      <c r="A41" s="101" t="s">
        <v>185</v>
      </c>
      <c r="B41" s="101"/>
      <c r="C41" s="101"/>
      <c r="D41" s="101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186</v>
      </c>
      <c r="N41" s="20">
        <v>609900</v>
      </c>
    </row>
    <row r="42" spans="1:14" ht="15" customHeight="1" x14ac:dyDescent="0.35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 x14ac:dyDescent="0.35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124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 x14ac:dyDescent="0.35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 x14ac:dyDescent="0.35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 x14ac:dyDescent="0.35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 x14ac:dyDescent="0.35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 x14ac:dyDescent="0.35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 x14ac:dyDescent="0.35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 x14ac:dyDescent="0.35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 x14ac:dyDescent="0.35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 x14ac:dyDescent="0.35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 x14ac:dyDescent="0.35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226</v>
      </c>
      <c r="J53" s="13"/>
      <c r="K53" s="13"/>
      <c r="L53" s="71" t="str">
        <f t="shared" si="10"/>
        <v/>
      </c>
      <c r="M53" s="11"/>
      <c r="N53" s="14"/>
    </row>
    <row r="54" spans="1:14" ht="15.75" customHeight="1" x14ac:dyDescent="0.35">
      <c r="A54" s="101" t="s">
        <v>187</v>
      </c>
      <c r="B54" s="101"/>
      <c r="C54" s="101"/>
      <c r="D54" s="101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186</v>
      </c>
      <c r="N54" s="20">
        <v>800250</v>
      </c>
    </row>
    <row r="55" spans="1:14" ht="18" customHeight="1" x14ac:dyDescent="0.35">
      <c r="A55" s="98" t="s">
        <v>188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189</v>
      </c>
      <c r="N55" s="23">
        <f>IFERROR(N41+N54,"")</f>
        <v>1410150</v>
      </c>
    </row>
    <row r="56" spans="1:14" ht="15" customHeight="1" x14ac:dyDescent="0.35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 x14ac:dyDescent="0.35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 x14ac:dyDescent="0.35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 x14ac:dyDescent="0.35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 x14ac:dyDescent="0.35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 x14ac:dyDescent="0.35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 x14ac:dyDescent="0.35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 x14ac:dyDescent="0.35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 x14ac:dyDescent="0.35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 x14ac:dyDescent="0.35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 x14ac:dyDescent="0.35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133</v>
      </c>
      <c r="I66" s="10" t="s">
        <v>108</v>
      </c>
      <c r="J66" s="13"/>
      <c r="K66" s="13"/>
      <c r="L66" s="70" t="str">
        <f t="shared" si="13"/>
        <v/>
      </c>
      <c r="M66" s="11"/>
      <c r="N66" s="14"/>
    </row>
    <row r="67" spans="1:14" ht="15" customHeight="1" x14ac:dyDescent="0.35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133</v>
      </c>
      <c r="I67" s="16" t="s">
        <v>108</v>
      </c>
      <c r="J67" s="13"/>
      <c r="K67" s="13"/>
      <c r="L67" s="71" t="str">
        <f t="shared" si="13"/>
        <v/>
      </c>
      <c r="M67" s="11"/>
      <c r="N67" s="14"/>
    </row>
    <row r="68" spans="1:14" ht="15.75" customHeight="1" x14ac:dyDescent="0.35">
      <c r="A68" s="101" t="s">
        <v>185</v>
      </c>
      <c r="B68" s="101"/>
      <c r="C68" s="101"/>
      <c r="D68" s="101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186</v>
      </c>
      <c r="N68" s="20">
        <v>635860</v>
      </c>
    </row>
    <row r="69" spans="1:14" ht="15" customHeight="1" x14ac:dyDescent="0.35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 x14ac:dyDescent="0.35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 x14ac:dyDescent="0.35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315</v>
      </c>
      <c r="I71" s="16" t="s">
        <v>124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 x14ac:dyDescent="0.35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 x14ac:dyDescent="0.35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 x14ac:dyDescent="0.35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 x14ac:dyDescent="0.35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 x14ac:dyDescent="0.35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 x14ac:dyDescent="0.35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 x14ac:dyDescent="0.35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 x14ac:dyDescent="0.35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 x14ac:dyDescent="0.35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 x14ac:dyDescent="0.35">
      <c r="A81" s="101" t="s">
        <v>187</v>
      </c>
      <c r="B81" s="101"/>
      <c r="C81" s="101"/>
      <c r="D81" s="101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186</v>
      </c>
      <c r="N81" s="20">
        <v>423590</v>
      </c>
    </row>
    <row r="82" spans="1:14" ht="18" customHeight="1" x14ac:dyDescent="0.35">
      <c r="A82" s="98" t="s">
        <v>188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189</v>
      </c>
      <c r="N82" s="23">
        <f>IFERROR(N68+N81,"")</f>
        <v>1059450</v>
      </c>
    </row>
    <row r="83" spans="1:14" ht="15" customHeight="1" x14ac:dyDescent="0.35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152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 x14ac:dyDescent="0.35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 x14ac:dyDescent="0.35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133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 x14ac:dyDescent="0.35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 x14ac:dyDescent="0.35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 x14ac:dyDescent="0.35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 x14ac:dyDescent="0.35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 x14ac:dyDescent="0.35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 x14ac:dyDescent="0.35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 x14ac:dyDescent="0.35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 x14ac:dyDescent="0.35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 x14ac:dyDescent="0.35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 x14ac:dyDescent="0.35">
      <c r="A95" s="101" t="s">
        <v>185</v>
      </c>
      <c r="B95" s="101"/>
      <c r="C95" s="101"/>
      <c r="D95" s="101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186</v>
      </c>
      <c r="N95" s="20">
        <v>244460</v>
      </c>
    </row>
    <row r="96" spans="1:14" ht="15" customHeight="1" x14ac:dyDescent="0.35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 x14ac:dyDescent="0.35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316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 x14ac:dyDescent="0.35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 x14ac:dyDescent="0.35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 x14ac:dyDescent="0.35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 x14ac:dyDescent="0.35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 x14ac:dyDescent="0.35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 x14ac:dyDescent="0.35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 x14ac:dyDescent="0.35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 x14ac:dyDescent="0.35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 x14ac:dyDescent="0.35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 x14ac:dyDescent="0.35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 x14ac:dyDescent="0.35">
      <c r="A108" s="101" t="s">
        <v>187</v>
      </c>
      <c r="B108" s="101"/>
      <c r="C108" s="101"/>
      <c r="D108" s="101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186</v>
      </c>
      <c r="N108" s="20">
        <v>784300</v>
      </c>
    </row>
    <row r="109" spans="1:14" ht="18" customHeight="1" x14ac:dyDescent="0.35">
      <c r="A109" s="98" t="s">
        <v>188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189</v>
      </c>
      <c r="N109" s="23">
        <f>IFERROR(N95+N108,"")</f>
        <v>1028760</v>
      </c>
    </row>
    <row r="110" spans="1:14" ht="15" customHeight="1" x14ac:dyDescent="0.35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114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 x14ac:dyDescent="0.35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 x14ac:dyDescent="0.35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 x14ac:dyDescent="0.35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152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 x14ac:dyDescent="0.35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 x14ac:dyDescent="0.35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 x14ac:dyDescent="0.35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 x14ac:dyDescent="0.35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 x14ac:dyDescent="0.35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 x14ac:dyDescent="0.35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 x14ac:dyDescent="0.35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 x14ac:dyDescent="0.35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 x14ac:dyDescent="0.35">
      <c r="A122" s="101" t="s">
        <v>185</v>
      </c>
      <c r="B122" s="101"/>
      <c r="C122" s="101"/>
      <c r="D122" s="101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186</v>
      </c>
      <c r="N122" s="20">
        <v>687850</v>
      </c>
    </row>
    <row r="123" spans="1:14" ht="15" customHeight="1" x14ac:dyDescent="0.35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124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 x14ac:dyDescent="0.35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184</v>
      </c>
      <c r="H124" s="10" t="s">
        <v>152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 x14ac:dyDescent="0.35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 x14ac:dyDescent="0.35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 x14ac:dyDescent="0.35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 x14ac:dyDescent="0.35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 x14ac:dyDescent="0.35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 x14ac:dyDescent="0.35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 x14ac:dyDescent="0.35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 x14ac:dyDescent="0.35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 x14ac:dyDescent="0.35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 x14ac:dyDescent="0.35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 x14ac:dyDescent="0.35">
      <c r="A135" s="101" t="s">
        <v>187</v>
      </c>
      <c r="B135" s="101"/>
      <c r="C135" s="101"/>
      <c r="D135" s="101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186</v>
      </c>
      <c r="N135" s="20">
        <v>527600</v>
      </c>
    </row>
    <row r="136" spans="1:14" ht="18" customHeight="1" x14ac:dyDescent="0.35">
      <c r="A136" s="98" t="s">
        <v>188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189</v>
      </c>
      <c r="N136" s="23">
        <f>IFERROR(N122+N135,"")</f>
        <v>1215450</v>
      </c>
    </row>
    <row r="137" spans="1:14" ht="15" customHeight="1" x14ac:dyDescent="0.35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152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 x14ac:dyDescent="0.35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111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 x14ac:dyDescent="0.35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184</v>
      </c>
      <c r="H139" s="16" t="s">
        <v>103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 x14ac:dyDescent="0.35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152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 x14ac:dyDescent="0.35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133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 x14ac:dyDescent="0.35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 x14ac:dyDescent="0.35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 x14ac:dyDescent="0.35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 x14ac:dyDescent="0.35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 x14ac:dyDescent="0.35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 x14ac:dyDescent="0.35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 x14ac:dyDescent="0.35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 x14ac:dyDescent="0.35">
      <c r="A149" s="101" t="s">
        <v>185</v>
      </c>
      <c r="B149" s="101"/>
      <c r="C149" s="101"/>
      <c r="D149" s="101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186</v>
      </c>
      <c r="N149" s="20">
        <v>790080</v>
      </c>
    </row>
    <row r="150" spans="1:14" ht="15" customHeight="1" x14ac:dyDescent="0.35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133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 x14ac:dyDescent="0.35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 x14ac:dyDescent="0.35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 x14ac:dyDescent="0.35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 x14ac:dyDescent="0.35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 x14ac:dyDescent="0.35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 x14ac:dyDescent="0.35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 x14ac:dyDescent="0.35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 x14ac:dyDescent="0.35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 x14ac:dyDescent="0.35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 x14ac:dyDescent="0.35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 x14ac:dyDescent="0.35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 x14ac:dyDescent="0.35">
      <c r="A162" s="101" t="s">
        <v>187</v>
      </c>
      <c r="B162" s="101"/>
      <c r="C162" s="101"/>
      <c r="D162" s="101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186</v>
      </c>
      <c r="N162" s="20">
        <v>215370</v>
      </c>
    </row>
    <row r="163" spans="1:14" ht="18" customHeight="1" x14ac:dyDescent="0.35">
      <c r="A163" s="98" t="s">
        <v>188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189</v>
      </c>
      <c r="N163" s="23">
        <f>IFERROR(N149+N162,"")</f>
        <v>1005450</v>
      </c>
    </row>
    <row r="164" spans="1:14" ht="15" customHeight="1" x14ac:dyDescent="0.35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 x14ac:dyDescent="0.35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 x14ac:dyDescent="0.35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 x14ac:dyDescent="0.35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 x14ac:dyDescent="0.35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 x14ac:dyDescent="0.35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 x14ac:dyDescent="0.35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 x14ac:dyDescent="0.35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 x14ac:dyDescent="0.35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 x14ac:dyDescent="0.35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 x14ac:dyDescent="0.35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 x14ac:dyDescent="0.35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 x14ac:dyDescent="0.35">
      <c r="A176" s="101" t="s">
        <v>185</v>
      </c>
      <c r="B176" s="101"/>
      <c r="C176" s="101"/>
      <c r="D176" s="101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186</v>
      </c>
      <c r="N176" s="20">
        <v>0</v>
      </c>
    </row>
    <row r="177" spans="1:14" ht="15" customHeight="1" x14ac:dyDescent="0.35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 x14ac:dyDescent="0.35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133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 x14ac:dyDescent="0.35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133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 x14ac:dyDescent="0.35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133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 x14ac:dyDescent="0.35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133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 x14ac:dyDescent="0.35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133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 x14ac:dyDescent="0.35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133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 x14ac:dyDescent="0.35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133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 x14ac:dyDescent="0.35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133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 x14ac:dyDescent="0.35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133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 x14ac:dyDescent="0.35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133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 x14ac:dyDescent="0.35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133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 x14ac:dyDescent="0.35">
      <c r="A189" s="101" t="s">
        <v>187</v>
      </c>
      <c r="B189" s="101"/>
      <c r="C189" s="101"/>
      <c r="D189" s="101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186</v>
      </c>
      <c r="N189" s="20">
        <v>400530</v>
      </c>
    </row>
    <row r="190" spans="1:14" ht="18" customHeight="1" x14ac:dyDescent="0.35">
      <c r="A190" s="98" t="s">
        <v>188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189</v>
      </c>
      <c r="N190" s="23">
        <f>IFERROR(N176+N189,"")</f>
        <v>400530</v>
      </c>
    </row>
    <row r="191" spans="1:14" ht="15" customHeight="1" x14ac:dyDescent="0.35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111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 x14ac:dyDescent="0.35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 x14ac:dyDescent="0.35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133</v>
      </c>
      <c r="I193" s="16" t="s">
        <v>317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 x14ac:dyDescent="0.35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 x14ac:dyDescent="0.35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 x14ac:dyDescent="0.35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 x14ac:dyDescent="0.35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 x14ac:dyDescent="0.35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 x14ac:dyDescent="0.35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 x14ac:dyDescent="0.35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 x14ac:dyDescent="0.35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 x14ac:dyDescent="0.35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 x14ac:dyDescent="0.35">
      <c r="A203" s="101" t="s">
        <v>185</v>
      </c>
      <c r="B203" s="101"/>
      <c r="C203" s="101"/>
      <c r="D203" s="101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186</v>
      </c>
      <c r="N203" s="28">
        <v>225530</v>
      </c>
    </row>
    <row r="204" spans="1:14" ht="15" customHeight="1" x14ac:dyDescent="0.35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 x14ac:dyDescent="0.35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 x14ac:dyDescent="0.35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229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 x14ac:dyDescent="0.35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 x14ac:dyDescent="0.35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 x14ac:dyDescent="0.35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 x14ac:dyDescent="0.35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 x14ac:dyDescent="0.35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 x14ac:dyDescent="0.35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 x14ac:dyDescent="0.35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 x14ac:dyDescent="0.35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 x14ac:dyDescent="0.35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 x14ac:dyDescent="0.35">
      <c r="A216" s="101" t="s">
        <v>187</v>
      </c>
      <c r="B216" s="101"/>
      <c r="C216" s="101"/>
      <c r="D216" s="101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186</v>
      </c>
      <c r="N216" s="28">
        <v>704110</v>
      </c>
    </row>
    <row r="217" spans="1:14" ht="18" customHeight="1" x14ac:dyDescent="0.35">
      <c r="A217" s="98" t="s">
        <v>188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189</v>
      </c>
      <c r="N217" s="31">
        <f>IFERROR(N203+N216,"")</f>
        <v>929640</v>
      </c>
    </row>
    <row r="218" spans="1:14" ht="15" customHeight="1" x14ac:dyDescent="0.35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152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 x14ac:dyDescent="0.35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133</v>
      </c>
      <c r="I219" s="16" t="s">
        <v>318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 x14ac:dyDescent="0.35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111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244</v>
      </c>
      <c r="N220" s="41"/>
    </row>
    <row r="221" spans="1:14" ht="15" customHeight="1" x14ac:dyDescent="0.35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 x14ac:dyDescent="0.35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 x14ac:dyDescent="0.35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 x14ac:dyDescent="0.35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 x14ac:dyDescent="0.35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 x14ac:dyDescent="0.35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 x14ac:dyDescent="0.35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 x14ac:dyDescent="0.35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 x14ac:dyDescent="0.35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 x14ac:dyDescent="0.35">
      <c r="A230" s="101" t="s">
        <v>185</v>
      </c>
      <c r="B230" s="101"/>
      <c r="C230" s="101"/>
      <c r="D230" s="101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186</v>
      </c>
      <c r="N230" s="20">
        <v>793480</v>
      </c>
    </row>
    <row r="231" spans="1:14" ht="15" customHeight="1" x14ac:dyDescent="0.35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130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 x14ac:dyDescent="0.35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 x14ac:dyDescent="0.35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 x14ac:dyDescent="0.35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 x14ac:dyDescent="0.35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 x14ac:dyDescent="0.35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 x14ac:dyDescent="0.35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 x14ac:dyDescent="0.35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 x14ac:dyDescent="0.35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 x14ac:dyDescent="0.35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 x14ac:dyDescent="0.35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 x14ac:dyDescent="0.35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 x14ac:dyDescent="0.35">
      <c r="A243" s="101" t="s">
        <v>187</v>
      </c>
      <c r="B243" s="101"/>
      <c r="C243" s="101"/>
      <c r="D243" s="101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186</v>
      </c>
      <c r="N243" s="20">
        <v>0</v>
      </c>
    </row>
    <row r="244" spans="1:14" ht="18" customHeight="1" x14ac:dyDescent="0.35">
      <c r="A244" s="98" t="s">
        <v>188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189</v>
      </c>
      <c r="N244" s="31">
        <f>IFERROR(N230+N243,"")</f>
        <v>793480</v>
      </c>
    </row>
    <row r="245" spans="1:14" ht="15" customHeight="1" x14ac:dyDescent="0.35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 x14ac:dyDescent="0.35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142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319</v>
      </c>
      <c r="N246" s="41"/>
    </row>
    <row r="247" spans="1:14" ht="15" customHeight="1" x14ac:dyDescent="0.35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 x14ac:dyDescent="0.35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 x14ac:dyDescent="0.35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 x14ac:dyDescent="0.35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 x14ac:dyDescent="0.35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 x14ac:dyDescent="0.35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 x14ac:dyDescent="0.35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 x14ac:dyDescent="0.35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 x14ac:dyDescent="0.35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 x14ac:dyDescent="0.35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 x14ac:dyDescent="0.35">
      <c r="A257" s="101" t="s">
        <v>185</v>
      </c>
      <c r="B257" s="101"/>
      <c r="C257" s="101"/>
      <c r="D257" s="101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186</v>
      </c>
      <c r="N257" s="20">
        <v>92660</v>
      </c>
    </row>
    <row r="258" spans="1:14" ht="15" customHeight="1" x14ac:dyDescent="0.35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152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 x14ac:dyDescent="0.35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 x14ac:dyDescent="0.35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 x14ac:dyDescent="0.35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 x14ac:dyDescent="0.35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 x14ac:dyDescent="0.35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 x14ac:dyDescent="0.35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 x14ac:dyDescent="0.35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 x14ac:dyDescent="0.35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 x14ac:dyDescent="0.35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 x14ac:dyDescent="0.35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 x14ac:dyDescent="0.35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 x14ac:dyDescent="0.35">
      <c r="A270" s="101" t="s">
        <v>187</v>
      </c>
      <c r="B270" s="101"/>
      <c r="C270" s="101"/>
      <c r="D270" s="101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186</v>
      </c>
      <c r="N270" s="20">
        <f>214250+252630</f>
        <v>466880</v>
      </c>
    </row>
    <row r="271" spans="1:14" ht="18" customHeight="1" x14ac:dyDescent="0.35">
      <c r="A271" s="98" t="s">
        <v>188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189</v>
      </c>
      <c r="N271" s="31">
        <f>IFERROR(N257+N270,"")</f>
        <v>559540</v>
      </c>
    </row>
    <row r="272" spans="1:14" ht="15" customHeight="1" x14ac:dyDescent="0.35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 x14ac:dyDescent="0.35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142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 x14ac:dyDescent="0.35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133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320</v>
      </c>
      <c r="N274" s="41"/>
    </row>
    <row r="275" spans="1:14" ht="15" customHeight="1" x14ac:dyDescent="0.35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 x14ac:dyDescent="0.35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152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 x14ac:dyDescent="0.35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 x14ac:dyDescent="0.35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 x14ac:dyDescent="0.35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 x14ac:dyDescent="0.35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 x14ac:dyDescent="0.35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 x14ac:dyDescent="0.35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 x14ac:dyDescent="0.35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 x14ac:dyDescent="0.35">
      <c r="A284" s="101" t="s">
        <v>185</v>
      </c>
      <c r="B284" s="101"/>
      <c r="C284" s="101"/>
      <c r="D284" s="101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186</v>
      </c>
      <c r="N284" s="20">
        <v>409113</v>
      </c>
    </row>
    <row r="285" spans="1:14" ht="15" customHeight="1" x14ac:dyDescent="0.35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321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 x14ac:dyDescent="0.35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322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 x14ac:dyDescent="0.35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323</v>
      </c>
      <c r="N287" s="41"/>
    </row>
    <row r="288" spans="1:14" ht="15" customHeight="1" x14ac:dyDescent="0.35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 x14ac:dyDescent="0.35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 x14ac:dyDescent="0.35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 x14ac:dyDescent="0.35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 x14ac:dyDescent="0.35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 x14ac:dyDescent="0.35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 x14ac:dyDescent="0.35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 x14ac:dyDescent="0.35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 x14ac:dyDescent="0.35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 x14ac:dyDescent="0.35">
      <c r="A297" s="101" t="s">
        <v>187</v>
      </c>
      <c r="B297" s="101"/>
      <c r="C297" s="101"/>
      <c r="D297" s="101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186</v>
      </c>
      <c r="N297" s="20">
        <f>124260+105220</f>
        <v>229480</v>
      </c>
    </row>
    <row r="298" spans="1:14" ht="18" customHeight="1" x14ac:dyDescent="0.35">
      <c r="A298" s="98" t="s">
        <v>188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189</v>
      </c>
      <c r="N298" s="31">
        <f>IFERROR(N284+N297,"")</f>
        <v>638593</v>
      </c>
    </row>
    <row r="299" spans="1:14" ht="15" customHeight="1" x14ac:dyDescent="0.35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322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324</v>
      </c>
      <c r="N299" s="41"/>
    </row>
    <row r="300" spans="1:14" ht="15" customHeight="1" x14ac:dyDescent="0.35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296</v>
      </c>
      <c r="N300" s="41"/>
    </row>
    <row r="301" spans="1:14" ht="15" customHeight="1" x14ac:dyDescent="0.35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 x14ac:dyDescent="0.35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 x14ac:dyDescent="0.35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 x14ac:dyDescent="0.35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 x14ac:dyDescent="0.35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 x14ac:dyDescent="0.35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 x14ac:dyDescent="0.35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 x14ac:dyDescent="0.35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 x14ac:dyDescent="0.35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 x14ac:dyDescent="0.35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 x14ac:dyDescent="0.35">
      <c r="A311" s="101" t="s">
        <v>185</v>
      </c>
      <c r="B311" s="101"/>
      <c r="C311" s="101"/>
      <c r="D311" s="101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186</v>
      </c>
      <c r="N311" s="20">
        <v>459880</v>
      </c>
    </row>
    <row r="312" spans="1:14" ht="15" customHeight="1" x14ac:dyDescent="0.35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 x14ac:dyDescent="0.35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325</v>
      </c>
      <c r="N313" s="41"/>
    </row>
    <row r="314" spans="1:14" ht="15" customHeight="1" x14ac:dyDescent="0.35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152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325</v>
      </c>
      <c r="N314" s="41"/>
    </row>
    <row r="315" spans="1:14" ht="15" customHeight="1" x14ac:dyDescent="0.35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 x14ac:dyDescent="0.35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 x14ac:dyDescent="0.35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152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325</v>
      </c>
      <c r="N317" s="41"/>
    </row>
    <row r="318" spans="1:14" ht="15" customHeight="1" x14ac:dyDescent="0.35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152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326</v>
      </c>
      <c r="N318" s="41"/>
    </row>
    <row r="319" spans="1:14" ht="15" customHeight="1" x14ac:dyDescent="0.35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 x14ac:dyDescent="0.35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 x14ac:dyDescent="0.35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 x14ac:dyDescent="0.35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 x14ac:dyDescent="0.35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 x14ac:dyDescent="0.35">
      <c r="A324" s="101" t="s">
        <v>187</v>
      </c>
      <c r="B324" s="101"/>
      <c r="C324" s="101"/>
      <c r="D324" s="101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186</v>
      </c>
      <c r="N324" s="20">
        <f>311920+165290</f>
        <v>477210</v>
      </c>
    </row>
    <row r="325" spans="1:14" ht="18" customHeight="1" x14ac:dyDescent="0.35">
      <c r="A325" s="98" t="s">
        <v>188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189</v>
      </c>
      <c r="N325" s="31">
        <f>IFERROR(N311+N324,"")</f>
        <v>937090</v>
      </c>
    </row>
    <row r="326" spans="1:14" ht="15" customHeight="1" x14ac:dyDescent="0.35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152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 x14ac:dyDescent="0.35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 x14ac:dyDescent="0.35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 x14ac:dyDescent="0.35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 x14ac:dyDescent="0.35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 x14ac:dyDescent="0.35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 x14ac:dyDescent="0.35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 x14ac:dyDescent="0.35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 x14ac:dyDescent="0.35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 x14ac:dyDescent="0.35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 x14ac:dyDescent="0.35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 x14ac:dyDescent="0.35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 x14ac:dyDescent="0.35">
      <c r="A338" s="101" t="s">
        <v>185</v>
      </c>
      <c r="B338" s="101"/>
      <c r="C338" s="101"/>
      <c r="D338" s="101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186</v>
      </c>
      <c r="N338" s="20">
        <f>94060+504430</f>
        <v>598490</v>
      </c>
    </row>
    <row r="339" spans="1:14" ht="15" customHeight="1" x14ac:dyDescent="0.35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152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327</v>
      </c>
      <c r="N339" s="41"/>
    </row>
    <row r="340" spans="1:14" ht="15" customHeight="1" x14ac:dyDescent="0.35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152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249</v>
      </c>
      <c r="N340" s="41"/>
    </row>
    <row r="341" spans="1:14" ht="15" customHeight="1" x14ac:dyDescent="0.35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 x14ac:dyDescent="0.35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 x14ac:dyDescent="0.35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 x14ac:dyDescent="0.35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 x14ac:dyDescent="0.35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 x14ac:dyDescent="0.35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 x14ac:dyDescent="0.35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 x14ac:dyDescent="0.35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 x14ac:dyDescent="0.35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 x14ac:dyDescent="0.35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 x14ac:dyDescent="0.35">
      <c r="A351" s="101" t="s">
        <v>187</v>
      </c>
      <c r="B351" s="101"/>
      <c r="C351" s="101"/>
      <c r="D351" s="101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186</v>
      </c>
      <c r="N351" s="20">
        <f>117790+390790</f>
        <v>508580</v>
      </c>
    </row>
    <row r="352" spans="1:14" ht="18" customHeight="1" x14ac:dyDescent="0.35">
      <c r="A352" s="98" t="s">
        <v>188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189</v>
      </c>
      <c r="N352" s="31">
        <f>IFERROR(N338+N351,"")</f>
        <v>1107070</v>
      </c>
    </row>
    <row r="353" spans="1:14" ht="15" customHeight="1" x14ac:dyDescent="0.35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99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328</v>
      </c>
      <c r="N353" s="41"/>
    </row>
    <row r="354" spans="1:14" ht="15" customHeight="1" x14ac:dyDescent="0.35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329</v>
      </c>
      <c r="N354" s="41"/>
    </row>
    <row r="355" spans="1:14" ht="15" customHeight="1" x14ac:dyDescent="0.35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298</v>
      </c>
      <c r="N355" s="41"/>
    </row>
    <row r="356" spans="1:14" ht="15" customHeight="1" x14ac:dyDescent="0.35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 x14ac:dyDescent="0.35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 x14ac:dyDescent="0.35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 x14ac:dyDescent="0.35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 x14ac:dyDescent="0.35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 x14ac:dyDescent="0.35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 x14ac:dyDescent="0.35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 x14ac:dyDescent="0.35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 x14ac:dyDescent="0.35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 x14ac:dyDescent="0.35">
      <c r="A365" s="101" t="s">
        <v>185</v>
      </c>
      <c r="B365" s="101"/>
      <c r="C365" s="101"/>
      <c r="D365" s="101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186</v>
      </c>
      <c r="N365" s="20">
        <f>331370+57650</f>
        <v>389020</v>
      </c>
    </row>
    <row r="366" spans="1:14" ht="15" customHeight="1" x14ac:dyDescent="0.35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152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 x14ac:dyDescent="0.35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 x14ac:dyDescent="0.35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 x14ac:dyDescent="0.35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 x14ac:dyDescent="0.35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 x14ac:dyDescent="0.35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 x14ac:dyDescent="0.35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 x14ac:dyDescent="0.35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 x14ac:dyDescent="0.35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 x14ac:dyDescent="0.35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 x14ac:dyDescent="0.35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 x14ac:dyDescent="0.35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 x14ac:dyDescent="0.35">
      <c r="A378" s="101" t="s">
        <v>187</v>
      </c>
      <c r="B378" s="101"/>
      <c r="C378" s="101"/>
      <c r="D378" s="101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186</v>
      </c>
      <c r="N378" s="20">
        <f>490380+390690</f>
        <v>881070</v>
      </c>
    </row>
    <row r="379" spans="1:14" ht="18" customHeight="1" x14ac:dyDescent="0.35">
      <c r="A379" s="98" t="s">
        <v>188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189</v>
      </c>
      <c r="N379" s="31">
        <f>IFERROR(N365+N378,"")</f>
        <v>1270090</v>
      </c>
    </row>
    <row r="380" spans="1:14" ht="15" customHeight="1" x14ac:dyDescent="0.35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124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 x14ac:dyDescent="0.35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152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 x14ac:dyDescent="0.35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 x14ac:dyDescent="0.35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 x14ac:dyDescent="0.35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 x14ac:dyDescent="0.35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 x14ac:dyDescent="0.35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 x14ac:dyDescent="0.35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 x14ac:dyDescent="0.35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 x14ac:dyDescent="0.35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 x14ac:dyDescent="0.35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 x14ac:dyDescent="0.35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 x14ac:dyDescent="0.35">
      <c r="A392" s="101" t="s">
        <v>185</v>
      </c>
      <c r="B392" s="101"/>
      <c r="C392" s="101"/>
      <c r="D392" s="101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186</v>
      </c>
      <c r="N392" s="20">
        <v>629980</v>
      </c>
    </row>
    <row r="393" spans="1:14" ht="15" customHeight="1" x14ac:dyDescent="0.35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 x14ac:dyDescent="0.35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152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 x14ac:dyDescent="0.35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99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 x14ac:dyDescent="0.35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 x14ac:dyDescent="0.35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 x14ac:dyDescent="0.35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 x14ac:dyDescent="0.35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 x14ac:dyDescent="0.35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 x14ac:dyDescent="0.35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142</v>
      </c>
      <c r="I401" s="16" t="s">
        <v>120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 x14ac:dyDescent="0.35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 x14ac:dyDescent="0.35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 x14ac:dyDescent="0.35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 x14ac:dyDescent="0.35">
      <c r="A405" s="101" t="s">
        <v>187</v>
      </c>
      <c r="B405" s="101"/>
      <c r="C405" s="101"/>
      <c r="D405" s="101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186</v>
      </c>
      <c r="N405" s="20">
        <v>745910</v>
      </c>
    </row>
    <row r="406" spans="1:14" ht="18" customHeight="1" x14ac:dyDescent="0.35">
      <c r="A406" s="98" t="s">
        <v>188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189</v>
      </c>
      <c r="N406" s="31">
        <f>IFERROR(N392+N405,"")</f>
        <v>1375890</v>
      </c>
    </row>
    <row r="407" spans="1:14" ht="15" customHeight="1" x14ac:dyDescent="0.35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330</v>
      </c>
      <c r="N407" s="41"/>
    </row>
    <row r="408" spans="1:14" ht="15" customHeight="1" x14ac:dyDescent="0.35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 x14ac:dyDescent="0.35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331</v>
      </c>
      <c r="N409" s="41"/>
    </row>
    <row r="410" spans="1:14" ht="15" customHeight="1" x14ac:dyDescent="0.35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332</v>
      </c>
      <c r="N410" s="41"/>
    </row>
    <row r="411" spans="1:14" ht="15" customHeight="1" x14ac:dyDescent="0.35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 x14ac:dyDescent="0.35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 x14ac:dyDescent="0.35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 x14ac:dyDescent="0.35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 x14ac:dyDescent="0.35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 x14ac:dyDescent="0.35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 x14ac:dyDescent="0.35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 x14ac:dyDescent="0.35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 x14ac:dyDescent="0.35">
      <c r="A419" s="101" t="s">
        <v>185</v>
      </c>
      <c r="B419" s="101"/>
      <c r="C419" s="101"/>
      <c r="D419" s="101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186</v>
      </c>
      <c r="N419" s="20">
        <v>456300</v>
      </c>
    </row>
    <row r="420" spans="1:14" ht="15" customHeight="1" x14ac:dyDescent="0.35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152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 x14ac:dyDescent="0.35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 x14ac:dyDescent="0.35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 x14ac:dyDescent="0.35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 x14ac:dyDescent="0.35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 x14ac:dyDescent="0.35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 x14ac:dyDescent="0.35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 x14ac:dyDescent="0.35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 x14ac:dyDescent="0.35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 x14ac:dyDescent="0.35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 x14ac:dyDescent="0.35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 x14ac:dyDescent="0.35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 x14ac:dyDescent="0.35">
      <c r="A432" s="101" t="s">
        <v>187</v>
      </c>
      <c r="B432" s="101"/>
      <c r="C432" s="101"/>
      <c r="D432" s="101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186</v>
      </c>
      <c r="N432" s="20">
        <v>669300</v>
      </c>
    </row>
    <row r="433" spans="1:16" ht="18" customHeight="1" x14ac:dyDescent="0.35">
      <c r="A433" s="98" t="s">
        <v>188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189</v>
      </c>
      <c r="N433" s="31">
        <f>IFERROR(N419+N432,"")</f>
        <v>1125600</v>
      </c>
    </row>
    <row r="434" spans="1:16" ht="15" customHeight="1" x14ac:dyDescent="0.35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142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 x14ac:dyDescent="0.35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 x14ac:dyDescent="0.35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 x14ac:dyDescent="0.35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 x14ac:dyDescent="0.35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 x14ac:dyDescent="0.35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 x14ac:dyDescent="0.35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 x14ac:dyDescent="0.35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 x14ac:dyDescent="0.35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 x14ac:dyDescent="0.35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 x14ac:dyDescent="0.35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 x14ac:dyDescent="0.35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 x14ac:dyDescent="0.35">
      <c r="A446" s="101" t="s">
        <v>185</v>
      </c>
      <c r="B446" s="101"/>
      <c r="C446" s="101"/>
      <c r="D446" s="101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186</v>
      </c>
      <c r="N446" s="20">
        <v>32</v>
      </c>
    </row>
    <row r="447" spans="1:16" ht="15" customHeight="1" x14ac:dyDescent="0.35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122</v>
      </c>
      <c r="I447" s="16" t="s">
        <v>162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 x14ac:dyDescent="0.35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322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 x14ac:dyDescent="0.35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121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 x14ac:dyDescent="0.35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152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 x14ac:dyDescent="0.35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 x14ac:dyDescent="0.35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322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 x14ac:dyDescent="0.35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 x14ac:dyDescent="0.35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 x14ac:dyDescent="0.35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 x14ac:dyDescent="0.35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 x14ac:dyDescent="0.35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 x14ac:dyDescent="0.35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 x14ac:dyDescent="0.35">
      <c r="A459" s="101" t="s">
        <v>187</v>
      </c>
      <c r="B459" s="101"/>
      <c r="C459" s="101"/>
      <c r="D459" s="101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186</v>
      </c>
      <c r="N459" s="20">
        <v>561580</v>
      </c>
    </row>
    <row r="460" spans="1:14" ht="18" customHeight="1" x14ac:dyDescent="0.35">
      <c r="A460" s="98" t="s">
        <v>188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189</v>
      </c>
      <c r="N460" s="31">
        <f>IFERROR(N446+N459,"")</f>
        <v>561612</v>
      </c>
    </row>
    <row r="461" spans="1:14" ht="15" customHeight="1" x14ac:dyDescent="0.35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 x14ac:dyDescent="0.35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142</v>
      </c>
      <c r="I462" s="10" t="s">
        <v>158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 x14ac:dyDescent="0.35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107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 x14ac:dyDescent="0.35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 x14ac:dyDescent="0.35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 x14ac:dyDescent="0.35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 x14ac:dyDescent="0.35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 x14ac:dyDescent="0.35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266</v>
      </c>
      <c r="N468" s="41"/>
    </row>
    <row r="469" spans="1:14" ht="15" customHeight="1" x14ac:dyDescent="0.35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 x14ac:dyDescent="0.35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 x14ac:dyDescent="0.35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 x14ac:dyDescent="0.35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266</v>
      </c>
      <c r="N472" s="41"/>
    </row>
    <row r="473" spans="1:14" ht="15.75" customHeight="1" x14ac:dyDescent="0.35">
      <c r="A473" s="101" t="s">
        <v>185</v>
      </c>
      <c r="B473" s="101"/>
      <c r="C473" s="101"/>
      <c r="D473" s="101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186</v>
      </c>
      <c r="N473" s="20">
        <v>327080</v>
      </c>
    </row>
    <row r="474" spans="1:14" ht="15" customHeight="1" x14ac:dyDescent="0.35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152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333</v>
      </c>
      <c r="N474" s="41"/>
    </row>
    <row r="475" spans="1:14" ht="15" customHeight="1" x14ac:dyDescent="0.35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 x14ac:dyDescent="0.35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334</v>
      </c>
      <c r="N476" s="41"/>
    </row>
    <row r="477" spans="1:14" ht="15" customHeight="1" x14ac:dyDescent="0.35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335</v>
      </c>
      <c r="N477" s="41"/>
    </row>
    <row r="478" spans="1:14" ht="15" customHeight="1" x14ac:dyDescent="0.35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 x14ac:dyDescent="0.35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 x14ac:dyDescent="0.35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 x14ac:dyDescent="0.35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 x14ac:dyDescent="0.35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 x14ac:dyDescent="0.35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 x14ac:dyDescent="0.35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 x14ac:dyDescent="0.35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 x14ac:dyDescent="0.35">
      <c r="A486" s="101" t="s">
        <v>187</v>
      </c>
      <c r="B486" s="101"/>
      <c r="C486" s="101"/>
      <c r="D486" s="101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186</v>
      </c>
      <c r="N486" s="20">
        <v>508000</v>
      </c>
    </row>
    <row r="487" spans="1:14" ht="18" customHeight="1" x14ac:dyDescent="0.35">
      <c r="A487" s="98" t="s">
        <v>188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189</v>
      </c>
      <c r="N487" s="31">
        <f>IFERROR(N473+N486,"")</f>
        <v>835080</v>
      </c>
    </row>
    <row r="488" spans="1:14" ht="15" customHeight="1" x14ac:dyDescent="0.35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 x14ac:dyDescent="0.35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 x14ac:dyDescent="0.35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 x14ac:dyDescent="0.35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 x14ac:dyDescent="0.35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 x14ac:dyDescent="0.35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 x14ac:dyDescent="0.35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 x14ac:dyDescent="0.35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 x14ac:dyDescent="0.35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 x14ac:dyDescent="0.35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 x14ac:dyDescent="0.35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 x14ac:dyDescent="0.35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 x14ac:dyDescent="0.35">
      <c r="A500" s="101" t="s">
        <v>185</v>
      </c>
      <c r="B500" s="101"/>
      <c r="C500" s="101"/>
      <c r="D500" s="101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186</v>
      </c>
      <c r="N500" s="20">
        <f>311280+52610+97870</f>
        <v>461760</v>
      </c>
    </row>
    <row r="501" spans="1:14" ht="15" customHeight="1" x14ac:dyDescent="0.35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336</v>
      </c>
      <c r="N501" s="41"/>
    </row>
    <row r="502" spans="1:14" ht="15" customHeight="1" x14ac:dyDescent="0.35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152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 x14ac:dyDescent="0.35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 x14ac:dyDescent="0.35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 x14ac:dyDescent="0.35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 x14ac:dyDescent="0.35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156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 x14ac:dyDescent="0.35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337</v>
      </c>
      <c r="N507" s="41"/>
    </row>
    <row r="508" spans="1:14" ht="15" customHeight="1" x14ac:dyDescent="0.35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 x14ac:dyDescent="0.35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 x14ac:dyDescent="0.35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 x14ac:dyDescent="0.35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 x14ac:dyDescent="0.35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 x14ac:dyDescent="0.35">
      <c r="A513" s="101" t="s">
        <v>187</v>
      </c>
      <c r="B513" s="101"/>
      <c r="C513" s="101"/>
      <c r="D513" s="101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186</v>
      </c>
      <c r="N513" s="20">
        <v>745760</v>
      </c>
    </row>
    <row r="514" spans="1:14" ht="18" customHeight="1" x14ac:dyDescent="0.35">
      <c r="A514" s="98" t="s">
        <v>188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189</v>
      </c>
      <c r="N514" s="31">
        <f>IFERROR(N500+N513,"")</f>
        <v>1207520</v>
      </c>
    </row>
    <row r="515" spans="1:14" ht="15" customHeight="1" x14ac:dyDescent="0.35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 x14ac:dyDescent="0.35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 x14ac:dyDescent="0.35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 x14ac:dyDescent="0.35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 x14ac:dyDescent="0.35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 x14ac:dyDescent="0.35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 x14ac:dyDescent="0.35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 x14ac:dyDescent="0.35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 x14ac:dyDescent="0.35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 x14ac:dyDescent="0.35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 x14ac:dyDescent="0.35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 x14ac:dyDescent="0.35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 x14ac:dyDescent="0.35">
      <c r="A527" s="101" t="s">
        <v>185</v>
      </c>
      <c r="B527" s="101"/>
      <c r="C527" s="101"/>
      <c r="D527" s="101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186</v>
      </c>
      <c r="N527" s="20">
        <v>474000</v>
      </c>
    </row>
    <row r="528" spans="1:14" ht="15" customHeight="1" x14ac:dyDescent="0.35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152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 x14ac:dyDescent="0.35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103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 x14ac:dyDescent="0.35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152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338</v>
      </c>
      <c r="N530" s="41"/>
    </row>
    <row r="531" spans="1:14" ht="15" customHeight="1" x14ac:dyDescent="0.35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97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339</v>
      </c>
      <c r="N531" s="41"/>
    </row>
    <row r="532" spans="1:14" ht="15" customHeight="1" x14ac:dyDescent="0.35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 x14ac:dyDescent="0.35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103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 x14ac:dyDescent="0.35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 x14ac:dyDescent="0.35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244</v>
      </c>
      <c r="N535" s="41"/>
    </row>
    <row r="536" spans="1:14" ht="15" customHeight="1" x14ac:dyDescent="0.35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 x14ac:dyDescent="0.35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 x14ac:dyDescent="0.35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 x14ac:dyDescent="0.35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 x14ac:dyDescent="0.35">
      <c r="A540" s="101" t="s">
        <v>187</v>
      </c>
      <c r="B540" s="101"/>
      <c r="C540" s="101"/>
      <c r="D540" s="101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186</v>
      </c>
      <c r="N540" s="20">
        <v>426450</v>
      </c>
    </row>
    <row r="541" spans="1:14" ht="18" customHeight="1" x14ac:dyDescent="0.35">
      <c r="A541" s="98" t="s">
        <v>188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189</v>
      </c>
      <c r="N541" s="31">
        <f>IFERROR(N527+N540,"")</f>
        <v>900450</v>
      </c>
    </row>
    <row r="542" spans="1:14" ht="15" customHeight="1" x14ac:dyDescent="0.35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340</v>
      </c>
      <c r="N542" s="41"/>
    </row>
    <row r="543" spans="1:14" ht="15" customHeight="1" x14ac:dyDescent="0.35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 x14ac:dyDescent="0.35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 x14ac:dyDescent="0.35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341</v>
      </c>
      <c r="N545" s="41"/>
    </row>
    <row r="546" spans="1:14" ht="15" customHeight="1" x14ac:dyDescent="0.35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 x14ac:dyDescent="0.35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 x14ac:dyDescent="0.35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 x14ac:dyDescent="0.35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 x14ac:dyDescent="0.35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 x14ac:dyDescent="0.35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 x14ac:dyDescent="0.35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 x14ac:dyDescent="0.35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 x14ac:dyDescent="0.35">
      <c r="A554" s="101" t="s">
        <v>185</v>
      </c>
      <c r="B554" s="101"/>
      <c r="C554" s="101"/>
      <c r="D554" s="101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186</v>
      </c>
      <c r="N554" s="20">
        <v>630510</v>
      </c>
    </row>
    <row r="555" spans="1:14" ht="15" customHeight="1" x14ac:dyDescent="0.35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 x14ac:dyDescent="0.35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 x14ac:dyDescent="0.35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342</v>
      </c>
      <c r="N557" s="41"/>
    </row>
    <row r="558" spans="1:14" ht="15" customHeight="1" x14ac:dyDescent="0.35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148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 x14ac:dyDescent="0.35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 x14ac:dyDescent="0.35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152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 x14ac:dyDescent="0.35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 x14ac:dyDescent="0.35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 x14ac:dyDescent="0.35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 x14ac:dyDescent="0.35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 x14ac:dyDescent="0.35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 x14ac:dyDescent="0.35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 x14ac:dyDescent="0.35">
      <c r="A567" s="101" t="s">
        <v>187</v>
      </c>
      <c r="B567" s="101"/>
      <c r="C567" s="101"/>
      <c r="D567" s="101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186</v>
      </c>
      <c r="N567" s="20">
        <v>652080</v>
      </c>
    </row>
    <row r="568" spans="1:14" ht="18" customHeight="1" x14ac:dyDescent="0.35">
      <c r="A568" s="98" t="s">
        <v>188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189</v>
      </c>
      <c r="N568" s="31">
        <f>IFERROR(N554+N567,"")</f>
        <v>1282590</v>
      </c>
    </row>
    <row r="569" spans="1:14" ht="15" customHeight="1" x14ac:dyDescent="0.35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 x14ac:dyDescent="0.35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 x14ac:dyDescent="0.35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343</v>
      </c>
      <c r="N571" s="41"/>
    </row>
    <row r="572" spans="1:14" ht="15" customHeight="1" x14ac:dyDescent="0.35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154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344</v>
      </c>
      <c r="N572" s="41"/>
    </row>
    <row r="573" spans="1:14" ht="15" customHeight="1" x14ac:dyDescent="0.35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142</v>
      </c>
      <c r="I573" s="16" t="s">
        <v>120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 x14ac:dyDescent="0.35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159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 x14ac:dyDescent="0.35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 x14ac:dyDescent="0.35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 x14ac:dyDescent="0.35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 x14ac:dyDescent="0.35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 x14ac:dyDescent="0.35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 x14ac:dyDescent="0.35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 x14ac:dyDescent="0.35">
      <c r="A581" s="19" t="s">
        <v>185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186</v>
      </c>
      <c r="N581" s="20">
        <v>472220</v>
      </c>
    </row>
    <row r="582" spans="1:14" ht="15" customHeight="1" x14ac:dyDescent="0.35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345</v>
      </c>
      <c r="N582" s="41"/>
    </row>
    <row r="583" spans="1:14" ht="15" customHeight="1" x14ac:dyDescent="0.35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 x14ac:dyDescent="0.35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156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 x14ac:dyDescent="0.35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270</v>
      </c>
      <c r="N585" s="41"/>
    </row>
    <row r="586" spans="1:14" ht="15" customHeight="1" x14ac:dyDescent="0.35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244</v>
      </c>
      <c r="N586" s="41"/>
    </row>
    <row r="587" spans="1:14" ht="15" customHeight="1" x14ac:dyDescent="0.35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 x14ac:dyDescent="0.35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 x14ac:dyDescent="0.35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 x14ac:dyDescent="0.35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 x14ac:dyDescent="0.35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 x14ac:dyDescent="0.35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 x14ac:dyDescent="0.35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 x14ac:dyDescent="0.35">
      <c r="A594" s="101" t="s">
        <v>187</v>
      </c>
      <c r="B594" s="101"/>
      <c r="C594" s="101"/>
      <c r="D594" s="101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186</v>
      </c>
      <c r="N594" s="20">
        <v>800310</v>
      </c>
    </row>
    <row r="595" spans="1:14" ht="18" customHeight="1" x14ac:dyDescent="0.35">
      <c r="A595" s="98" t="s">
        <v>188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189</v>
      </c>
      <c r="N595" s="31">
        <f>IFERROR(N581+N594,"")</f>
        <v>1272530</v>
      </c>
    </row>
    <row r="596" spans="1:14" ht="15" customHeight="1" x14ac:dyDescent="0.35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 x14ac:dyDescent="0.35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122</v>
      </c>
      <c r="I597" s="16" t="s">
        <v>106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 x14ac:dyDescent="0.35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122</v>
      </c>
      <c r="I598" s="10" t="s">
        <v>106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 x14ac:dyDescent="0.35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122</v>
      </c>
      <c r="I599" s="16" t="s">
        <v>106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 x14ac:dyDescent="0.35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122</v>
      </c>
      <c r="I600" s="10" t="s">
        <v>106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346</v>
      </c>
      <c r="N600" s="41"/>
    </row>
    <row r="601" spans="1:14" ht="15" customHeight="1" x14ac:dyDescent="0.35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 x14ac:dyDescent="0.35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 x14ac:dyDescent="0.35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 x14ac:dyDescent="0.35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 x14ac:dyDescent="0.35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 x14ac:dyDescent="0.35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 x14ac:dyDescent="0.35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 x14ac:dyDescent="0.35">
      <c r="A608" s="101" t="s">
        <v>185</v>
      </c>
      <c r="B608" s="101"/>
      <c r="C608" s="101"/>
      <c r="D608" s="101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186</v>
      </c>
      <c r="N608" s="20">
        <v>600580</v>
      </c>
    </row>
    <row r="609" spans="1:14" ht="15" customHeight="1" x14ac:dyDescent="0.35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 x14ac:dyDescent="0.35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 x14ac:dyDescent="0.35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 x14ac:dyDescent="0.35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 x14ac:dyDescent="0.35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 x14ac:dyDescent="0.35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 x14ac:dyDescent="0.35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 x14ac:dyDescent="0.35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 x14ac:dyDescent="0.35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160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347</v>
      </c>
      <c r="N617" s="41"/>
    </row>
    <row r="618" spans="1:14" ht="15" customHeight="1" x14ac:dyDescent="0.35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 x14ac:dyDescent="0.35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 x14ac:dyDescent="0.35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 x14ac:dyDescent="0.35">
      <c r="A621" s="101" t="s">
        <v>187</v>
      </c>
      <c r="B621" s="101"/>
      <c r="C621" s="101"/>
      <c r="D621" s="101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186</v>
      </c>
      <c r="N621" s="20">
        <v>141320</v>
      </c>
    </row>
    <row r="622" spans="1:14" ht="18" customHeight="1" x14ac:dyDescent="0.35">
      <c r="A622" s="98" t="s">
        <v>188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189</v>
      </c>
      <c r="N622" s="31">
        <f>IFERROR(N608+N621,"")</f>
        <v>741900</v>
      </c>
    </row>
    <row r="623" spans="1:14" ht="15" customHeight="1" x14ac:dyDescent="0.35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334</v>
      </c>
      <c r="N623" s="41"/>
    </row>
    <row r="624" spans="1:14" ht="15" customHeight="1" x14ac:dyDescent="0.35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 x14ac:dyDescent="0.35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122</v>
      </c>
      <c r="I625" s="16" t="s">
        <v>106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 x14ac:dyDescent="0.35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122</v>
      </c>
      <c r="I626" s="10" t="s">
        <v>106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 x14ac:dyDescent="0.35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 x14ac:dyDescent="0.35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 x14ac:dyDescent="0.35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 x14ac:dyDescent="0.35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 x14ac:dyDescent="0.35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 x14ac:dyDescent="0.35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 x14ac:dyDescent="0.35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 x14ac:dyDescent="0.35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 x14ac:dyDescent="0.35">
      <c r="A635" s="101" t="s">
        <v>185</v>
      </c>
      <c r="B635" s="101"/>
      <c r="C635" s="101"/>
      <c r="D635" s="101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186</v>
      </c>
      <c r="N635" s="20">
        <v>159380</v>
      </c>
    </row>
    <row r="636" spans="1:14" ht="15" customHeight="1" x14ac:dyDescent="0.35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122</v>
      </c>
      <c r="I636" s="10" t="s">
        <v>106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348</v>
      </c>
      <c r="N636" s="41"/>
    </row>
    <row r="637" spans="1:14" ht="15" customHeight="1" x14ac:dyDescent="0.35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152</v>
      </c>
      <c r="I637" s="16" t="s">
        <v>172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349</v>
      </c>
      <c r="N637" s="41"/>
    </row>
    <row r="638" spans="1:14" ht="15" customHeight="1" x14ac:dyDescent="0.35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152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 x14ac:dyDescent="0.35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122</v>
      </c>
      <c r="I639" s="16" t="s">
        <v>106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 x14ac:dyDescent="0.35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152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 x14ac:dyDescent="0.35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 x14ac:dyDescent="0.35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 x14ac:dyDescent="0.35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 x14ac:dyDescent="0.35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 x14ac:dyDescent="0.35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 x14ac:dyDescent="0.35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 x14ac:dyDescent="0.35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 x14ac:dyDescent="0.35">
      <c r="A648" s="101" t="s">
        <v>187</v>
      </c>
      <c r="B648" s="101"/>
      <c r="C648" s="101"/>
      <c r="D648" s="101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186</v>
      </c>
      <c r="N648" s="20">
        <f>89640+153770</f>
        <v>243410</v>
      </c>
    </row>
    <row r="649" spans="1:14" ht="18" customHeight="1" x14ac:dyDescent="0.35">
      <c r="A649" s="98" t="s">
        <v>188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189</v>
      </c>
      <c r="N649" s="31">
        <f>IFERROR(N635+N648,"")</f>
        <v>402790</v>
      </c>
    </row>
    <row r="650" spans="1:14" ht="15" customHeight="1" x14ac:dyDescent="0.35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 x14ac:dyDescent="0.35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 x14ac:dyDescent="0.35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 x14ac:dyDescent="0.35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 x14ac:dyDescent="0.35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 x14ac:dyDescent="0.35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 x14ac:dyDescent="0.35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 x14ac:dyDescent="0.35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 x14ac:dyDescent="0.35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 x14ac:dyDescent="0.35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 x14ac:dyDescent="0.35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 x14ac:dyDescent="0.35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 x14ac:dyDescent="0.35">
      <c r="A662" s="19" t="s">
        <v>185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186</v>
      </c>
      <c r="N662" s="20">
        <v>337830</v>
      </c>
    </row>
    <row r="663" spans="1:14" ht="15" customHeight="1" x14ac:dyDescent="0.35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350</v>
      </c>
      <c r="N663" s="41"/>
    </row>
    <row r="664" spans="1:14" ht="15" customHeight="1" x14ac:dyDescent="0.35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 x14ac:dyDescent="0.35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 x14ac:dyDescent="0.35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 x14ac:dyDescent="0.35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 x14ac:dyDescent="0.35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121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 x14ac:dyDescent="0.35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122</v>
      </c>
      <c r="I669" s="16" t="s">
        <v>106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 x14ac:dyDescent="0.35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 x14ac:dyDescent="0.35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 x14ac:dyDescent="0.35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 x14ac:dyDescent="0.35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 x14ac:dyDescent="0.35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 x14ac:dyDescent="0.35">
      <c r="A675" s="101" t="s">
        <v>187</v>
      </c>
      <c r="B675" s="101"/>
      <c r="C675" s="101"/>
      <c r="D675" s="101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186</v>
      </c>
      <c r="N675" s="20">
        <v>425320</v>
      </c>
    </row>
    <row r="676" spans="1:14" ht="18" customHeight="1" x14ac:dyDescent="0.35">
      <c r="A676" s="98" t="s">
        <v>188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189</v>
      </c>
      <c r="N676" s="31">
        <f>IFERROR(N662+N675,"")</f>
        <v>763150</v>
      </c>
    </row>
    <row r="677" spans="1:14" ht="15" customHeight="1" x14ac:dyDescent="0.35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152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 x14ac:dyDescent="0.35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 x14ac:dyDescent="0.35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 x14ac:dyDescent="0.35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 x14ac:dyDescent="0.35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 x14ac:dyDescent="0.35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 x14ac:dyDescent="0.35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 x14ac:dyDescent="0.35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 x14ac:dyDescent="0.35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 x14ac:dyDescent="0.35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 x14ac:dyDescent="0.35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 x14ac:dyDescent="0.35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 x14ac:dyDescent="0.35">
      <c r="A689" s="101" t="s">
        <v>185</v>
      </c>
      <c r="B689" s="101"/>
      <c r="C689" s="101"/>
      <c r="D689" s="101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186</v>
      </c>
      <c r="N689" s="20">
        <v>801080</v>
      </c>
    </row>
    <row r="690" spans="1:14" ht="15" customHeight="1" x14ac:dyDescent="0.35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 x14ac:dyDescent="0.35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152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351</v>
      </c>
      <c r="N691" s="41"/>
    </row>
    <row r="692" spans="1:14" ht="15" customHeight="1" x14ac:dyDescent="0.35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121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 x14ac:dyDescent="0.35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97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352</v>
      </c>
      <c r="N693" s="41"/>
    </row>
    <row r="694" spans="1:14" ht="15" customHeight="1" x14ac:dyDescent="0.35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 x14ac:dyDescent="0.35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 x14ac:dyDescent="0.35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 x14ac:dyDescent="0.35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 x14ac:dyDescent="0.35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 x14ac:dyDescent="0.35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 x14ac:dyDescent="0.35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 x14ac:dyDescent="0.35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 x14ac:dyDescent="0.35">
      <c r="A702" s="101" t="s">
        <v>187</v>
      </c>
      <c r="B702" s="101"/>
      <c r="C702" s="101"/>
      <c r="D702" s="101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186</v>
      </c>
      <c r="N702" s="20">
        <f>626540+94190</f>
        <v>720730</v>
      </c>
    </row>
    <row r="703" spans="1:14" ht="18" customHeight="1" x14ac:dyDescent="0.35">
      <c r="A703" s="98" t="s">
        <v>188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189</v>
      </c>
      <c r="N703" s="31">
        <f>IFERROR(N689+N702,"")</f>
        <v>1521810</v>
      </c>
    </row>
    <row r="704" spans="1:14" ht="15" customHeight="1" x14ac:dyDescent="0.35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152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353</v>
      </c>
      <c r="N704" s="41"/>
    </row>
    <row r="705" spans="1:15" ht="15" customHeight="1" x14ac:dyDescent="0.35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/>
      <c r="H705" s="16"/>
      <c r="I705" s="16"/>
      <c r="J705" s="13">
        <v>0.50694444444444442</v>
      </c>
      <c r="K705" s="13"/>
      <c r="L705" s="71" t="str">
        <f t="shared" si="158"/>
        <v/>
      </c>
      <c r="M705" s="11"/>
      <c r="N705" s="41"/>
    </row>
    <row r="706" spans="1:15" ht="15" customHeight="1" x14ac:dyDescent="0.35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/>
      <c r="H706" s="10"/>
      <c r="I706" s="10"/>
      <c r="J706" s="13"/>
      <c r="K706" s="13"/>
      <c r="L706" s="70" t="str">
        <f t="shared" si="158"/>
        <v/>
      </c>
      <c r="M706" s="11"/>
      <c r="N706" s="41"/>
    </row>
    <row r="707" spans="1:15" ht="15" customHeight="1" x14ac:dyDescent="0.35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/>
      <c r="H707" s="16"/>
      <c r="I707" s="16"/>
      <c r="J707" s="13"/>
      <c r="K707" s="13"/>
      <c r="L707" s="71" t="str">
        <f t="shared" si="158"/>
        <v/>
      </c>
      <c r="M707" s="11"/>
      <c r="N707" s="41"/>
      <c r="O707" s="97"/>
    </row>
    <row r="708" spans="1:15" ht="15" customHeight="1" x14ac:dyDescent="0.35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30</v>
      </c>
      <c r="F708" s="12">
        <f t="shared" si="157"/>
        <v>120</v>
      </c>
      <c r="G708" s="10"/>
      <c r="H708" s="10"/>
      <c r="I708" s="10"/>
      <c r="J708" s="13"/>
      <c r="K708" s="13"/>
      <c r="L708" s="70" t="str">
        <f t="shared" si="158"/>
        <v/>
      </c>
      <c r="M708" s="11"/>
      <c r="N708" s="41"/>
    </row>
    <row r="709" spans="1:15" ht="15" customHeight="1" x14ac:dyDescent="0.35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20</v>
      </c>
      <c r="F709" s="17">
        <f t="shared" si="157"/>
        <v>80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5" ht="15" customHeight="1" x14ac:dyDescent="0.35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10</v>
      </c>
      <c r="F710" s="12">
        <f t="shared" si="157"/>
        <v>40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5" ht="15" customHeight="1" x14ac:dyDescent="0.35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30</v>
      </c>
      <c r="F711" s="17">
        <f t="shared" si="157"/>
        <v>120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5" ht="15" customHeight="1" x14ac:dyDescent="0.35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20</v>
      </c>
      <c r="F712" s="12">
        <f t="shared" si="157"/>
        <v>80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5" ht="15" customHeight="1" x14ac:dyDescent="0.35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30</v>
      </c>
      <c r="F713" s="17">
        <f t="shared" si="157"/>
        <v>120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5" ht="15" customHeight="1" x14ac:dyDescent="0.35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5" ht="15" customHeight="1" x14ac:dyDescent="0.35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20</v>
      </c>
      <c r="F715" s="17">
        <f t="shared" si="157"/>
        <v>80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5" ht="15.75" customHeight="1" x14ac:dyDescent="0.35">
      <c r="A716" s="101" t="s">
        <v>185</v>
      </c>
      <c r="B716" s="101"/>
      <c r="C716" s="101"/>
      <c r="D716" s="101"/>
      <c r="E716" s="19">
        <f>SUM(E704:E715)</f>
        <v>219</v>
      </c>
      <c r="F716" s="19">
        <f>SUM(F704:F715)</f>
        <v>876</v>
      </c>
      <c r="G716" s="38"/>
      <c r="H716" s="38"/>
      <c r="I716" s="38"/>
      <c r="J716" s="38"/>
      <c r="K716" s="38"/>
      <c r="L716" s="72">
        <f>IFERROR(SUM(L704:L715),"")</f>
        <v>2.0833333333333315E-2</v>
      </c>
      <c r="M716" s="19" t="s">
        <v>186</v>
      </c>
      <c r="N716" s="20">
        <v>1000000</v>
      </c>
    </row>
    <row r="717" spans="1:15" ht="15" customHeight="1" x14ac:dyDescent="0.35">
      <c r="A717" s="59">
        <v>46200</v>
      </c>
      <c r="B717" s="15">
        <v>0.83333333333333304</v>
      </c>
      <c r="C717" s="16"/>
      <c r="D717" s="63"/>
      <c r="E717" s="11">
        <v>20</v>
      </c>
      <c r="F717" s="17">
        <f t="shared" ref="F717:F728" si="160">IF(E717="","",E717*4)</f>
        <v>80</v>
      </c>
      <c r="G717" s="16"/>
      <c r="H717" s="16"/>
      <c r="I717" s="16"/>
      <c r="J717" s="13"/>
      <c r="K717" s="13"/>
      <c r="L717" s="71" t="str">
        <f t="shared" ref="L717:L728" si="161">IFERROR(IF(K717="","",IF(K717&gt;=J717,K717-J717,K717+1-J717)),"")</f>
        <v/>
      </c>
      <c r="M717" s="11"/>
      <c r="N717" s="41"/>
    </row>
    <row r="718" spans="1:15" ht="15" customHeight="1" x14ac:dyDescent="0.35">
      <c r="A718" s="58">
        <v>46200</v>
      </c>
      <c r="B718" s="9">
        <f t="shared" ref="B718:B728" si="162">B717+TIME(0,60,0)</f>
        <v>0.87499999999999967</v>
      </c>
      <c r="C718" s="10"/>
      <c r="D718" s="62"/>
      <c r="E718" s="11">
        <v>20</v>
      </c>
      <c r="F718" s="12">
        <f t="shared" si="160"/>
        <v>80</v>
      </c>
      <c r="G718" s="10"/>
      <c r="H718" s="10"/>
      <c r="I718" s="10"/>
      <c r="J718" s="13"/>
      <c r="K718" s="13"/>
      <c r="L718" s="70" t="str">
        <f t="shared" si="161"/>
        <v/>
      </c>
      <c r="M718" s="11"/>
      <c r="N718" s="41"/>
    </row>
    <row r="719" spans="1:15" ht="15" customHeight="1" x14ac:dyDescent="0.35">
      <c r="A719" s="59">
        <v>46200</v>
      </c>
      <c r="B719" s="15">
        <f t="shared" si="162"/>
        <v>0.9166666666666663</v>
      </c>
      <c r="C719" s="16"/>
      <c r="D719" s="63"/>
      <c r="E719" s="11">
        <v>20</v>
      </c>
      <c r="F719" s="17">
        <f t="shared" si="160"/>
        <v>80</v>
      </c>
      <c r="G719" s="16"/>
      <c r="H719" s="16"/>
      <c r="I719" s="16"/>
      <c r="J719" s="13"/>
      <c r="K719" s="13"/>
      <c r="L719" s="71" t="str">
        <f t="shared" si="161"/>
        <v/>
      </c>
      <c r="M719" s="11"/>
      <c r="N719" s="41"/>
    </row>
    <row r="720" spans="1:15" ht="15" customHeight="1" x14ac:dyDescent="0.35">
      <c r="A720" s="58">
        <v>46200</v>
      </c>
      <c r="B720" s="9">
        <f t="shared" si="162"/>
        <v>0.95833333333333293</v>
      </c>
      <c r="C720" s="10"/>
      <c r="D720" s="62"/>
      <c r="E720" s="11"/>
      <c r="F720" s="12" t="str">
        <f t="shared" si="160"/>
        <v/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 x14ac:dyDescent="0.35">
      <c r="A721" s="59">
        <v>46200</v>
      </c>
      <c r="B721" s="15">
        <f t="shared" si="162"/>
        <v>0.99999999999999956</v>
      </c>
      <c r="C721" s="16"/>
      <c r="D721" s="63"/>
      <c r="E721" s="11"/>
      <c r="F721" s="17" t="str">
        <f t="shared" si="160"/>
        <v/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 x14ac:dyDescent="0.35">
      <c r="A722" s="58">
        <v>46200</v>
      </c>
      <c r="B722" s="9">
        <f t="shared" si="162"/>
        <v>1.0416666666666663</v>
      </c>
      <c r="C722" s="10"/>
      <c r="D722" s="62"/>
      <c r="E722" s="11"/>
      <c r="F722" s="12" t="str">
        <f t="shared" si="160"/>
        <v/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 x14ac:dyDescent="0.35">
      <c r="A723" s="59">
        <v>46200</v>
      </c>
      <c r="B723" s="15">
        <f t="shared" si="162"/>
        <v>1.083333333333333</v>
      </c>
      <c r="C723" s="16"/>
      <c r="D723" s="63"/>
      <c r="E723" s="11"/>
      <c r="F723" s="17" t="str">
        <f t="shared" si="160"/>
        <v/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 x14ac:dyDescent="0.35">
      <c r="A724" s="58">
        <v>46200</v>
      </c>
      <c r="B724" s="9">
        <f t="shared" si="162"/>
        <v>1.1249999999999998</v>
      </c>
      <c r="C724" s="10"/>
      <c r="D724" s="62"/>
      <c r="E724" s="11"/>
      <c r="F724" s="12" t="str">
        <f t="shared" si="160"/>
        <v/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 x14ac:dyDescent="0.35">
      <c r="A725" s="59">
        <v>46200</v>
      </c>
      <c r="B725" s="15">
        <f t="shared" si="162"/>
        <v>1.1666666666666665</v>
      </c>
      <c r="C725" s="16"/>
      <c r="D725" s="63"/>
      <c r="E725" s="11"/>
      <c r="F725" s="17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 x14ac:dyDescent="0.35">
      <c r="A726" s="58">
        <v>46200</v>
      </c>
      <c r="B726" s="9">
        <f t="shared" si="162"/>
        <v>1.2083333333333333</v>
      </c>
      <c r="C726" s="10"/>
      <c r="D726" s="62"/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 x14ac:dyDescent="0.35">
      <c r="A727" s="59">
        <v>46200</v>
      </c>
      <c r="B727" s="15">
        <f t="shared" si="162"/>
        <v>1.25</v>
      </c>
      <c r="C727" s="16"/>
      <c r="D727" s="63"/>
      <c r="E727" s="11"/>
      <c r="F727" s="17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 x14ac:dyDescent="0.35">
      <c r="A728" s="58">
        <v>46200</v>
      </c>
      <c r="B728" s="9">
        <f t="shared" si="162"/>
        <v>1.2916666666666667</v>
      </c>
      <c r="C728" s="10"/>
      <c r="D728" s="62"/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 x14ac:dyDescent="0.35">
      <c r="A729" s="101" t="s">
        <v>187</v>
      </c>
      <c r="B729" s="101"/>
      <c r="C729" s="101"/>
      <c r="D729" s="101"/>
      <c r="E729" s="19">
        <f>SUM(E717:E728)</f>
        <v>60</v>
      </c>
      <c r="F729" s="19">
        <f>SUM(F717:F728)</f>
        <v>240</v>
      </c>
      <c r="G729" s="38"/>
      <c r="H729" s="38"/>
      <c r="I729" s="38"/>
      <c r="J729" s="38"/>
      <c r="K729" s="38"/>
      <c r="L729" s="72">
        <f>IFERROR(SUM(L717:L728),"")</f>
        <v>0</v>
      </c>
      <c r="M729" s="19" t="s">
        <v>186</v>
      </c>
      <c r="N729" s="20">
        <v>1000000</v>
      </c>
    </row>
    <row r="730" spans="1:14" ht="18" customHeight="1" x14ac:dyDescent="0.35">
      <c r="A730" s="98" t="s">
        <v>188</v>
      </c>
      <c r="B730" s="98"/>
      <c r="C730" s="98"/>
      <c r="D730" s="98"/>
      <c r="E730" s="22">
        <f>E716+E729</f>
        <v>279</v>
      </c>
      <c r="F730" s="22">
        <f>F716+F729</f>
        <v>1116</v>
      </c>
      <c r="G730" s="39"/>
      <c r="H730" s="39"/>
      <c r="I730" s="39"/>
      <c r="J730" s="39"/>
      <c r="K730" s="39"/>
      <c r="L730" s="73">
        <f>IFERROR(L716+L729,"")</f>
        <v>2.0833333333333315E-2</v>
      </c>
      <c r="M730" s="22" t="s">
        <v>189</v>
      </c>
      <c r="N730" s="31">
        <f>IFERROR(N716+N729,"")</f>
        <v>2000000</v>
      </c>
    </row>
    <row r="731" spans="1:14" ht="15" customHeight="1" x14ac:dyDescent="0.35">
      <c r="A731" s="59">
        <v>46201</v>
      </c>
      <c r="B731" s="15">
        <v>0.33333333333333298</v>
      </c>
      <c r="C731" s="16"/>
      <c r="D731" s="63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11"/>
      <c r="N731" s="41"/>
    </row>
    <row r="732" spans="1:14" ht="15" customHeight="1" x14ac:dyDescent="0.35">
      <c r="A732" s="58">
        <v>46201</v>
      </c>
      <c r="B732" s="9">
        <f t="shared" ref="B732:B742" si="165">B731+TIME(0,60,0)</f>
        <v>0.37499999999999967</v>
      </c>
      <c r="C732" s="10"/>
      <c r="D732" s="62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11"/>
      <c r="N732" s="41"/>
    </row>
    <row r="733" spans="1:14" ht="15" customHeight="1" x14ac:dyDescent="0.35">
      <c r="A733" s="59">
        <v>46201</v>
      </c>
      <c r="B733" s="15">
        <f t="shared" si="165"/>
        <v>0.41666666666666635</v>
      </c>
      <c r="C733" s="16"/>
      <c r="D733" s="63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11"/>
      <c r="N733" s="41"/>
    </row>
    <row r="734" spans="1:14" ht="15" customHeight="1" x14ac:dyDescent="0.35">
      <c r="A734" s="58">
        <v>46201</v>
      </c>
      <c r="B734" s="9">
        <f t="shared" si="165"/>
        <v>0.45833333333333304</v>
      </c>
      <c r="C734" s="10"/>
      <c r="D734" s="62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11"/>
      <c r="N734" s="41"/>
    </row>
    <row r="735" spans="1:14" ht="15" customHeight="1" x14ac:dyDescent="0.35">
      <c r="A735" s="59">
        <v>46201</v>
      </c>
      <c r="B735" s="15">
        <f t="shared" si="165"/>
        <v>0.49999999999999972</v>
      </c>
      <c r="C735" s="16"/>
      <c r="D735" s="63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 x14ac:dyDescent="0.35">
      <c r="A736" s="58">
        <v>46201</v>
      </c>
      <c r="B736" s="9">
        <f t="shared" si="165"/>
        <v>0.54166666666666641</v>
      </c>
      <c r="C736" s="10"/>
      <c r="D736" s="62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 x14ac:dyDescent="0.35">
      <c r="A737" s="59">
        <v>46201</v>
      </c>
      <c r="B737" s="15">
        <f t="shared" si="165"/>
        <v>0.58333333333333304</v>
      </c>
      <c r="C737" s="16"/>
      <c r="D737" s="63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 x14ac:dyDescent="0.35">
      <c r="A738" s="58">
        <v>46201</v>
      </c>
      <c r="B738" s="9">
        <f t="shared" si="165"/>
        <v>0.62499999999999967</v>
      </c>
      <c r="C738" s="10"/>
      <c r="D738" s="62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 x14ac:dyDescent="0.35">
      <c r="A739" s="59">
        <v>46201</v>
      </c>
      <c r="B739" s="15">
        <f t="shared" si="165"/>
        <v>0.6666666666666663</v>
      </c>
      <c r="C739" s="16"/>
      <c r="D739" s="63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 x14ac:dyDescent="0.35">
      <c r="A740" s="58">
        <v>46201</v>
      </c>
      <c r="B740" s="9">
        <f t="shared" si="165"/>
        <v>0.70833333333333293</v>
      </c>
      <c r="C740" s="10"/>
      <c r="D740" s="62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 x14ac:dyDescent="0.35">
      <c r="A741" s="59">
        <v>46201</v>
      </c>
      <c r="B741" s="15">
        <f t="shared" si="165"/>
        <v>0.74999999999999956</v>
      </c>
      <c r="C741" s="16"/>
      <c r="D741" s="63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 x14ac:dyDescent="0.35">
      <c r="A742" s="58">
        <v>46201</v>
      </c>
      <c r="B742" s="9">
        <f t="shared" si="165"/>
        <v>0.79166666666666619</v>
      </c>
      <c r="C742" s="10"/>
      <c r="D742" s="62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 x14ac:dyDescent="0.35">
      <c r="A743" s="101" t="s">
        <v>185</v>
      </c>
      <c r="B743" s="101"/>
      <c r="C743" s="101"/>
      <c r="D743" s="101"/>
      <c r="E743" s="19">
        <f>SUM(E731:E742)</f>
        <v>0</v>
      </c>
      <c r="F743" s="19">
        <f>SUM(F731:F742)</f>
        <v>0</v>
      </c>
      <c r="G743" s="38"/>
      <c r="H743" s="38"/>
      <c r="I743" s="38"/>
      <c r="J743" s="38"/>
      <c r="K743" s="38"/>
      <c r="L743" s="72">
        <f>IFERROR(SUM(L731:L742),"")</f>
        <v>0</v>
      </c>
      <c r="M743" s="19" t="s">
        <v>186</v>
      </c>
      <c r="N743" s="20"/>
    </row>
    <row r="744" spans="1:14" ht="15" customHeight="1" x14ac:dyDescent="0.35">
      <c r="A744" s="58">
        <v>46201</v>
      </c>
      <c r="B744" s="9">
        <v>0.83333333333333304</v>
      </c>
      <c r="C744" s="10"/>
      <c r="D744" s="62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 x14ac:dyDescent="0.35">
      <c r="A745" s="59">
        <v>46201</v>
      </c>
      <c r="B745" s="15">
        <f t="shared" ref="B745:B755" si="168">B744+TIME(0,60,0)</f>
        <v>0.87499999999999967</v>
      </c>
      <c r="C745" s="16"/>
      <c r="D745" s="63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 x14ac:dyDescent="0.35">
      <c r="A746" s="58">
        <v>46201</v>
      </c>
      <c r="B746" s="9">
        <f t="shared" si="168"/>
        <v>0.9166666666666663</v>
      </c>
      <c r="C746" s="10"/>
      <c r="D746" s="62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 x14ac:dyDescent="0.35">
      <c r="A747" s="59">
        <v>46201</v>
      </c>
      <c r="B747" s="15">
        <f t="shared" si="168"/>
        <v>0.95833333333333293</v>
      </c>
      <c r="C747" s="16"/>
      <c r="D747" s="63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 x14ac:dyDescent="0.35">
      <c r="A748" s="58">
        <v>46201</v>
      </c>
      <c r="B748" s="9">
        <f t="shared" si="168"/>
        <v>0.99999999999999956</v>
      </c>
      <c r="C748" s="10"/>
      <c r="D748" s="62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 x14ac:dyDescent="0.35">
      <c r="A749" s="59">
        <v>46201</v>
      </c>
      <c r="B749" s="15">
        <f t="shared" si="168"/>
        <v>1.0416666666666663</v>
      </c>
      <c r="C749" s="16"/>
      <c r="D749" s="63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 x14ac:dyDescent="0.35">
      <c r="A750" s="58">
        <v>46201</v>
      </c>
      <c r="B750" s="9">
        <f t="shared" si="168"/>
        <v>1.083333333333333</v>
      </c>
      <c r="C750" s="10"/>
      <c r="D750" s="62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 x14ac:dyDescent="0.35">
      <c r="A751" s="59">
        <v>46201</v>
      </c>
      <c r="B751" s="15">
        <f t="shared" si="168"/>
        <v>1.1249999999999998</v>
      </c>
      <c r="C751" s="16"/>
      <c r="D751" s="63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 x14ac:dyDescent="0.35">
      <c r="A752" s="58">
        <v>46201</v>
      </c>
      <c r="B752" s="9">
        <f t="shared" si="168"/>
        <v>1.1666666666666665</v>
      </c>
      <c r="C752" s="10"/>
      <c r="D752" s="62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 x14ac:dyDescent="0.35">
      <c r="A753" s="59">
        <v>46201</v>
      </c>
      <c r="B753" s="15">
        <f t="shared" si="168"/>
        <v>1.2083333333333333</v>
      </c>
      <c r="C753" s="16"/>
      <c r="D753" s="63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 x14ac:dyDescent="0.35">
      <c r="A754" s="58">
        <v>46201</v>
      </c>
      <c r="B754" s="9">
        <f t="shared" si="168"/>
        <v>1.25</v>
      </c>
      <c r="C754" s="10"/>
      <c r="D754" s="62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 x14ac:dyDescent="0.35">
      <c r="A755" s="59">
        <v>46201</v>
      </c>
      <c r="B755" s="15">
        <f t="shared" si="168"/>
        <v>1.2916666666666667</v>
      </c>
      <c r="C755" s="16"/>
      <c r="D755" s="63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 x14ac:dyDescent="0.35">
      <c r="A756" s="101" t="s">
        <v>187</v>
      </c>
      <c r="B756" s="101"/>
      <c r="C756" s="101"/>
      <c r="D756" s="101"/>
      <c r="E756" s="19">
        <f>SUM(E744:E755)</f>
        <v>0</v>
      </c>
      <c r="F756" s="19">
        <f>SUM(F744:F755)</f>
        <v>0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186</v>
      </c>
      <c r="N756" s="20"/>
    </row>
    <row r="757" spans="1:14" ht="18" customHeight="1" x14ac:dyDescent="0.35">
      <c r="A757" s="98" t="s">
        <v>188</v>
      </c>
      <c r="B757" s="98"/>
      <c r="C757" s="98"/>
      <c r="D757" s="98"/>
      <c r="E757" s="22">
        <f>E743+E756</f>
        <v>0</v>
      </c>
      <c r="F757" s="22">
        <f>F743+F756</f>
        <v>0</v>
      </c>
      <c r="G757" s="39"/>
      <c r="H757" s="39"/>
      <c r="I757" s="39"/>
      <c r="J757" s="39"/>
      <c r="K757" s="39"/>
      <c r="L757" s="73">
        <f>IFERROR(L743+L756,"")</f>
        <v>0</v>
      </c>
      <c r="M757" s="22" t="s">
        <v>189</v>
      </c>
      <c r="N757" s="31">
        <f>IFERROR(N743+N756,"")</f>
        <v>0</v>
      </c>
    </row>
    <row r="758" spans="1:14" ht="15" customHeight="1" x14ac:dyDescent="0.35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 x14ac:dyDescent="0.35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 x14ac:dyDescent="0.35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 x14ac:dyDescent="0.35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 x14ac:dyDescent="0.35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 x14ac:dyDescent="0.35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 x14ac:dyDescent="0.35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 x14ac:dyDescent="0.35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 x14ac:dyDescent="0.35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 x14ac:dyDescent="0.35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 x14ac:dyDescent="0.35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 x14ac:dyDescent="0.35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 x14ac:dyDescent="0.35">
      <c r="A770" s="101" t="s">
        <v>185</v>
      </c>
      <c r="B770" s="101"/>
      <c r="C770" s="101"/>
      <c r="D770" s="101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186</v>
      </c>
      <c r="N770" s="20"/>
    </row>
    <row r="771" spans="1:14" ht="15" customHeight="1" x14ac:dyDescent="0.35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 x14ac:dyDescent="0.35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 x14ac:dyDescent="0.35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 x14ac:dyDescent="0.35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 x14ac:dyDescent="0.35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 x14ac:dyDescent="0.35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 x14ac:dyDescent="0.35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 x14ac:dyDescent="0.35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 x14ac:dyDescent="0.35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 x14ac:dyDescent="0.35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 x14ac:dyDescent="0.35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 x14ac:dyDescent="0.35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 x14ac:dyDescent="0.35">
      <c r="A783" s="101" t="s">
        <v>187</v>
      </c>
      <c r="B783" s="101"/>
      <c r="C783" s="101"/>
      <c r="D783" s="101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186</v>
      </c>
      <c r="N783" s="20"/>
    </row>
    <row r="784" spans="1:14" ht="18" customHeight="1" x14ac:dyDescent="0.35">
      <c r="A784" s="98" t="s">
        <v>188</v>
      </c>
      <c r="B784" s="98"/>
      <c r="C784" s="98"/>
      <c r="D784" s="98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189</v>
      </c>
      <c r="N784" s="31">
        <f>IFERROR(N770+N783,"")</f>
        <v>0</v>
      </c>
    </row>
    <row r="785" spans="1:14" ht="15" customHeight="1" x14ac:dyDescent="0.35">
      <c r="A785" s="90">
        <v>46203</v>
      </c>
      <c r="B785" s="91">
        <v>0.33333333333333298</v>
      </c>
      <c r="C785" s="67"/>
      <c r="D785" s="92"/>
      <c r="E785" s="11"/>
      <c r="F785" s="93" t="str">
        <f t="shared" ref="F785:F796" si="175">IF(E785="","",E785*4)</f>
        <v/>
      </c>
      <c r="G785" s="67"/>
      <c r="H785" s="67"/>
      <c r="I785" s="67"/>
      <c r="J785" s="13"/>
      <c r="K785" s="13"/>
      <c r="L785" s="86" t="str">
        <f t="shared" ref="L785:L796" si="176">IFERROR(IF(K785="","",IF(K785&gt;=J785,K785-J785,K785+1-J785)),"")</f>
        <v/>
      </c>
      <c r="M785" s="11"/>
      <c r="N785" s="41"/>
    </row>
    <row r="786" spans="1:14" ht="15" customHeight="1" x14ac:dyDescent="0.35">
      <c r="A786" s="94">
        <v>46203</v>
      </c>
      <c r="B786" s="95">
        <f t="shared" ref="B786:B796" si="177">B785+TIME(0,60,0)</f>
        <v>0.37499999999999967</v>
      </c>
      <c r="C786" s="76"/>
      <c r="D786" s="87"/>
      <c r="E786" s="11"/>
      <c r="F786" s="80" t="str">
        <f t="shared" si="175"/>
        <v/>
      </c>
      <c r="G786" s="76"/>
      <c r="H786" s="76"/>
      <c r="I786" s="76"/>
      <c r="J786" s="13"/>
      <c r="K786" s="13"/>
      <c r="L786" s="77" t="str">
        <f t="shared" si="176"/>
        <v/>
      </c>
      <c r="M786" s="11"/>
      <c r="N786" s="41"/>
    </row>
    <row r="787" spans="1:14" ht="15" customHeight="1" x14ac:dyDescent="0.35">
      <c r="A787" s="90">
        <v>46203</v>
      </c>
      <c r="B787" s="91">
        <f t="shared" si="177"/>
        <v>0.41666666666666635</v>
      </c>
      <c r="C787" s="67"/>
      <c r="D787" s="92"/>
      <c r="E787" s="11"/>
      <c r="F787" s="93" t="str">
        <f t="shared" si="175"/>
        <v/>
      </c>
      <c r="G787" s="67"/>
      <c r="H787" s="67"/>
      <c r="I787" s="67"/>
      <c r="J787" s="13"/>
      <c r="K787" s="13"/>
      <c r="L787" s="86" t="str">
        <f t="shared" si="176"/>
        <v/>
      </c>
      <c r="M787" s="11"/>
      <c r="N787" s="41"/>
    </row>
    <row r="788" spans="1:14" ht="15" customHeight="1" x14ac:dyDescent="0.35">
      <c r="A788" s="94">
        <v>46203</v>
      </c>
      <c r="B788" s="95">
        <f t="shared" si="177"/>
        <v>0.45833333333333304</v>
      </c>
      <c r="C788" s="76"/>
      <c r="D788" s="87"/>
      <c r="E788" s="11"/>
      <c r="F788" s="80" t="str">
        <f t="shared" si="175"/>
        <v/>
      </c>
      <c r="G788" s="76"/>
      <c r="H788" s="76"/>
      <c r="I788" s="76"/>
      <c r="J788" s="13"/>
      <c r="K788" s="13"/>
      <c r="L788" s="77" t="str">
        <f t="shared" si="176"/>
        <v/>
      </c>
      <c r="M788" s="11"/>
      <c r="N788" s="41"/>
    </row>
    <row r="789" spans="1:14" ht="15" customHeight="1" x14ac:dyDescent="0.35">
      <c r="A789" s="90">
        <v>46203</v>
      </c>
      <c r="B789" s="91">
        <f t="shared" si="177"/>
        <v>0.49999999999999972</v>
      </c>
      <c r="C789" s="67"/>
      <c r="D789" s="92"/>
      <c r="E789" s="11"/>
      <c r="F789" s="93" t="str">
        <f t="shared" si="175"/>
        <v/>
      </c>
      <c r="G789" s="67"/>
      <c r="H789" s="67"/>
      <c r="I789" s="67"/>
      <c r="J789" s="13"/>
      <c r="K789" s="13"/>
      <c r="L789" s="86" t="str">
        <f t="shared" si="176"/>
        <v/>
      </c>
      <c r="M789" s="11"/>
      <c r="N789" s="41"/>
    </row>
    <row r="790" spans="1:14" ht="15" customHeight="1" x14ac:dyDescent="0.35">
      <c r="A790" s="94">
        <v>46203</v>
      </c>
      <c r="B790" s="95">
        <f t="shared" si="177"/>
        <v>0.54166666666666641</v>
      </c>
      <c r="C790" s="76"/>
      <c r="D790" s="87"/>
      <c r="E790" s="11"/>
      <c r="F790" s="80" t="str">
        <f t="shared" si="175"/>
        <v/>
      </c>
      <c r="G790" s="76"/>
      <c r="H790" s="76"/>
      <c r="I790" s="76"/>
      <c r="J790" s="13"/>
      <c r="K790" s="13"/>
      <c r="L790" s="77" t="str">
        <f t="shared" si="176"/>
        <v/>
      </c>
      <c r="M790" s="11"/>
      <c r="N790" s="41"/>
    </row>
    <row r="791" spans="1:14" ht="15" customHeight="1" x14ac:dyDescent="0.35">
      <c r="A791" s="90">
        <v>46203</v>
      </c>
      <c r="B791" s="91">
        <f t="shared" si="177"/>
        <v>0.58333333333333304</v>
      </c>
      <c r="C791" s="67"/>
      <c r="D791" s="92"/>
      <c r="E791" s="11"/>
      <c r="F791" s="93" t="str">
        <f t="shared" si="175"/>
        <v/>
      </c>
      <c r="G791" s="67"/>
      <c r="H791" s="67"/>
      <c r="I791" s="67"/>
      <c r="J791" s="13"/>
      <c r="K791" s="13"/>
      <c r="L791" s="86" t="str">
        <f t="shared" si="176"/>
        <v/>
      </c>
      <c r="M791" s="11"/>
      <c r="N791" s="41"/>
    </row>
    <row r="792" spans="1:14" ht="15" customHeight="1" x14ac:dyDescent="0.35">
      <c r="A792" s="94">
        <v>46203</v>
      </c>
      <c r="B792" s="95">
        <f t="shared" si="177"/>
        <v>0.62499999999999967</v>
      </c>
      <c r="C792" s="76"/>
      <c r="D792" s="87"/>
      <c r="E792" s="11"/>
      <c r="F792" s="80" t="str">
        <f t="shared" si="175"/>
        <v/>
      </c>
      <c r="G792" s="76"/>
      <c r="H792" s="76"/>
      <c r="I792" s="76"/>
      <c r="J792" s="13"/>
      <c r="K792" s="13"/>
      <c r="L792" s="77" t="str">
        <f t="shared" si="176"/>
        <v/>
      </c>
      <c r="M792" s="11"/>
      <c r="N792" s="41"/>
    </row>
    <row r="793" spans="1:14" ht="15" customHeight="1" x14ac:dyDescent="0.35">
      <c r="A793" s="90">
        <v>46203</v>
      </c>
      <c r="B793" s="91">
        <f t="shared" si="177"/>
        <v>0.6666666666666663</v>
      </c>
      <c r="C793" s="67"/>
      <c r="D793" s="92"/>
      <c r="E793" s="11"/>
      <c r="F793" s="93" t="str">
        <f t="shared" si="175"/>
        <v/>
      </c>
      <c r="G793" s="67"/>
      <c r="H793" s="67"/>
      <c r="I793" s="67"/>
      <c r="J793" s="13"/>
      <c r="K793" s="13"/>
      <c r="L793" s="86" t="str">
        <f t="shared" si="176"/>
        <v/>
      </c>
      <c r="M793" s="11"/>
      <c r="N793" s="41"/>
    </row>
    <row r="794" spans="1:14" ht="15" customHeight="1" x14ac:dyDescent="0.35">
      <c r="A794" s="94">
        <v>46203</v>
      </c>
      <c r="B794" s="95">
        <f t="shared" si="177"/>
        <v>0.70833333333333293</v>
      </c>
      <c r="C794" s="76"/>
      <c r="D794" s="87"/>
      <c r="E794" s="11"/>
      <c r="F794" s="80" t="str">
        <f t="shared" si="175"/>
        <v/>
      </c>
      <c r="G794" s="76"/>
      <c r="H794" s="76"/>
      <c r="I794" s="76"/>
      <c r="J794" s="13"/>
      <c r="K794" s="13"/>
      <c r="L794" s="77" t="str">
        <f t="shared" si="176"/>
        <v/>
      </c>
      <c r="M794" s="11"/>
      <c r="N794" s="41"/>
    </row>
    <row r="795" spans="1:14" ht="15" customHeight="1" x14ac:dyDescent="0.35">
      <c r="A795" s="90">
        <v>46203</v>
      </c>
      <c r="B795" s="91">
        <f t="shared" si="177"/>
        <v>0.74999999999999956</v>
      </c>
      <c r="C795" s="67"/>
      <c r="D795" s="92"/>
      <c r="E795" s="11"/>
      <c r="F795" s="93" t="str">
        <f t="shared" si="175"/>
        <v/>
      </c>
      <c r="G795" s="67"/>
      <c r="H795" s="67"/>
      <c r="I795" s="67"/>
      <c r="J795" s="13"/>
      <c r="K795" s="13"/>
      <c r="L795" s="86" t="str">
        <f t="shared" si="176"/>
        <v/>
      </c>
      <c r="M795" s="11"/>
      <c r="N795" s="41"/>
    </row>
    <row r="796" spans="1:14" ht="15" customHeight="1" x14ac:dyDescent="0.35">
      <c r="A796" s="94">
        <v>46203</v>
      </c>
      <c r="B796" s="95">
        <f t="shared" si="177"/>
        <v>0.79166666666666619</v>
      </c>
      <c r="C796" s="76"/>
      <c r="D796" s="87"/>
      <c r="E796" s="11"/>
      <c r="F796" s="80" t="str">
        <f t="shared" si="175"/>
        <v/>
      </c>
      <c r="G796" s="76"/>
      <c r="H796" s="76"/>
      <c r="I796" s="76"/>
      <c r="J796" s="13"/>
      <c r="K796" s="13"/>
      <c r="L796" s="77" t="str">
        <f t="shared" si="176"/>
        <v/>
      </c>
      <c r="M796" s="11"/>
      <c r="N796" s="41"/>
    </row>
    <row r="797" spans="1:14" ht="15.75" customHeight="1" x14ac:dyDescent="0.35">
      <c r="A797" s="99" t="s">
        <v>185</v>
      </c>
      <c r="B797" s="99"/>
      <c r="C797" s="99"/>
      <c r="D797" s="9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186</v>
      </c>
      <c r="N797" s="20"/>
    </row>
    <row r="798" spans="1:14" ht="15" customHeight="1" x14ac:dyDescent="0.35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8">IFERROR(IF(K798="","",IF(K798&gt;=J798,K798-J798,K798+1-J798)),"")</f>
        <v/>
      </c>
      <c r="M798" s="11"/>
      <c r="N798" s="41"/>
    </row>
    <row r="799" spans="1:14" ht="15" customHeight="1" x14ac:dyDescent="0.35">
      <c r="A799" s="90">
        <v>46203</v>
      </c>
      <c r="B799" s="91">
        <f t="shared" ref="B799:B809" si="179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8"/>
        <v/>
      </c>
      <c r="M799" s="11"/>
      <c r="N799" s="41"/>
    </row>
    <row r="800" spans="1:14" ht="15" customHeight="1" x14ac:dyDescent="0.35">
      <c r="A800" s="94">
        <v>46203</v>
      </c>
      <c r="B800" s="95">
        <f t="shared" si="179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8"/>
        <v/>
      </c>
      <c r="M800" s="11"/>
      <c r="N800" s="41"/>
    </row>
    <row r="801" spans="1:14" ht="15" customHeight="1" x14ac:dyDescent="0.35">
      <c r="A801" s="90">
        <v>46203</v>
      </c>
      <c r="B801" s="91">
        <f t="shared" si="179"/>
        <v>0.95833333333333293</v>
      </c>
      <c r="C801" s="67"/>
      <c r="D801" s="92"/>
      <c r="E801" s="11"/>
      <c r="F801" s="93" t="str">
        <f t="shared" ref="F801:F809" si="180">IF(E801="","",E801*4)</f>
        <v/>
      </c>
      <c r="G801" s="67"/>
      <c r="H801" s="67"/>
      <c r="I801" s="67"/>
      <c r="J801" s="13"/>
      <c r="K801" s="13"/>
      <c r="L801" s="86" t="str">
        <f t="shared" si="178"/>
        <v/>
      </c>
      <c r="M801" s="11"/>
      <c r="N801" s="41"/>
    </row>
    <row r="802" spans="1:14" ht="15" customHeight="1" x14ac:dyDescent="0.35">
      <c r="A802" s="94">
        <v>46203</v>
      </c>
      <c r="B802" s="95">
        <f t="shared" si="179"/>
        <v>0.99999999999999956</v>
      </c>
      <c r="C802" s="76"/>
      <c r="D802" s="87"/>
      <c r="E802" s="11"/>
      <c r="F802" s="80" t="str">
        <f t="shared" si="180"/>
        <v/>
      </c>
      <c r="G802" s="76"/>
      <c r="H802" s="76"/>
      <c r="I802" s="76"/>
      <c r="J802" s="13"/>
      <c r="K802" s="13"/>
      <c r="L802" s="77" t="str">
        <f t="shared" si="178"/>
        <v/>
      </c>
      <c r="M802" s="11"/>
      <c r="N802" s="41"/>
    </row>
    <row r="803" spans="1:14" ht="15" customHeight="1" x14ac:dyDescent="0.35">
      <c r="A803" s="90">
        <v>46203</v>
      </c>
      <c r="B803" s="91">
        <f t="shared" si="179"/>
        <v>1.0416666666666663</v>
      </c>
      <c r="C803" s="67"/>
      <c r="D803" s="92"/>
      <c r="E803" s="11"/>
      <c r="F803" s="93" t="str">
        <f t="shared" si="180"/>
        <v/>
      </c>
      <c r="G803" s="67"/>
      <c r="H803" s="67"/>
      <c r="I803" s="67"/>
      <c r="J803" s="13"/>
      <c r="K803" s="13"/>
      <c r="L803" s="86" t="str">
        <f t="shared" si="178"/>
        <v/>
      </c>
      <c r="M803" s="11"/>
      <c r="N803" s="41"/>
    </row>
    <row r="804" spans="1:14" ht="15" customHeight="1" x14ac:dyDescent="0.35">
      <c r="A804" s="94">
        <v>46203</v>
      </c>
      <c r="B804" s="95">
        <f t="shared" si="179"/>
        <v>1.083333333333333</v>
      </c>
      <c r="C804" s="76"/>
      <c r="D804" s="87"/>
      <c r="E804" s="11"/>
      <c r="F804" s="80" t="str">
        <f t="shared" si="180"/>
        <v/>
      </c>
      <c r="G804" s="76"/>
      <c r="H804" s="76"/>
      <c r="I804" s="76"/>
      <c r="J804" s="13"/>
      <c r="K804" s="13"/>
      <c r="L804" s="77" t="str">
        <f t="shared" si="178"/>
        <v/>
      </c>
      <c r="M804" s="11"/>
      <c r="N804" s="41"/>
    </row>
    <row r="805" spans="1:14" ht="15" customHeight="1" x14ac:dyDescent="0.35">
      <c r="A805" s="90">
        <v>46203</v>
      </c>
      <c r="B805" s="91">
        <f t="shared" si="179"/>
        <v>1.1249999999999998</v>
      </c>
      <c r="C805" s="67"/>
      <c r="D805" s="92"/>
      <c r="E805" s="11"/>
      <c r="F805" s="93" t="str">
        <f t="shared" si="180"/>
        <v/>
      </c>
      <c r="G805" s="67"/>
      <c r="H805" s="67"/>
      <c r="I805" s="67"/>
      <c r="J805" s="13"/>
      <c r="K805" s="13"/>
      <c r="L805" s="86" t="str">
        <f t="shared" si="178"/>
        <v/>
      </c>
      <c r="M805" s="11"/>
      <c r="N805" s="41"/>
    </row>
    <row r="806" spans="1:14" ht="15" customHeight="1" x14ac:dyDescent="0.35">
      <c r="A806" s="94">
        <v>46203</v>
      </c>
      <c r="B806" s="95">
        <f t="shared" si="179"/>
        <v>1.1666666666666665</v>
      </c>
      <c r="C806" s="76"/>
      <c r="D806" s="87"/>
      <c r="E806" s="11"/>
      <c r="F806" s="80" t="str">
        <f t="shared" si="180"/>
        <v/>
      </c>
      <c r="G806" s="76"/>
      <c r="H806" s="76"/>
      <c r="I806" s="76"/>
      <c r="J806" s="13"/>
      <c r="K806" s="13"/>
      <c r="L806" s="77" t="str">
        <f t="shared" si="178"/>
        <v/>
      </c>
      <c r="M806" s="11"/>
      <c r="N806" s="41"/>
    </row>
    <row r="807" spans="1:14" ht="15" customHeight="1" x14ac:dyDescent="0.35">
      <c r="A807" s="90">
        <v>46203</v>
      </c>
      <c r="B807" s="91">
        <f t="shared" si="179"/>
        <v>1.2083333333333333</v>
      </c>
      <c r="C807" s="67"/>
      <c r="D807" s="92"/>
      <c r="E807" s="11"/>
      <c r="F807" s="93" t="str">
        <f t="shared" si="180"/>
        <v/>
      </c>
      <c r="G807" s="67"/>
      <c r="H807" s="67"/>
      <c r="I807" s="67"/>
      <c r="J807" s="13"/>
      <c r="K807" s="13"/>
      <c r="L807" s="86" t="str">
        <f t="shared" si="178"/>
        <v/>
      </c>
      <c r="M807" s="11"/>
      <c r="N807" s="41"/>
    </row>
    <row r="808" spans="1:14" ht="15" customHeight="1" x14ac:dyDescent="0.35">
      <c r="A808" s="94">
        <v>46203</v>
      </c>
      <c r="B808" s="95">
        <f t="shared" si="179"/>
        <v>1.25</v>
      </c>
      <c r="C808" s="76"/>
      <c r="D808" s="87"/>
      <c r="E808" s="11"/>
      <c r="F808" s="80" t="str">
        <f t="shared" si="180"/>
        <v/>
      </c>
      <c r="G808" s="76"/>
      <c r="H808" s="76"/>
      <c r="I808" s="76"/>
      <c r="J808" s="13"/>
      <c r="K808" s="13"/>
      <c r="L808" s="77" t="str">
        <f t="shared" si="178"/>
        <v/>
      </c>
      <c r="M808" s="11"/>
      <c r="N808" s="41"/>
    </row>
    <row r="809" spans="1:14" ht="15" customHeight="1" x14ac:dyDescent="0.35">
      <c r="A809" s="90">
        <v>46203</v>
      </c>
      <c r="B809" s="91">
        <f t="shared" si="179"/>
        <v>1.2916666666666667</v>
      </c>
      <c r="C809" s="67"/>
      <c r="D809" s="92"/>
      <c r="E809" s="11"/>
      <c r="F809" s="93" t="str">
        <f t="shared" si="180"/>
        <v/>
      </c>
      <c r="G809" s="67"/>
      <c r="H809" s="67"/>
      <c r="I809" s="67"/>
      <c r="J809" s="13"/>
      <c r="K809" s="13"/>
      <c r="L809" s="86" t="str">
        <f t="shared" si="178"/>
        <v/>
      </c>
      <c r="M809" s="11"/>
      <c r="N809" s="41"/>
    </row>
    <row r="810" spans="1:14" ht="15.75" customHeight="1" x14ac:dyDescent="0.35">
      <c r="A810" s="99" t="s">
        <v>187</v>
      </c>
      <c r="B810" s="99"/>
      <c r="C810" s="99"/>
      <c r="D810" s="9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186</v>
      </c>
      <c r="N810" s="20"/>
    </row>
    <row r="811" spans="1:14" ht="18" customHeight="1" x14ac:dyDescent="0.35">
      <c r="A811" s="100" t="s">
        <v>188</v>
      </c>
      <c r="B811" s="100"/>
      <c r="C811" s="100"/>
      <c r="D811" s="10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189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94:D594"/>
    <mergeCell ref="A595:D595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2">
    <dataValidation type="list" showErrorMessage="1" errorTitle="Atenção" error="Selecione primeiro o Tipo de Parada (col G) e depois escolha a Descrição da lista." sqref="I2:I491 I493:I495 I498:I900" xr:uid="{7ACB24A3-7444-4A5B-9D8A-99A89EA9B3E3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BE0658B3-CE19-4654-992B-2D03BF6A86C6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E42231C9-5B9C-4120-8812-983D91AC911E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11D840C1-FFAB-45F1-AA3E-9013EE9FB715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9A2F8AF1-BE3A-4797-8EF5-8BF3F450E3DE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9590995-CB33-4656-A805-A591E9102BEC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CAD78A7-70F4-47FD-AA51-B85539CA803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91E8D77-88C5-466C-9E71-B0518BBFB650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customXml/itemProps3.xml><?xml version="1.0" encoding="utf-8"?>
<ds:datastoreItem xmlns:ds="http://schemas.openxmlformats.org/officeDocument/2006/customXml" ds:itemID="{914D07B3-4831-4991-A053-ED05E81548E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6</vt:i4>
      </vt:variant>
    </vt:vector>
  </HeadingPairs>
  <TitlesOfParts>
    <vt:vector size="12" baseType="lpstr">
      <vt:lpstr>Resumo</vt:lpstr>
      <vt:lpstr>Cadastro</vt:lpstr>
      <vt:lpstr>Britador</vt:lpstr>
      <vt:lpstr>Linha 1</vt:lpstr>
      <vt:lpstr>Linha 2</vt:lpstr>
      <vt:lpstr>Linha 3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Desktop CCO01</cp:lastModifiedBy>
  <cp:revision>0</cp:revision>
  <dcterms:created xsi:type="dcterms:W3CDTF">2026-06-05T19:56:02Z</dcterms:created>
  <dcterms:modified xsi:type="dcterms:W3CDTF">2026-06-27T16:28:35Z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