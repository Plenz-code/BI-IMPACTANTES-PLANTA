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2416" documentId="8_{AF585B22-221D-4780-BB9C-493D365A6A02}" xr6:coauthVersionLast="47" xr6:coauthVersionMax="47" xr10:uidLastSave="{D2302C9C-06B1-43A4-9321-FCC07375F93C}"/>
  <bookViews>
    <workbookView xWindow="-110" yWindow="-110" windowWidth="25820" windowHeight="15500" tabRatio="500" firstSheet="2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689" i="4" l="1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<sst xmlns="http://schemas.openxmlformats.org/spreadsheetml/2006/main" count="10720" uniqueCount="402">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</sst>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L32" sqref="L32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6" t="s">
        <v>0</v>
      </c>
      <c r="B1" s="106"/>
      <c r="C1" s="106"/>
      <c r="D1" s="106"/>
      <c r="E1" s="106"/>
      <c r="F1" s="106"/>
      <c r="G1" s="106"/>
    </row>
    <row r="2" spans="1:7" ht="24.75" customHeight="1">
      <c r="A2" s="107"/>
      <c r="B2" s="10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8" t="s">
        <v>9</v>
      </c>
      <c r="B35" s="108"/>
      <c r="C35" s="13">
        <f>IFERROR(SUM(C4:C34),"")</f>
        <v>79529218</v>
      </c>
      <c r="D35" s="13">
        <f>IFERROR(SUM(D4:D34),"")</f>
        <v>32089210</v>
      </c>
      <c r="E35" s="13">
        <f>IFERROR(SUM(E4:E34),"")</f>
        <v>18769260</v>
      </c>
      <c r="F35" s="13">
        <f>IFERROR(SUM(F4:F34),"")</f>
        <v>33356480</v>
      </c>
      <c r="G35" s="13">
        <f>IFERROR(SUM(G4:G34),"")</f>
        <v>84214950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9" t="s">
        <v>10</v>
      </c>
      <c r="B1" s="109"/>
      <c r="C1" s="109"/>
      <c r="D1" s="109"/>
      <c r="E1" s="109"/>
      <c r="F1" s="109"/>
      <c r="G1" s="109"/>
      <c r="H1" s="110"/>
      <c r="I1" s="111" t="s">
        <v>11</v>
      </c>
      <c r="J1" s="111"/>
      <c r="K1" s="111"/>
      <c r="L1" s="111"/>
      <c r="M1" s="111"/>
    </row>
    <row r="2" spans="1:13" ht="4.5" customHeight="1">
      <c r="H2" s="11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0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0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0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0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0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0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0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0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0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0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0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0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0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0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0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0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0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0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0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0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0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0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0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0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0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0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0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0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0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0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0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0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0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0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0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0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0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0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0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0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0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0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0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10"/>
      <c r="I57" s="17"/>
      <c r="J57" s="17"/>
      <c r="K57" s="17" t="s">
        <v>50</v>
      </c>
      <c r="L57" s="17"/>
      <c r="M57" s="17"/>
    </row>
    <row r="58" spans="1:13" ht="15" customHeight="1">
      <c r="H58" s="110"/>
      <c r="I58" s="16"/>
      <c r="J58" s="16"/>
      <c r="K58" s="16" t="s">
        <v>204</v>
      </c>
      <c r="L58" s="16"/>
      <c r="M58" s="16"/>
    </row>
    <row r="59" spans="1:13" ht="15" customHeight="1">
      <c r="H59" s="110"/>
      <c r="I59" s="17"/>
      <c r="J59" s="17"/>
      <c r="K59" s="17" t="s">
        <v>205</v>
      </c>
      <c r="L59" s="17"/>
      <c r="M59" s="17"/>
    </row>
    <row r="60" spans="1:13" ht="15" customHeight="1">
      <c r="H60" s="110"/>
      <c r="I60" s="16"/>
      <c r="J60" s="16"/>
      <c r="K60" s="86" t="s">
        <v>105</v>
      </c>
      <c r="L60" s="16"/>
      <c r="M60" s="16"/>
    </row>
    <row r="61" spans="1:13" ht="15" customHeight="1">
      <c r="H61" s="110"/>
      <c r="I61" s="17"/>
      <c r="J61" s="17"/>
      <c r="K61" s="17" t="s">
        <v>206</v>
      </c>
      <c r="L61" s="17"/>
      <c r="M61" s="17"/>
    </row>
    <row r="62" spans="1:13" ht="15" customHeight="1">
      <c r="H62" s="110"/>
      <c r="I62" s="16"/>
      <c r="J62" s="16"/>
      <c r="K62" s="16" t="s">
        <v>207</v>
      </c>
      <c r="L62" s="16"/>
      <c r="M62" s="16"/>
    </row>
    <row r="63" spans="1:13" ht="15" customHeight="1">
      <c r="H63" s="110"/>
      <c r="I63" s="17"/>
      <c r="J63" s="17"/>
      <c r="K63" s="17" t="s">
        <v>208</v>
      </c>
      <c r="L63" s="17"/>
      <c r="M63" s="17"/>
    </row>
    <row r="64" spans="1:13" ht="15" customHeight="1">
      <c r="H64" s="110"/>
      <c r="I64" s="16"/>
      <c r="J64" s="16"/>
      <c r="K64" s="16" t="s">
        <v>209</v>
      </c>
      <c r="L64" s="16"/>
      <c r="M64" s="16"/>
    </row>
    <row r="65" spans="8:13" ht="15" customHeight="1">
      <c r="H65" s="110"/>
      <c r="I65" s="17"/>
      <c r="J65" s="17"/>
      <c r="K65" s="17" t="s">
        <v>210</v>
      </c>
      <c r="L65" s="17"/>
      <c r="M65" s="17"/>
    </row>
    <row r="66" spans="8:13" ht="15" customHeight="1">
      <c r="H66" s="110"/>
      <c r="I66" s="16"/>
      <c r="J66" s="16"/>
      <c r="K66" s="16" t="s">
        <v>211</v>
      </c>
      <c r="L66" s="16"/>
      <c r="M66" s="16"/>
    </row>
    <row r="67" spans="8:13" ht="15" customHeight="1">
      <c r="H67" s="110"/>
      <c r="I67" s="17"/>
      <c r="J67" s="17"/>
      <c r="K67" s="17" t="s">
        <v>212</v>
      </c>
      <c r="L67" s="17"/>
      <c r="M67" s="17"/>
    </row>
    <row r="68" spans="8:13" ht="15" customHeight="1">
      <c r="H68" s="110"/>
      <c r="I68" s="16"/>
      <c r="J68" s="16"/>
      <c r="K68" s="16" t="s">
        <v>213</v>
      </c>
      <c r="L68" s="16"/>
      <c r="M68" s="16"/>
    </row>
    <row r="69" spans="8:13" ht="15" customHeight="1">
      <c r="H69" s="110"/>
      <c r="I69" s="17"/>
      <c r="J69" s="17"/>
      <c r="K69" s="17" t="s">
        <v>214</v>
      </c>
      <c r="L69" s="17"/>
      <c r="M69" s="17"/>
    </row>
    <row r="70" spans="8:13" ht="15" customHeight="1">
      <c r="H70" s="110"/>
      <c r="I70" s="16"/>
      <c r="J70" s="16"/>
      <c r="K70" s="16" t="s">
        <v>215</v>
      </c>
      <c r="L70" s="16"/>
      <c r="M70" s="16"/>
    </row>
    <row r="71" spans="8:13" ht="15" customHeight="1">
      <c r="H71" s="110"/>
      <c r="I71" s="17"/>
      <c r="J71" s="17"/>
      <c r="K71" s="17" t="s">
        <v>216</v>
      </c>
      <c r="L71" s="17"/>
      <c r="M71" s="17"/>
    </row>
    <row r="72" spans="8:13" ht="15" customHeight="1">
      <c r="H72" s="110"/>
      <c r="I72" s="16"/>
      <c r="J72" s="16"/>
      <c r="K72" s="16" t="s">
        <v>217</v>
      </c>
      <c r="L72" s="16"/>
      <c r="M72" s="16"/>
    </row>
    <row r="73" spans="8:13" ht="15" customHeight="1">
      <c r="H73" s="110"/>
      <c r="I73" s="17"/>
      <c r="J73" s="17"/>
      <c r="K73" s="17" t="s">
        <v>218</v>
      </c>
      <c r="L73" s="17"/>
      <c r="M73" s="17"/>
    </row>
    <row r="74" spans="8:13" ht="15" customHeight="1">
      <c r="H74" s="110"/>
      <c r="I74" s="16"/>
      <c r="J74" s="16"/>
      <c r="K74" s="16"/>
      <c r="L74" s="16"/>
      <c r="M74" s="16"/>
    </row>
    <row r="75" spans="8:13" ht="15" customHeight="1">
      <c r="H75" s="11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688" activePane="bottomLeft" state="frozen"/>
      <selection pane="bottomLeft" activeCell="F705" sqref="F705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229</v>
      </c>
      <c r="E2" s="59" t="s">
        <v>230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231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233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233</v>
      </c>
      <c r="O27" s="39">
        <v>1183060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236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237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233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233</v>
      </c>
      <c r="O54" s="39">
        <v>959290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236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233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238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233</v>
      </c>
      <c r="O81" s="39">
        <v>878050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236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239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233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240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233</v>
      </c>
      <c r="O108" s="39">
        <v>1700000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236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233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233</v>
      </c>
      <c r="O135" s="39">
        <v>862330</v>
      </c>
    </row>
    <row r="136" spans="1:15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236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233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233</v>
      </c>
      <c r="O162" s="44">
        <v>1546080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236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233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>
        <v>2355810</v>
      </c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236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233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233</v>
      </c>
      <c r="O216" s="45">
        <v>2013260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236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232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233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233</v>
      </c>
      <c r="O243" s="39">
        <v>1545480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236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242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233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>
        <v>1182690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236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233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243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244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244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244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244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244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244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244</v>
      </c>
      <c r="O296" s="47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233</v>
      </c>
      <c r="O297" s="39">
        <v>1843460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236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245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246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233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247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247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247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247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247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247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>
        <v>1940000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236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232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233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233</v>
      </c>
      <c r="O351" s="39">
        <v>701874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236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249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232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233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233</v>
      </c>
      <c r="O378" s="39">
        <v>1088710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236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210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250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251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233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230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230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252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230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230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230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230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230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230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230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230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233</v>
      </c>
      <c r="O405" s="39">
        <v>1202270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236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230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253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230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230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254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230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230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230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230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230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255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255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230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233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230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230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230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230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230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230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230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230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230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230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230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234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>
        <v>1801910</v>
      </c>
    </row>
    <row r="433" spans="1:15" ht="18" customHeight="1">
      <c r="A433" s="100" t="s">
        <v>235</v>
      </c>
      <c r="B433" s="101"/>
      <c r="C433" s="101"/>
      <c r="D433" s="101"/>
      <c r="E433" s="102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236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230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214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230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230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230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230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230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230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230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230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233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257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215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257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257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257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257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257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257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257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257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257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257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257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233</v>
      </c>
      <c r="O459" s="39">
        <v>2675000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236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>
        <v>2310070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236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230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230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230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230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230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233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230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230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230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230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230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230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230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230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230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230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234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>
        <v>1298429</v>
      </c>
    </row>
    <row r="514" spans="1:15" ht="18" customHeight="1">
      <c r="A514" s="100" t="s">
        <v>235</v>
      </c>
      <c r="B514" s="101"/>
      <c r="C514" s="101"/>
      <c r="D514" s="101"/>
      <c r="E514" s="102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236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258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230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230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230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230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230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230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230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230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230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230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230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233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230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230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259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230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230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230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230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230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230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230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230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230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233</v>
      </c>
      <c r="O540" s="39">
        <v>1240140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236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230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207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260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230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230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230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230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230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230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230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230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233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230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230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230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230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230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230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230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230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230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230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230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230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233</v>
      </c>
      <c r="O567" s="39">
        <v>1482110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236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163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230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230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230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230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230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230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233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230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203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203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230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230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230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230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230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230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230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233</v>
      </c>
      <c r="O594" s="39">
        <v>1036800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236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230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186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230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230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230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230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230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230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230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230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230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230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230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233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163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261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230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230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230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230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230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230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230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230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230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233</v>
      </c>
      <c r="O621" s="39">
        <v>1295785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236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230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230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230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230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230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230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230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230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230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230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230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230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230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163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262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230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230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230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230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230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230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230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230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230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230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230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233</v>
      </c>
      <c r="O648" s="39">
        <v>1954490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236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230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163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230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230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230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230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230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230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230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230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230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230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230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233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230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131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263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230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230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230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230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230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230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230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230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230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230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230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233</v>
      </c>
      <c r="O675" s="39">
        <v>471180</v>
      </c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236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230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264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230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265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230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230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230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230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230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230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230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230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230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230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232</v>
      </c>
      <c r="B689" s="104"/>
      <c r="C689" s="104"/>
      <c r="D689" s="104"/>
      <c r="E689" s="105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233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230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153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266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230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131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230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230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230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230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230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230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230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230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230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230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233</v>
      </c>
      <c r="O702" s="39">
        <v>1620480</v>
      </c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236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230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131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230</v>
      </c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230</v>
      </c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230</v>
      </c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230</v>
      </c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230</v>
      </c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230</v>
      </c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230</v>
      </c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230</v>
      </c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230</v>
      </c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230</v>
      </c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230</v>
      </c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8</v>
      </c>
      <c r="G716" s="36">
        <f>SUM(G704:G715)</f>
        <v>40</v>
      </c>
      <c r="H716" s="37"/>
      <c r="I716" s="37"/>
      <c r="J716" s="37"/>
      <c r="K716" s="37"/>
      <c r="L716" s="37"/>
      <c r="M716" s="38">
        <f ca="1">IFERROR(SUM(M704:M715),"")</f>
        <v>2.3611111111111083E-2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8</v>
      </c>
      <c r="G730" s="40">
        <f>G716+G729</f>
        <v>40</v>
      </c>
      <c r="H730" s="41"/>
      <c r="I730" s="41"/>
      <c r="J730" s="41"/>
      <c r="K730" s="41"/>
      <c r="L730" s="41"/>
      <c r="M730" s="42">
        <f ca="1">IFERROR(M716+M729,"")</f>
        <v>2.3611111111111083E-2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59" t="s">
        <v>230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684" activePane="bottomLeft" state="frozen"/>
      <selection pane="bottomLeft" activeCell="F705" sqref="F705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233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233</v>
      </c>
      <c r="O27" s="77">
        <v>393200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236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267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233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268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257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84">
        <v>276360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236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269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270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233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233</v>
      </c>
      <c r="O81" s="54">
        <v>787860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236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271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233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272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273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274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233</v>
      </c>
      <c r="O108" s="54">
        <v>1087080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236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275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233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276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248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277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278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233</v>
      </c>
      <c r="O135" s="54">
        <v>794480</v>
      </c>
    </row>
    <row r="136" spans="1:15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236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279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280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233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281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205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233</v>
      </c>
      <c r="O162" s="54">
        <v>882280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236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233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233</v>
      </c>
      <c r="O189" s="77"/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236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233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283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284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233</v>
      </c>
      <c r="O216" s="77">
        <v>648410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236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285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286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232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233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205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287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281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257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233</v>
      </c>
      <c r="O243" s="77">
        <v>849060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236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288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233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233</v>
      </c>
      <c r="O270" s="77">
        <v>625070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236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289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290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233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291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233</v>
      </c>
      <c r="O297" s="77">
        <v>761660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236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292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292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233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293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294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233</v>
      </c>
      <c r="O324" s="77">
        <v>524410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236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257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257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257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257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257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257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257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257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232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233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296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297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233</v>
      </c>
      <c r="O351" s="77">
        <v>598420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236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232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233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0.10635439814359415</v>
      </c>
      <c r="N377" s="46"/>
      <c r="O377" s="47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0.26399328703248304</v>
      </c>
      <c r="N378" s="36" t="s">
        <v>233</v>
      </c>
      <c r="O378" s="77">
        <v>511980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0.3737155092547052</v>
      </c>
      <c r="N379" s="40" t="s">
        <v>236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211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281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298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233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257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299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248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233</v>
      </c>
      <c r="O405" s="77">
        <v>552440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236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257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233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300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8.4826620368403383E-2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234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0.25565995370173678</v>
      </c>
      <c r="N432" s="36" t="s">
        <v>233</v>
      </c>
      <c r="O432" s="77">
        <v>484540</v>
      </c>
    </row>
    <row r="433" spans="1:15" ht="18" customHeight="1">
      <c r="A433" s="93" t="s">
        <v>235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0.40079884259062565</v>
      </c>
      <c r="N433" s="40" t="s">
        <v>236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301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302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233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303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233</v>
      </c>
      <c r="O459" s="77">
        <v>631190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236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304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305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306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233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307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233</v>
      </c>
      <c r="O486" s="77">
        <v>969510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236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308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233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234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233</v>
      </c>
      <c r="O513" s="77">
        <v>556040</v>
      </c>
    </row>
    <row r="514" spans="1:15" ht="18" customHeight="1">
      <c r="A514" s="93" t="s">
        <v>235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236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309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233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233</v>
      </c>
      <c r="O540" s="77">
        <v>548610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236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310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233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311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233</v>
      </c>
      <c r="O567" s="77">
        <v>722660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236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37</v>
      </c>
      <c r="G570" s="34">
        <f t="shared" si="126"/>
        <v>155.4</v>
      </c>
      <c r="H570" s="26" t="s">
        <v>19</v>
      </c>
      <c r="I570" s="26" t="s">
        <v>156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312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233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11</v>
      </c>
      <c r="G583" s="34">
        <f t="shared" si="129"/>
        <v>55</v>
      </c>
      <c r="H583" s="33" t="s">
        <v>19</v>
      </c>
      <c r="I583" s="33" t="s">
        <v>156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233</v>
      </c>
      <c r="O594" s="77">
        <v>644900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236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313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233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314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233</v>
      </c>
      <c r="O621" s="77">
        <v>348050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236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257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131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257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257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257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257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257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257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233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156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10</v>
      </c>
      <c r="G638" s="28">
        <f t="shared" si="141"/>
        <v>42</v>
      </c>
      <c r="H638" s="26" t="s">
        <v>20</v>
      </c>
      <c r="I638" s="26" t="s">
        <v>120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233</v>
      </c>
      <c r="O648" s="77">
        <v>757160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236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257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315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257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257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127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316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257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317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318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257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257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257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257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257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257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257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233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257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156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257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257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121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257</v>
      </c>
      <c r="F666" s="27">
        <v>25</v>
      </c>
      <c r="G666" s="28">
        <f t="shared" si="147"/>
        <v>105</v>
      </c>
      <c r="H666" s="26" t="s">
        <v>20</v>
      </c>
      <c r="I666" s="26" t="s">
        <v>120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257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257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257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257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257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257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257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257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233</v>
      </c>
      <c r="O675" s="77">
        <v>681950</v>
      </c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236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257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135</v>
      </c>
      <c r="J677" s="33" t="s">
        <v>206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257</v>
      </c>
      <c r="F678" s="27">
        <v>2</v>
      </c>
      <c r="G678" s="28">
        <f t="shared" si="150"/>
        <v>8.4</v>
      </c>
      <c r="H678" s="26" t="s">
        <v>19</v>
      </c>
      <c r="I678" s="26" t="s">
        <v>156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319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257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135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12" t="s">
        <v>257</v>
      </c>
      <c r="F680" s="113"/>
      <c r="G680" s="114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257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156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257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320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257</v>
      </c>
      <c r="F683" s="27">
        <v>11</v>
      </c>
      <c r="G683" s="34">
        <f t="shared" si="150"/>
        <v>46.2</v>
      </c>
      <c r="H683" s="33" t="s">
        <v>20</v>
      </c>
      <c r="I683" s="33" t="s">
        <v>156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257</v>
      </c>
      <c r="F684" s="27">
        <v>10</v>
      </c>
      <c r="G684" s="28">
        <f t="shared" si="150"/>
        <v>42</v>
      </c>
      <c r="H684" s="26" t="s">
        <v>19</v>
      </c>
      <c r="I684" s="26" t="s">
        <v>156</v>
      </c>
      <c r="J684" s="26" t="s">
        <v>27</v>
      </c>
      <c r="K684" s="29">
        <v>0.73958333333333337</v>
      </c>
      <c r="L684" s="29"/>
      <c r="M684" s="30">
        <f t="shared" ca="1" si="151"/>
        <v>0.60635439814359415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257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257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257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257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5" t="s">
        <v>232</v>
      </c>
      <c r="B689" s="116"/>
      <c r="C689" s="116"/>
      <c r="D689" s="116"/>
      <c r="E689" s="117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10.725104398143595</v>
      </c>
      <c r="N689" s="36" t="s">
        <v>233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257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230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230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153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257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321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257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257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322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257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257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257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257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257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257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233</v>
      </c>
      <c r="O702" s="77">
        <v>813880</v>
      </c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10.809826620365817</v>
      </c>
      <c r="N703" s="40" t="s">
        <v>236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257</v>
      </c>
      <c r="F704" s="27">
        <v>11</v>
      </c>
      <c r="G704" s="28">
        <f t="shared" ref="G704:G715" si="156">IF(F704="","",IF(E704="PC 17",F704*4.2,IF(E704="PC 19",F704*5,"")))</f>
        <v>46.2</v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257</v>
      </c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257</v>
      </c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257</v>
      </c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257</v>
      </c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257</v>
      </c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257</v>
      </c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257</v>
      </c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257</v>
      </c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257</v>
      </c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257</v>
      </c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257</v>
      </c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11</v>
      </c>
      <c r="G716" s="36">
        <f>SUM(G704:G715)</f>
        <v>46.2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77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11</v>
      </c>
      <c r="G730" s="40">
        <f>G716+G729</f>
        <v>46.2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0" t="s">
        <v>235</v>
      </c>
      <c r="B811" s="101"/>
      <c r="C811" s="101"/>
      <c r="D811" s="101"/>
      <c r="E811" s="10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82">
        <f>IFERROR(O797+O810,"")</f>
        <v>0</v>
      </c>
    </row>
  </sheetData>
  <mergeCells count="85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682" zoomScale="50" zoomScaleNormal="50" workbookViewId="0">
      <selection activeCell="F705" sqref="F705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8.1406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317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323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233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233</v>
      </c>
      <c r="O27" s="39">
        <v>308500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236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324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233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39">
        <v>124290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236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325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233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303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233</v>
      </c>
      <c r="O81" s="39">
        <v>396340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236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326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233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233</v>
      </c>
      <c r="O108" s="39">
        <v>41230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236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233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278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233</v>
      </c>
      <c r="O135" s="39">
        <v>381250</v>
      </c>
    </row>
    <row r="136" spans="1:15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236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327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280</v>
      </c>
      <c r="K141" s="29">
        <v>0.71597222222222223</v>
      </c>
      <c r="L141" s="29" t="s">
        <v>328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233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329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233</v>
      </c>
      <c r="O162" s="39">
        <v>337120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236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330</v>
      </c>
      <c r="N166" s="27" t="s">
        <v>331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233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233</v>
      </c>
      <c r="O189" s="39">
        <v>747210</v>
      </c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236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332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233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233</v>
      </c>
      <c r="O216" s="39">
        <v>468430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236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257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257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257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257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257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232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233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233</v>
      </c>
      <c r="O243" s="39">
        <v>575930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236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207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257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257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257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233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333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334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233</v>
      </c>
      <c r="O270" s="39">
        <v>483510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236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233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335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257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336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233</v>
      </c>
      <c r="O297" s="39">
        <v>487980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236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337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233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338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339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233</v>
      </c>
      <c r="O324" s="39">
        <v>609460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236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257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340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257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303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257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327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257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257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257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257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257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232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233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233</v>
      </c>
      <c r="O351" s="39">
        <v>437940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236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257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257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232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233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233</v>
      </c>
      <c r="O378" s="39">
        <v>473310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236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257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257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257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257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257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257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257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257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257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233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233</v>
      </c>
      <c r="O405" s="39">
        <v>507450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236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257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257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257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257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257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257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257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230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230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257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257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233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300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234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233</v>
      </c>
      <c r="O432" s="39">
        <v>229150</v>
      </c>
    </row>
    <row r="433" spans="1:15" ht="18" customHeight="1">
      <c r="A433" s="100" t="s">
        <v>235</v>
      </c>
      <c r="B433" s="101"/>
      <c r="C433" s="101"/>
      <c r="D433" s="101"/>
      <c r="E433" s="102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236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341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233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233</v>
      </c>
      <c r="O459" s="39">
        <v>409980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236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230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230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230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230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233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233</v>
      </c>
      <c r="O486" s="39">
        <v>341550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236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342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230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233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234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233</v>
      </c>
      <c r="O513" s="39">
        <v>276610</v>
      </c>
    </row>
    <row r="514" spans="1:15" ht="18" customHeight="1">
      <c r="A514" s="100" t="s">
        <v>235</v>
      </c>
      <c r="B514" s="101"/>
      <c r="C514" s="101"/>
      <c r="D514" s="101"/>
      <c r="E514" s="102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236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233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343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344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345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233</v>
      </c>
      <c r="O540" s="39">
        <v>194990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236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346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233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180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347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233</v>
      </c>
      <c r="O567" s="39">
        <v>315860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236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348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233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233</v>
      </c>
      <c r="O594" s="39">
        <v>424930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236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349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0</v>
      </c>
      <c r="G599" s="34">
        <f t="shared" si="132"/>
        <v>0</v>
      </c>
      <c r="H599" s="33" t="s">
        <v>20</v>
      </c>
      <c r="I599" s="33" t="s">
        <v>154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319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233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233</v>
      </c>
      <c r="O621" s="39">
        <v>377360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236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233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120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233</v>
      </c>
      <c r="O648" s="39">
        <v>319500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236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257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127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350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257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257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319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257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257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257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257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257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257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257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257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233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257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120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257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351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257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257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257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257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257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257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257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257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257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257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233</v>
      </c>
      <c r="O675" s="39">
        <v>323580</v>
      </c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236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257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257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257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257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257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257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257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257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257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257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257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257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232</v>
      </c>
      <c r="B689" s="104"/>
      <c r="C689" s="104"/>
      <c r="D689" s="104"/>
      <c r="E689" s="105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233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257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230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230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257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257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257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257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257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257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257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257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257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233</v>
      </c>
      <c r="O702" s="39">
        <v>349730</v>
      </c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236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257</v>
      </c>
      <c r="F704" s="27">
        <v>8</v>
      </c>
      <c r="G704" s="28">
        <f t="shared" ref="G704:G715" si="156">IF(F704="","",IF(E704="PC 17",F704*4.2,IF(E704="PC 19",F704*5,"")))</f>
        <v>33.6</v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257</v>
      </c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257</v>
      </c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257</v>
      </c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257</v>
      </c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257</v>
      </c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257</v>
      </c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257</v>
      </c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257</v>
      </c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257</v>
      </c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257</v>
      </c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257</v>
      </c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8</v>
      </c>
      <c r="G716" s="36">
        <f>SUM(G704:G715)</f>
        <v>33.6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8</v>
      </c>
      <c r="G730" s="40">
        <f>G716+G729</f>
        <v>33.6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0" t="s">
        <v>235</v>
      </c>
      <c r="B811" s="101"/>
      <c r="C811" s="101"/>
      <c r="D811" s="101"/>
      <c r="E811" s="10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696" activePane="bottomLeft" state="frozen"/>
      <selection pane="bottomLeft" activeCell="F705" sqref="F705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352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303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233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353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233</v>
      </c>
      <c r="O27" s="39">
        <v>202230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236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354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355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233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233</v>
      </c>
      <c r="O54" s="39">
        <v>473910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236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356</v>
      </c>
      <c r="L58" s="29">
        <v>0.54097222222222219</v>
      </c>
      <c r="M58" s="30" t="str">
        <f t="shared" ca="1" si="13"/>
        <v/>
      </c>
      <c r="N58" s="27" t="s">
        <v>357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233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317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358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359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360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361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233</v>
      </c>
      <c r="O81" s="39">
        <v>565120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236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362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233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233</v>
      </c>
      <c r="O108" s="39">
        <v>558590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236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363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233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364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365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9.6632175926060881E-2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278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0.29593773148161651</v>
      </c>
      <c r="N135" s="36" t="s">
        <v>233</v>
      </c>
      <c r="O135" s="39">
        <v>729290</v>
      </c>
    </row>
    <row r="136" spans="1:18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0.66329884259272753</v>
      </c>
      <c r="N136" s="40" t="s">
        <v>236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366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280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233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327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367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233</v>
      </c>
      <c r="O162" s="39">
        <v>697320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236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257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368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233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233</v>
      </c>
      <c r="O189" s="39">
        <v>973580</v>
      </c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236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369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370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233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371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233</v>
      </c>
      <c r="O216" s="45">
        <v>1060630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236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372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373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374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232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233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375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233</v>
      </c>
      <c r="O243" s="39">
        <v>982340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236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376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206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233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233</v>
      </c>
      <c r="O270" s="39">
        <v>1208450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236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233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233</v>
      </c>
      <c r="O297" s="39">
        <v>1049090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236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377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208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209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233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275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233</v>
      </c>
      <c r="O324" s="39">
        <v>1063720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236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257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303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257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257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257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257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257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257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257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257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257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232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233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378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379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233</v>
      </c>
      <c r="O351" s="39">
        <v>696140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236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327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232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233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257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257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257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380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233</v>
      </c>
      <c r="O378" s="39">
        <v>704750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236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381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368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233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382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383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233</v>
      </c>
      <c r="O405" s="39">
        <v>958130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236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233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384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234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233</v>
      </c>
      <c r="O432" s="39">
        <v>605220</v>
      </c>
    </row>
    <row r="433" spans="1:17" ht="18" customHeight="1">
      <c r="A433" s="100" t="s">
        <v>235</v>
      </c>
      <c r="B433" s="101"/>
      <c r="C433" s="101"/>
      <c r="D433" s="101"/>
      <c r="E433" s="102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236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213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233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314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216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233</v>
      </c>
      <c r="O459" s="39">
        <v>615330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236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385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386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361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233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233</v>
      </c>
      <c r="O486" s="39">
        <v>1120830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236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361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230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230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230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257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257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257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257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257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233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387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234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233</v>
      </c>
      <c r="O513" s="39">
        <v>416720</v>
      </c>
    </row>
    <row r="514" spans="1:15" ht="18" customHeight="1">
      <c r="A514" s="100" t="s">
        <v>235</v>
      </c>
      <c r="B514" s="101"/>
      <c r="C514" s="101"/>
      <c r="D514" s="101"/>
      <c r="E514" s="102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236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217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388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389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233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233</v>
      </c>
      <c r="O540" s="39">
        <v>404370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236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390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391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392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233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257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180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393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257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257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257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257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257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233</v>
      </c>
      <c r="O567" s="39">
        <v>499820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236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394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233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257</v>
      </c>
      <c r="F583" s="27">
        <v>5</v>
      </c>
      <c r="G583" s="34">
        <f t="shared" si="129"/>
        <v>21</v>
      </c>
      <c r="H583" s="33" t="s">
        <v>19</v>
      </c>
      <c r="I583" s="33" t="s">
        <v>159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257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257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257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257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257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257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257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233</v>
      </c>
      <c r="O594" s="39">
        <v>572580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236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218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16</v>
      </c>
      <c r="G598" s="28">
        <f t="shared" si="132"/>
        <v>67.2</v>
      </c>
      <c r="H598" s="26" t="s">
        <v>20</v>
      </c>
      <c r="I598" s="26" t="s">
        <v>126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20</v>
      </c>
      <c r="G599" s="34">
        <f t="shared" si="132"/>
        <v>84</v>
      </c>
      <c r="H599" s="33" t="s">
        <v>20</v>
      </c>
      <c r="I599" s="33" t="s">
        <v>154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159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395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233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257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257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233</v>
      </c>
      <c r="O621" s="39">
        <v>414860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236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208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218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10</v>
      </c>
      <c r="G627" s="34">
        <f t="shared" si="138"/>
        <v>42</v>
      </c>
      <c r="H627" s="33" t="s">
        <v>20</v>
      </c>
      <c r="I627" s="33" t="s">
        <v>152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396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218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233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397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233</v>
      </c>
      <c r="O648" s="39">
        <v>284850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236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218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398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218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159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399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257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257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257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257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257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257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257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233</v>
      </c>
      <c r="O675" s="39">
        <v>486620</v>
      </c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236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257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257</v>
      </c>
      <c r="F678" s="27">
        <v>20</v>
      </c>
      <c r="G678" s="28">
        <f t="shared" si="150"/>
        <v>84</v>
      </c>
      <c r="H678" s="26" t="s">
        <v>18</v>
      </c>
      <c r="I678" s="26" t="s">
        <v>159</v>
      </c>
      <c r="J678" s="26" t="s">
        <v>121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257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257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257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159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257</v>
      </c>
      <c r="F682" s="27">
        <v>17</v>
      </c>
      <c r="G682" s="28"/>
      <c r="H682" s="26" t="s">
        <v>18</v>
      </c>
      <c r="I682" s="26" t="s">
        <v>52</v>
      </c>
      <c r="J682" s="26" t="s">
        <v>121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257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257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257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257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257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257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232</v>
      </c>
      <c r="B689" s="104"/>
      <c r="C689" s="104"/>
      <c r="D689" s="104"/>
      <c r="E689" s="105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233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257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230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400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230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401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257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257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257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257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257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257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257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257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257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233</v>
      </c>
      <c r="O702" s="39">
        <v>988790</v>
      </c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236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257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159</v>
      </c>
      <c r="J704" s="26"/>
      <c r="K704" s="29">
        <v>0.29166666666666669</v>
      </c>
      <c r="L704" s="29"/>
      <c r="M704" s="30">
        <f t="shared" ref="M704:M715" ca="1" si="157">IFERROR(IF(K704="","",IF(L704="",MOD(NOW()-K704,1),IF(L704&gt;=K704,L704-K704,L704+1-K704))),"")</f>
        <v>5.4271064815111458E-2</v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257</v>
      </c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257</v>
      </c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257</v>
      </c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257</v>
      </c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257</v>
      </c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257</v>
      </c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257</v>
      </c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257</v>
      </c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257</v>
      </c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257</v>
      </c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257</v>
      </c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2</v>
      </c>
      <c r="G716" s="36">
        <f>SUM(G704:G715)</f>
        <v>8.4</v>
      </c>
      <c r="H716" s="37"/>
      <c r="I716" s="37"/>
      <c r="J716" s="37"/>
      <c r="K716" s="61"/>
      <c r="L716" s="61"/>
      <c r="M716" s="38">
        <f ca="1">IFERROR(SUM(M704:M715),"")</f>
        <v>5.4271064815111458E-2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2</v>
      </c>
      <c r="G730" s="40">
        <f>G716+G729</f>
        <v>8.4</v>
      </c>
      <c r="H730" s="41"/>
      <c r="I730" s="41"/>
      <c r="J730" s="41"/>
      <c r="K730" s="63"/>
      <c r="L730" s="63"/>
      <c r="M730" s="42">
        <f ca="1">IFERROR(M716+M729,"")</f>
        <v>5.4271064815111458E-2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0" t="s">
        <v>235</v>
      </c>
      <c r="B811" s="101"/>
      <c r="C811" s="101"/>
      <c r="D811" s="101"/>
      <c r="E811" s="10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2026-07-27T12:20:00Z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