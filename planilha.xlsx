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77" documentId="8_{AF585B22-221D-4780-BB9C-493D365A6A02}" xr6:coauthVersionLast="47" xr6:coauthVersionMax="47" xr10:uidLastSave="{18C91526-5F36-44AF-B923-C2CB92F0816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<sst xmlns="http://schemas.openxmlformats.org/spreadsheetml/2006/main" count="7824" uniqueCount="352">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</sst>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J489" sqref="J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/>
      <c r="M489" s="35">
        <f t="shared" ca="1" si="109"/>
        <v>2.0369212943478487E-3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8.981365738792324E-3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8.981365738792324E-3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I475" sqref="I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0.20898136573669035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0.36662025462557923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0.4763424768478014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0.18745358796149958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0.35828692129483297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0.5034258101837219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32</v>
      </c>
      <c r="G500" s="36">
        <f>SUM(G488:G499)</f>
        <v>160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32</v>
      </c>
      <c r="G514" s="40">
        <f>G500+G513</f>
        <v>160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1" sqref="F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</v>
      </c>
      <c r="G500" s="36">
        <f>SUM(G488:G499)</f>
        <v>75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</v>
      </c>
      <c r="G514" s="40">
        <f>G500+G513</f>
        <v>75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I489" sqref="I4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0.19925937500374857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0.3985649305593042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0.76592604167041523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/>
      <c r="K489" s="29">
        <v>0.44236111111111109</v>
      </c>
      <c r="L489" s="29"/>
      <c r="M489" s="35">
        <f ca="1">IFERROR(IF(K489="","",IF(L489="",MOD(NOW()-K489,1),IF(L489&gt;=K489,L489-K489,L489+1-K489))),"")</f>
        <v>6.203819444635883E-3</v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42</v>
      </c>
      <c r="G500" s="36">
        <f>SUM(G488:G499)</f>
        <v>210</v>
      </c>
      <c r="H500" s="37"/>
      <c r="I500" s="37"/>
      <c r="J500" s="37"/>
      <c r="K500" s="61"/>
      <c r="L500" s="61"/>
      <c r="M500" s="38">
        <f ca="1">IFERROR(SUM(M488:M499),"")</f>
        <v>8.2871527779692089E-3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42</v>
      </c>
      <c r="G514" s="40">
        <f>G500+G513</f>
        <v>210</v>
      </c>
      <c r="H514" s="41"/>
      <c r="I514" s="41"/>
      <c r="J514" s="41"/>
      <c r="K514" s="63"/>
      <c r="L514" s="63"/>
      <c r="M514" s="42">
        <f ca="1">IFERROR(M500+M513,"")</f>
        <v>8.2871527779692089E-3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2026-07-19T14:48:16Z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