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846" documentId="8_{AF585B22-221D-4780-BB9C-493D365A6A02}" xr6:coauthVersionLast="47" xr6:coauthVersionMax="47" xr10:uidLastSave="{83489569-4341-4753-B88C-E0F2E9A3BB85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<sst xmlns="http://schemas.openxmlformats.org/spreadsheetml/2006/main" count="6109" uniqueCount="315">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</sst>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F370" sqref="F37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61</v>
      </c>
      <c r="G378" s="36">
        <f>SUM(G366:G377)</f>
        <v>305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336</v>
      </c>
      <c r="G379" s="40">
        <f>G365+G378</f>
        <v>1680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F369" sqref="F3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42</v>
      </c>
      <c r="G378" s="36">
        <f>SUM(G366:G377)</f>
        <v>176.40000000000003</v>
      </c>
      <c r="H378" s="37"/>
      <c r="I378" s="37"/>
      <c r="J378" s="37"/>
      <c r="K378" s="37"/>
      <c r="L378" s="37"/>
      <c r="M378" s="38">
        <f ca="1">IFERROR(SUM(M366:M377),"")</f>
        <v>5.9722222222222232E-2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200</v>
      </c>
      <c r="G379" s="40">
        <f>G365+G378</f>
        <v>840</v>
      </c>
      <c r="H379" s="41"/>
      <c r="I379" s="41"/>
      <c r="J379" s="41"/>
      <c r="K379" s="41"/>
      <c r="L379" s="41"/>
      <c r="M379" s="42">
        <f ca="1">IFERROR(M365+M378,"")</f>
        <v>0.1694444444444444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69" sqref="F3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39</v>
      </c>
      <c r="G378" s="36">
        <f>SUM(G366:G377)</f>
        <v>163.80000000000001</v>
      </c>
      <c r="H378" s="37"/>
      <c r="I378" s="37"/>
      <c r="J378" s="37"/>
      <c r="K378" s="37"/>
      <c r="L378" s="37"/>
      <c r="M378" s="38">
        <f ca="1">IFERROR(SUM(M366:M377),"")</f>
        <v>1.2499999999999956E-2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48</v>
      </c>
      <c r="G379" s="40">
        <f>G365+G378</f>
        <v>201.60000000000002</v>
      </c>
      <c r="H379" s="41"/>
      <c r="I379" s="41"/>
      <c r="J379" s="41"/>
      <c r="K379" s="41"/>
      <c r="L379" s="41"/>
      <c r="M379" s="42">
        <f ca="1">IFERROR(M365+M378,"")</f>
        <v>0.44374999999999992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46" activePane="bottomLeft" state="frozen"/>
      <selection pane="bottomLeft" activeCell="F370" sqref="F37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0.71184837962937308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0.91115393518492871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1.2785150462960397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72</v>
      </c>
      <c r="G378" s="36">
        <f>SUM(G366:G377)</f>
        <v>302.39999999999998</v>
      </c>
      <c r="H378" s="37"/>
      <c r="I378" s="37"/>
      <c r="J378" s="37"/>
      <c r="K378" s="61"/>
      <c r="L378" s="61"/>
      <c r="M378" s="38">
        <f ca="1">IFERROR(SUM(M366:M377),"")</f>
        <v>2.430555555555558E-2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197</v>
      </c>
      <c r="G379" s="40">
        <f>G365+G378</f>
        <v>827.4</v>
      </c>
      <c r="H379" s="41"/>
      <c r="I379" s="41"/>
      <c r="J379" s="41"/>
      <c r="K379" s="63"/>
      <c r="L379" s="63"/>
      <c r="M379" s="42">
        <f ca="1">IFERROR(M365+M378,"")</f>
        <v>0.12916666666666676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2026-07-15T03:04:19Z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