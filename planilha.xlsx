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76" documentId="8_{AF585B22-221D-4780-BB9C-493D365A6A02}" xr6:coauthVersionLast="47" xr6:coauthVersionMax="47" xr10:uidLastSave="{BD44E9BC-A890-44B1-AE43-A418B2A8885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<sst xmlns="http://schemas.openxmlformats.org/spreadsheetml/2006/main" count="10767" uniqueCount="404">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</sst>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3" sqref="F71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247</v>
      </c>
      <c r="G716" s="36">
        <f>SUM(G704:G715)</f>
        <v>1235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247</v>
      </c>
      <c r="G730" s="40">
        <f>G716+G729</f>
        <v>1235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0" activePane="bottomLeft" state="frozen"/>
      <selection pane="bottomLeft" activeCell="J710" sqref="J7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0.44473379629198462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0.6023726851808735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0.71209490740309567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0.42320601851679385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0.59403935185012724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0.73917824073901617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0.16695601851824904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99</v>
      </c>
      <c r="G716" s="36">
        <f>SUM(G704:G715)</f>
        <v>415.8</v>
      </c>
      <c r="H716" s="37"/>
      <c r="I716" s="37"/>
      <c r="J716" s="37"/>
      <c r="K716" s="37"/>
      <c r="L716" s="37"/>
      <c r="M716" s="38">
        <f ca="1">IFERROR(SUM(M704:M715),"")</f>
        <v>0.2280671296293601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99</v>
      </c>
      <c r="G730" s="40">
        <f>G716+G729</f>
        <v>415.8</v>
      </c>
      <c r="H730" s="41"/>
      <c r="I730" s="41"/>
      <c r="J730" s="41"/>
      <c r="K730" s="41"/>
      <c r="L730" s="41"/>
      <c r="M730" s="42">
        <f ca="1">IFERROR(M716+M729,"")</f>
        <v>0.2280671296293601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13" sqref="F7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71</v>
      </c>
      <c r="G716" s="36">
        <f>SUM(G704:G715)</f>
        <v>298.2</v>
      </c>
      <c r="H716" s="37"/>
      <c r="I716" s="37"/>
      <c r="J716" s="37"/>
      <c r="K716" s="37"/>
      <c r="L716" s="37"/>
      <c r="M716" s="38">
        <f ca="1">IFERROR(SUM(M704:M715),"")</f>
        <v>6.8749999999999922E-2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71</v>
      </c>
      <c r="G730" s="40">
        <f>G716+G729</f>
        <v>298.2</v>
      </c>
      <c r="H730" s="41"/>
      <c r="I730" s="41"/>
      <c r="J730" s="41"/>
      <c r="K730" s="41"/>
      <c r="L730" s="41"/>
      <c r="M730" s="42">
        <f ca="1">IFERROR(M716+M729,"")</f>
        <v>6.8749999999999922E-2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J709" sqref="J7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0.43501157407445135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0.63431712963000697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1.001678240741118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20</v>
      </c>
      <c r="I708" s="26" t="s">
        <v>47</v>
      </c>
      <c r="J708" s="26" t="s">
        <v>36</v>
      </c>
      <c r="K708" s="29">
        <v>0.61250000000000004</v>
      </c>
      <c r="L708" s="29"/>
      <c r="M708" s="30">
        <f t="shared" ca="1" si="157"/>
        <v>7.1817129624832887E-2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/>
      <c r="I709" s="33" t="s">
        <v>52</v>
      </c>
      <c r="J709" s="33" t="s">
        <v>128</v>
      </c>
      <c r="K709" s="29">
        <v>0.62916666666666665</v>
      </c>
      <c r="L709" s="29">
        <v>0.65347222222222223</v>
      </c>
      <c r="M709" s="35">
        <f t="shared" ca="1" si="157"/>
        <v>2.430555555555558E-2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106</v>
      </c>
      <c r="G716" s="36">
        <f>SUM(G704:G715)</f>
        <v>445.20000000000005</v>
      </c>
      <c r="H716" s="37"/>
      <c r="I716" s="37"/>
      <c r="J716" s="37"/>
      <c r="K716" s="61"/>
      <c r="L716" s="61"/>
      <c r="M716" s="38">
        <f ca="1">IFERROR(SUM(M704:M715),"")</f>
        <v>0.22112268518038841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106</v>
      </c>
      <c r="G730" s="40">
        <f>G716+G729</f>
        <v>445.20000000000005</v>
      </c>
      <c r="H730" s="41"/>
      <c r="I730" s="41"/>
      <c r="J730" s="41"/>
      <c r="K730" s="63"/>
      <c r="L730" s="63"/>
      <c r="M730" s="42">
        <f ca="1">IFERROR(M716+M729,"")</f>
        <v>0.22112268518038841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2026-07-27T20:26:21Z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