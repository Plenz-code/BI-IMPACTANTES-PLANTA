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58" documentId="13_ncr:1_{A6DBCFB4-28D9-4249-9038-216934055CA6}" xr6:coauthVersionLast="47" xr6:coauthVersionMax="47" xr10:uidLastSave="{B9CD7C1A-AD8B-4487-8890-1717E5595DFC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<sst xmlns="http://schemas.openxmlformats.org/spreadsheetml/2006/main" count="8992" uniqueCount="401">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</sst>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19" activePane="bottomLeft" state="frozen"/>
      <selection pane="bottomLeft" activeCell="H530" sqref="H53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29</v>
      </c>
      <c r="I530" s="61" t="s">
        <v>32</v>
      </c>
      <c r="J530" s="61"/>
      <c r="K530" s="65">
        <v>0.98958333333333337</v>
      </c>
      <c r="L530" s="65"/>
      <c r="M530" s="66">
        <f t="shared" ca="1" si="115"/>
        <v>9.3206018209457397E-4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60</v>
      </c>
      <c r="G540" s="2">
        <f>SUM(G528:G539)</f>
        <v>300</v>
      </c>
      <c r="H540" s="72"/>
      <c r="I540" s="72"/>
      <c r="J540" s="72"/>
      <c r="K540" s="72"/>
      <c r="L540" s="72"/>
      <c r="M540" s="73">
        <f ca="1">IFERROR(SUM(M528:M539),"")</f>
        <v>7.8765046265389937E-3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248</v>
      </c>
      <c r="G541" s="1">
        <f>G527+G540</f>
        <v>1181.5999999999999</v>
      </c>
      <c r="H541" s="76"/>
      <c r="I541" s="76"/>
      <c r="J541" s="76"/>
      <c r="K541" s="76"/>
      <c r="L541" s="76"/>
      <c r="M541" s="77">
        <f ca="1">IFERROR(M527+M540,"")</f>
        <v>5.3015393515427944E-2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G532" sqref="G53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0.86898761573684169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1.0078765046257294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1.0925987268479522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259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30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>
        <v>6</v>
      </c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44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201.60000000000002</v>
      </c>
      <c r="L540" s="72"/>
      <c r="M540" s="72"/>
      <c r="N540" s="72"/>
      <c r="O540" s="72"/>
      <c r="P540" s="72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223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1027</v>
      </c>
      <c r="L541" s="76"/>
      <c r="M541" s="76"/>
      <c r="N541" s="76"/>
      <c r="O541" s="76"/>
      <c r="P541" s="76"/>
      <c r="Q541" s="77">
        <f ca="1">IFERROR(Q527+Q540,"")</f>
        <v>9.7222222222222265E-2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E534" sqref="E53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37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159.4</v>
      </c>
      <c r="L540" s="72"/>
      <c r="M540" s="72"/>
      <c r="N540" s="72"/>
      <c r="O540" s="72"/>
      <c r="P540" s="72"/>
      <c r="Q540" s="73">
        <f ca="1">IFERROR(SUM(Q528:Q539),"")</f>
        <v>2.9166666666666674E-2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114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508.4</v>
      </c>
      <c r="L541" s="76"/>
      <c r="M541" s="76"/>
      <c r="N541" s="76"/>
      <c r="O541" s="76"/>
      <c r="P541" s="76"/>
      <c r="Q541" s="77">
        <f ca="1">IFERROR(Q527+Q540,"")</f>
        <v>9.7916666666666596E-2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E533" sqref="E53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 t="s">
        <v>274</v>
      </c>
      <c r="F531" s="88">
        <f>IFERROR(IF($D531="","",VLOOKUP($D531,Cadastro!$C$4:$E$7,3,FALSE())),"")</f>
        <v>0.35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 t="s">
        <v>274</v>
      </c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 t="s">
        <v>274</v>
      </c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56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250.4</v>
      </c>
      <c r="L540" s="72"/>
      <c r="M540" s="72"/>
      <c r="N540" s="72"/>
      <c r="O540" s="134"/>
      <c r="P540" s="134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253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1151.4000000000001</v>
      </c>
      <c r="L541" s="76"/>
      <c r="M541" s="76"/>
      <c r="N541" s="76"/>
      <c r="O541" s="135"/>
      <c r="P541" s="135"/>
      <c r="Q541" s="77">
        <f ca="1">IFERROR(Q527+Q540,"")</f>
        <v>8.2638888888889095E-2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2026-08-21T03:46:27Z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