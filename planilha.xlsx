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092" documentId="8_{AF585B22-221D-4780-BB9C-493D365A6A02}" xr6:coauthVersionLast="47" xr6:coauthVersionMax="47" xr10:uidLastSave="{628AFCDB-CD55-4C6D-A5E0-F595412C3DBE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<sst xmlns="http://schemas.openxmlformats.org/spreadsheetml/2006/main" count="5502" uniqueCount="307">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</sst>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21" sqref="N21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8" activePane="bottomLeft" state="frozen"/>
      <selection pane="bottomLeft" activeCell="F327" sqref="F3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>
        <v>1940000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215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215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215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215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215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215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215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215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215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215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78</v>
      </c>
      <c r="G338" s="36">
        <f>SUM(G326:G337)</f>
        <v>390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78</v>
      </c>
      <c r="G352" s="40">
        <f>G338+G351</f>
        <v>390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1" activePane="bottomLeft" state="frozen"/>
      <selection pane="bottomLeft" activeCell="J326" sqref="J3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>
        <v>524410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15</v>
      </c>
      <c r="G327" s="34">
        <f t="shared" si="72"/>
        <v>63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35</v>
      </c>
      <c r="G338" s="36">
        <f>SUM(G326:G337)</f>
        <v>147</v>
      </c>
      <c r="H338" s="37"/>
      <c r="I338" s="37"/>
      <c r="J338" s="37"/>
      <c r="K338" s="37"/>
      <c r="L338" s="37"/>
      <c r="M338" s="38">
        <f ca="1">IFERROR(SUM(M326:M337),"")</f>
        <v>1.8055555555555547E-2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35</v>
      </c>
      <c r="G352" s="40">
        <f>G338+G351</f>
        <v>147</v>
      </c>
      <c r="H352" s="41"/>
      <c r="I352" s="41"/>
      <c r="J352" s="41"/>
      <c r="K352" s="41"/>
      <c r="L352" s="41"/>
      <c r="M352" s="42">
        <f ca="1">IFERROR(M338+M351,"")</f>
        <v>1.8055555555555547E-2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93" zoomScale="50" zoomScaleNormal="50" workbookViewId="0">
      <selection activeCell="L326" sqref="L3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>
        <v>609460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/>
      <c r="M326" s="30">
        <f t="shared" ref="M326:M337" ca="1" si="73">IFERROR(IF(K326="","",IF(L326="",MOD(NOW()-K326,1),IF(L326&gt;=K326,L326-K326,L326+1-K326))),"")</f>
        <v>4.1020486110937782E-2</v>
      </c>
      <c r="N326" s="27" t="s">
        <v>280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7</v>
      </c>
      <c r="G327" s="34">
        <f t="shared" si="72"/>
        <v>29.400000000000002</v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7</v>
      </c>
      <c r="G338" s="36">
        <f>SUM(G326:G337)</f>
        <v>29.400000000000002</v>
      </c>
      <c r="H338" s="37"/>
      <c r="I338" s="37"/>
      <c r="J338" s="37"/>
      <c r="K338" s="37"/>
      <c r="L338" s="37"/>
      <c r="M338" s="38">
        <f ca="1">IFERROR(SUM(M326:M337),"")</f>
        <v>4.1020486110937782E-2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7</v>
      </c>
      <c r="G352" s="40">
        <f>G338+G351</f>
        <v>29.400000000000002</v>
      </c>
      <c r="H352" s="41"/>
      <c r="I352" s="41"/>
      <c r="J352" s="41"/>
      <c r="K352" s="41"/>
      <c r="L352" s="41"/>
      <c r="M352" s="42">
        <f ca="1">IFERROR(M338+M351,"")</f>
        <v>4.1020486110937782E-2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27" sqref="F32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285</v>
      </c>
      <c r="L58" s="29">
        <v>0.54097222222222219</v>
      </c>
      <c r="M58" s="30" t="str">
        <f t="shared" ca="1" si="13"/>
        <v/>
      </c>
      <c r="N58" s="27" t="s">
        <v>286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0.14240937500289874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0.34171493055845437</v>
      </c>
      <c r="N135" s="36" t="s">
        <v>218</v>
      </c>
      <c r="O135" s="39">
        <v>729290</v>
      </c>
    </row>
    <row r="136" spans="1:18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0.70907604166956539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>
        <v>1063720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233</v>
      </c>
      <c r="F326" s="27">
        <v>20</v>
      </c>
      <c r="G326" s="28">
        <f>IF(F326="","",IF(E327="PC 17",F326*4.2,IF(E327="PC 19",F326*5,"")))</f>
        <v>84</v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20</v>
      </c>
      <c r="G327" s="34">
        <v>84</v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ref="G328:G337" si="74">IF(F328="","",IF(E328="PC 17",F328*4.2,IF(E328="PC 19",F328*5,"")))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217</v>
      </c>
      <c r="B338" s="95"/>
      <c r="C338" s="95"/>
      <c r="D338" s="95"/>
      <c r="E338" s="96">
        <f>SUM(E327:E337)</f>
        <v>0</v>
      </c>
      <c r="F338" s="36">
        <f>SUM(F326:F337)</f>
        <v>40</v>
      </c>
      <c r="G338" s="36">
        <f>SUM(G326:G337)</f>
        <v>168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40</v>
      </c>
      <c r="G352" s="40">
        <f>G338+G351</f>
        <v>168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2026-07-13T13:26:08Z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