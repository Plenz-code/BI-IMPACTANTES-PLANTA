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716" documentId="8_{C51EB6CB-002B-4D6B-B68F-DDEBDB4460C0}" xr6:coauthVersionLast="47" xr6:coauthVersionMax="47" xr10:uidLastSave="{0B2045E2-CAA6-4D08-9CA3-A82CBE13E0DF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F41" i="5"/>
  <c r="F55" i="5" s="1"/>
  <c r="E41" i="5"/>
  <c r="E55" i="5" s="1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G41" i="5" s="1"/>
  <c r="G55" i="5" s="1"/>
  <c r="O28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E55" i="3" s="1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81" i="4" l="1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757" i="4" l="1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<sst xmlns="http://schemas.openxmlformats.org/spreadsheetml/2006/main" count="1618" uniqueCount="253">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</sst>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1795675</v>
      </c>
      <c r="D35" s="13">
        <f>IFERROR(SUM(D4:D34),"")</f>
        <v>1031140</v>
      </c>
      <c r="E35" s="13">
        <f>IFERROR(SUM(E4:E34),"")</f>
        <v>684520</v>
      </c>
      <c r="F35" s="13">
        <f>IFERROR(SUM(F4:F34),"")</f>
        <v>1052940</v>
      </c>
      <c r="G35" s="13">
        <f>IFERROR(SUM(G4:G34),"")</f>
        <v>2768600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" activePane="bottomLeft" state="frozen"/>
      <selection pane="bottomLeft" activeCell="F37" sqref="F3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 t="shared" si="6"/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232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232</v>
      </c>
      <c r="G55" s="40">
        <f>G41+G54</f>
        <v>695</v>
      </c>
      <c r="H55" s="41"/>
      <c r="I55" s="41"/>
      <c r="J55" s="41"/>
      <c r="K55" s="41"/>
      <c r="L55" s="41"/>
      <c r="M55" s="42">
        <f ca="1">IFERROR(M41+M54,"")</f>
        <v>5.9722222222222177E-2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1" t="s">
        <v>232</v>
      </c>
      <c r="B811" s="112"/>
      <c r="C811" s="112"/>
      <c r="D811" s="112"/>
      <c r="E811" s="113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2" activePane="bottomLeft" state="frozen"/>
      <selection pane="bottomLeft" activeCell="J32" sqref="J3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31</v>
      </c>
      <c r="J30" s="26" t="s">
        <v>27</v>
      </c>
      <c r="K30" s="29">
        <v>0.6381944444444444</v>
      </c>
      <c r="L30" s="29"/>
      <c r="M30" s="30"/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27</v>
      </c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 t="s">
        <v>19</v>
      </c>
      <c r="I32" s="33" t="s">
        <v>39</v>
      </c>
      <c r="J32" s="26" t="s">
        <v>50</v>
      </c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55</v>
      </c>
      <c r="G41" s="36">
        <f>SUM(G29:G40)</f>
        <v>218.39999999999998</v>
      </c>
      <c r="H41" s="37"/>
      <c r="I41" s="37"/>
      <c r="J41" s="37"/>
      <c r="K41" s="37"/>
      <c r="L41" s="37"/>
      <c r="M41" s="38">
        <f ca="1">IFERROR(SUM(M29:M40),"")</f>
        <v>1.3888888888888895E-2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55</v>
      </c>
      <c r="G55" s="40">
        <f>G41+G54</f>
        <v>218.39999999999998</v>
      </c>
      <c r="H55" s="41"/>
      <c r="I55" s="41"/>
      <c r="J55" s="41"/>
      <c r="K55" s="41"/>
      <c r="L55" s="41"/>
      <c r="M55" s="42">
        <f ca="1">IFERROR(M41+M54,"")</f>
        <v>1.3888888888888895E-2</v>
      </c>
      <c r="N55" s="40" t="s">
        <v>233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I2:I32 I34:I900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6" zoomScale="50" zoomScaleNormal="50" workbookViewId="0">
      <selection activeCell="F36" sqref="F3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247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248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50</v>
      </c>
      <c r="G41" s="36">
        <f>SUM(G29:G40)</f>
        <v>210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50</v>
      </c>
      <c r="G55" s="40">
        <f>G41+G54</f>
        <v>210</v>
      </c>
      <c r="H55" s="41"/>
      <c r="I55" s="41"/>
      <c r="J55" s="41"/>
      <c r="K55" s="41"/>
      <c r="L55" s="41"/>
      <c r="M55" s="42">
        <f ca="1">IFERROR(M41+M54,"")</f>
        <v>2.083333333333337E-2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" activePane="bottomLeft" state="frozen"/>
      <selection pane="bottomLeft" activeCell="F36" sqref="F3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249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250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247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251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252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228</v>
      </c>
      <c r="B41" s="100"/>
      <c r="C41" s="100"/>
      <c r="D41" s="100"/>
      <c r="E41" s="101"/>
      <c r="F41" s="36">
        <f>SUM(F29:F40)</f>
        <v>91</v>
      </c>
      <c r="G41" s="36">
        <f>SUM(G29:G40)</f>
        <v>382.20000000000005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91</v>
      </c>
      <c r="G55" s="40">
        <f>G41+G54</f>
        <v>382.20000000000005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233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228</v>
      </c>
      <c r="B338" s="100"/>
      <c r="C338" s="100"/>
      <c r="D338" s="100"/>
      <c r="E338" s="101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2026-08-02T19:23:05Z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