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4877" documentId="8_{AF585B22-221D-4780-BB9C-493D365A6A02}" xr6:coauthVersionLast="47" xr6:coauthVersionMax="47" xr10:uidLastSave="{9E7BEF66-F2D0-40D5-87E0-FD1DF3E411D7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812" i="6" l="1"/>
  <c r="M812" i="6"/>
  <c r="B813" i="6"/>
  <c r="G813" i="6"/>
  <c r="M813" i="6"/>
  <c r="B814" i="6"/>
  <c r="G814" i="6"/>
  <c r="M814" i="6"/>
  <c r="B815" i="6"/>
  <c r="G815" i="6"/>
  <c r="M815" i="6"/>
  <c r="B816" i="6"/>
  <c r="G816" i="6"/>
  <c r="M816" i="6"/>
  <c r="B817" i="6"/>
  <c r="G817" i="6"/>
  <c r="M817" i="6"/>
  <c r="B818" i="6"/>
  <c r="G818" i="6"/>
  <c r="M818" i="6"/>
  <c r="B819" i="6"/>
  <c r="G819" i="6"/>
  <c r="M819" i="6"/>
  <c r="B820" i="6"/>
  <c r="G820" i="6"/>
  <c r="M820" i="6"/>
  <c r="B821" i="6"/>
  <c r="G821" i="6"/>
  <c r="M821" i="6"/>
  <c r="B822" i="6"/>
  <c r="G822" i="6"/>
  <c r="M822" i="6"/>
  <c r="B823" i="6"/>
  <c r="G823" i="6"/>
  <c r="M823" i="6"/>
  <c r="E824" i="6"/>
  <c r="F824" i="6"/>
  <c r="G824" i="6"/>
  <c r="M824" i="6"/>
  <c r="G825" i="6"/>
  <c r="M825" i="6"/>
  <c r="B826" i="6"/>
  <c r="G826" i="6"/>
  <c r="M826" i="6"/>
  <c r="B827" i="6"/>
  <c r="G827" i="6"/>
  <c r="M827" i="6"/>
  <c r="B828" i="6"/>
  <c r="G828" i="6"/>
  <c r="M828" i="6"/>
  <c r="B829" i="6"/>
  <c r="G829" i="6"/>
  <c r="M829" i="6"/>
  <c r="B830" i="6"/>
  <c r="G830" i="6"/>
  <c r="M830" i="6"/>
  <c r="B831" i="6"/>
  <c r="G831" i="6"/>
  <c r="M831" i="6"/>
  <c r="B832" i="6"/>
  <c r="G832" i="6"/>
  <c r="M832" i="6"/>
  <c r="B833" i="6"/>
  <c r="G833" i="6"/>
  <c r="M833" i="6"/>
  <c r="B834" i="6"/>
  <c r="G834" i="6"/>
  <c r="M834" i="6"/>
  <c r="B835" i="6"/>
  <c r="G835" i="6"/>
  <c r="M835" i="6"/>
  <c r="B836" i="6"/>
  <c r="G836" i="6"/>
  <c r="M836" i="6"/>
  <c r="E837" i="6"/>
  <c r="F837" i="6"/>
  <c r="G837" i="6"/>
  <c r="M837" i="6"/>
  <c r="E838" i="6"/>
  <c r="F838" i="6"/>
  <c r="G838" i="6"/>
  <c r="M838" i="6"/>
  <c r="O838" i="6"/>
  <c r="G812" i="5"/>
  <c r="M812" i="5"/>
  <c r="B813" i="5"/>
  <c r="G813" i="5"/>
  <c r="M813" i="5"/>
  <c r="B814" i="5"/>
  <c r="G814" i="5"/>
  <c r="M814" i="5"/>
  <c r="B815" i="5"/>
  <c r="G815" i="5"/>
  <c r="M815" i="5"/>
  <c r="B816" i="5"/>
  <c r="G816" i="5"/>
  <c r="M816" i="5"/>
  <c r="B817" i="5"/>
  <c r="G817" i="5"/>
  <c r="M817" i="5"/>
  <c r="B818" i="5"/>
  <c r="G818" i="5"/>
  <c r="M818" i="5"/>
  <c r="B819" i="5"/>
  <c r="G819" i="5"/>
  <c r="M819" i="5"/>
  <c r="B820" i="5"/>
  <c r="G820" i="5"/>
  <c r="M820" i="5"/>
  <c r="B821" i="5"/>
  <c r="G821" i="5"/>
  <c r="M821" i="5"/>
  <c r="B822" i="5"/>
  <c r="G822" i="5"/>
  <c r="M822" i="5"/>
  <c r="B823" i="5"/>
  <c r="G823" i="5"/>
  <c r="M823" i="5"/>
  <c r="E824" i="5"/>
  <c r="F824" i="5"/>
  <c r="G824" i="5"/>
  <c r="M824" i="5"/>
  <c r="G825" i="5"/>
  <c r="M825" i="5"/>
  <c r="B826" i="5"/>
  <c r="G826" i="5"/>
  <c r="M826" i="5"/>
  <c r="B827" i="5"/>
  <c r="G827" i="5"/>
  <c r="M827" i="5"/>
  <c r="B828" i="5"/>
  <c r="G828" i="5"/>
  <c r="M828" i="5"/>
  <c r="B829" i="5"/>
  <c r="G829" i="5"/>
  <c r="M829" i="5"/>
  <c r="B830" i="5"/>
  <c r="G830" i="5"/>
  <c r="M830" i="5"/>
  <c r="B831" i="5"/>
  <c r="G831" i="5"/>
  <c r="M831" i="5"/>
  <c r="B832" i="5"/>
  <c r="G832" i="5"/>
  <c r="M832" i="5"/>
  <c r="B833" i="5"/>
  <c r="G833" i="5"/>
  <c r="M833" i="5"/>
  <c r="B834" i="5"/>
  <c r="G834" i="5"/>
  <c r="M834" i="5"/>
  <c r="B835" i="5"/>
  <c r="G835" i="5"/>
  <c r="M835" i="5"/>
  <c r="B836" i="5"/>
  <c r="G836" i="5"/>
  <c r="M836" i="5"/>
  <c r="E837" i="5"/>
  <c r="F837" i="5"/>
  <c r="G837" i="5"/>
  <c r="M837" i="5"/>
  <c r="E838" i="5"/>
  <c r="F838" i="5"/>
  <c r="G838" i="5"/>
  <c r="M838" i="5"/>
  <c r="O838" i="5"/>
  <c r="G812" i="4"/>
  <c r="M812" i="4"/>
  <c r="B813" i="4"/>
  <c r="G813" i="4"/>
  <c r="M813" i="4"/>
  <c r="B814" i="4"/>
  <c r="G814" i="4"/>
  <c r="M814" i="4"/>
  <c r="B815" i="4"/>
  <c r="G815" i="4"/>
  <c r="M815" i="4"/>
  <c r="B816" i="4"/>
  <c r="G816" i="4"/>
  <c r="M816" i="4"/>
  <c r="B817" i="4"/>
  <c r="G817" i="4"/>
  <c r="M817" i="4"/>
  <c r="B818" i="4"/>
  <c r="G818" i="4"/>
  <c r="M818" i="4"/>
  <c r="B819" i="4"/>
  <c r="G819" i="4"/>
  <c r="M819" i="4"/>
  <c r="B820" i="4"/>
  <c r="G820" i="4"/>
  <c r="M820" i="4"/>
  <c r="B821" i="4"/>
  <c r="G821" i="4"/>
  <c r="M821" i="4"/>
  <c r="B822" i="4"/>
  <c r="G822" i="4"/>
  <c r="M822" i="4"/>
  <c r="B823" i="4"/>
  <c r="G823" i="4"/>
  <c r="M823" i="4"/>
  <c r="E824" i="4"/>
  <c r="F824" i="4"/>
  <c r="G824" i="4"/>
  <c r="M824" i="4"/>
  <c r="G825" i="4"/>
  <c r="M825" i="4"/>
  <c r="B826" i="4"/>
  <c r="G826" i="4"/>
  <c r="M826" i="4"/>
  <c r="B827" i="4"/>
  <c r="G827" i="4"/>
  <c r="M827" i="4"/>
  <c r="B828" i="4"/>
  <c r="G828" i="4"/>
  <c r="M828" i="4"/>
  <c r="B829" i="4"/>
  <c r="G829" i="4"/>
  <c r="M829" i="4"/>
  <c r="B830" i="4"/>
  <c r="G830" i="4"/>
  <c r="M830" i="4"/>
  <c r="B831" i="4"/>
  <c r="G831" i="4"/>
  <c r="M831" i="4"/>
  <c r="B832" i="4"/>
  <c r="G832" i="4"/>
  <c r="M832" i="4"/>
  <c r="B833" i="4"/>
  <c r="G833" i="4"/>
  <c r="M833" i="4"/>
  <c r="B834" i="4"/>
  <c r="G834" i="4"/>
  <c r="M834" i="4"/>
  <c r="B835" i="4"/>
  <c r="G835" i="4"/>
  <c r="M835" i="4"/>
  <c r="B836" i="4"/>
  <c r="G836" i="4"/>
  <c r="M836" i="4"/>
  <c r="E837" i="4"/>
  <c r="F837" i="4"/>
  <c r="G837" i="4"/>
  <c r="M837" i="4"/>
  <c r="E838" i="4"/>
  <c r="F838" i="4"/>
  <c r="G838" i="4"/>
  <c r="M838" i="4"/>
  <c r="O838" i="4"/>
  <c r="M812" i="3"/>
  <c r="B813" i="3"/>
  <c r="M813" i="3"/>
  <c r="B814" i="3"/>
  <c r="M814" i="3"/>
  <c r="B815" i="3"/>
  <c r="M815" i="3"/>
  <c r="B816" i="3"/>
  <c r="M816" i="3"/>
  <c r="B817" i="3"/>
  <c r="M817" i="3"/>
  <c r="B818" i="3"/>
  <c r="M818" i="3"/>
  <c r="B819" i="3"/>
  <c r="M819" i="3"/>
  <c r="B820" i="3"/>
  <c r="M820" i="3"/>
  <c r="B821" i="3"/>
  <c r="M821" i="3"/>
  <c r="B822" i="3"/>
  <c r="M822" i="3"/>
  <c r="B823" i="3"/>
  <c r="M823" i="3"/>
  <c r="E824" i="3"/>
  <c r="F824" i="3"/>
  <c r="M824" i="3"/>
  <c r="G825" i="3"/>
  <c r="M825" i="3"/>
  <c r="B826" i="3"/>
  <c r="G826" i="3"/>
  <c r="M826" i="3"/>
  <c r="B827" i="3"/>
  <c r="G827" i="3"/>
  <c r="M827" i="3"/>
  <c r="B828" i="3"/>
  <c r="G828" i="3"/>
  <c r="M828" i="3"/>
  <c r="B829" i="3"/>
  <c r="G829" i="3"/>
  <c r="M829" i="3"/>
  <c r="B830" i="3"/>
  <c r="G830" i="3"/>
  <c r="M830" i="3"/>
  <c r="B831" i="3"/>
  <c r="G831" i="3"/>
  <c r="M831" i="3"/>
  <c r="B832" i="3"/>
  <c r="G832" i="3"/>
  <c r="M832" i="3"/>
  <c r="B833" i="3"/>
  <c r="G833" i="3"/>
  <c r="M833" i="3"/>
  <c r="B834" i="3"/>
  <c r="G834" i="3"/>
  <c r="M834" i="3"/>
  <c r="B835" i="3"/>
  <c r="G835" i="3"/>
  <c r="M835" i="3"/>
  <c r="B836" i="3"/>
  <c r="G836" i="3"/>
  <c r="M836" i="3"/>
  <c r="E837" i="3"/>
  <c r="F837" i="3"/>
  <c r="G837" i="3"/>
  <c r="M837" i="3"/>
  <c r="E838" i="3"/>
  <c r="F838" i="3"/>
  <c r="G838" i="3"/>
  <c r="M838" i="3"/>
  <c r="O838" i="3"/>
  <c r="G799" i="6"/>
  <c r="G800" i="6"/>
  <c r="G801" i="6"/>
  <c r="G802" i="6"/>
  <c r="G803" i="6"/>
  <c r="G804" i="6"/>
  <c r="G805" i="6"/>
  <c r="G806" i="6"/>
  <c r="G807" i="6"/>
  <c r="G808" i="6"/>
  <c r="G809" i="6"/>
  <c r="G798" i="6"/>
  <c r="G799" i="5"/>
  <c r="G800" i="5"/>
  <c r="G801" i="5"/>
  <c r="G802" i="5"/>
  <c r="G803" i="5"/>
  <c r="G804" i="5"/>
  <c r="G805" i="5"/>
  <c r="G806" i="5"/>
  <c r="G807" i="5"/>
  <c r="G808" i="5"/>
  <c r="G809" i="5"/>
  <c r="G798" i="5"/>
  <c r="G799" i="4"/>
  <c r="G800" i="4"/>
  <c r="G801" i="4"/>
  <c r="G802" i="4"/>
  <c r="G803" i="4"/>
  <c r="G804" i="4"/>
  <c r="G805" i="4"/>
  <c r="G806" i="4"/>
  <c r="G807" i="4"/>
  <c r="G808" i="4"/>
  <c r="G809" i="4"/>
  <c r="G798" i="4"/>
  <c r="G797" i="4"/>
  <c r="G796" i="4"/>
  <c r="G798" i="3"/>
  <c r="G799" i="3"/>
  <c r="G800" i="3"/>
  <c r="G801" i="3"/>
  <c r="G802" i="3"/>
  <c r="G803" i="3"/>
  <c r="G804" i="3"/>
  <c r="G805" i="3"/>
  <c r="G806" i="3"/>
  <c r="G807" i="3"/>
  <c r="G808" i="3"/>
  <c r="G809" i="3"/>
  <c r="G786" i="6"/>
  <c r="G787" i="6"/>
  <c r="G788" i="6"/>
  <c r="G789" i="6"/>
  <c r="G790" i="6"/>
  <c r="G791" i="6"/>
  <c r="G792" i="6"/>
  <c r="G793" i="6"/>
  <c r="G794" i="6"/>
  <c r="G795" i="6"/>
  <c r="G796" i="6"/>
  <c r="G785" i="6"/>
  <c r="G786" i="4"/>
  <c r="G787" i="4"/>
  <c r="G788" i="4"/>
  <c r="G789" i="4"/>
  <c r="G790" i="4"/>
  <c r="G791" i="4"/>
  <c r="G792" i="4"/>
  <c r="G793" i="4"/>
  <c r="G794" i="4"/>
  <c r="G795" i="4"/>
  <c r="G785" i="4"/>
  <c r="G786" i="5"/>
  <c r="G787" i="5"/>
  <c r="G788" i="5"/>
  <c r="G789" i="5"/>
  <c r="G790" i="5"/>
  <c r="G791" i="5"/>
  <c r="G792" i="5"/>
  <c r="G793" i="5"/>
  <c r="G794" i="5"/>
  <c r="G795" i="5"/>
  <c r="G796" i="5"/>
  <c r="G785" i="5"/>
  <c r="G782" i="5"/>
  <c r="G773" i="3"/>
  <c r="G775" i="3"/>
  <c r="G774" i="3"/>
  <c r="G741" i="5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F797" i="3"/>
  <c r="F811" i="3" s="1"/>
  <c r="F783" i="3"/>
  <c r="G782" i="3"/>
  <c r="G781" i="3"/>
  <c r="G780" i="3"/>
  <c r="G779" i="3"/>
  <c r="G778" i="3"/>
  <c r="G777" i="3"/>
  <c r="G776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10" i="4"/>
  <c r="G811" i="4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10" i="5"/>
  <c r="G797" i="5"/>
  <c r="G811" i="5" s="1"/>
  <c r="F797" i="5"/>
  <c r="F811" i="5" s="1"/>
  <c r="F783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M808" i="6"/>
  <c r="M807" i="6"/>
  <c r="M806" i="6"/>
  <c r="M805" i="6"/>
  <c r="M804" i="6"/>
  <c r="M803" i="6"/>
  <c r="M802" i="6"/>
  <c r="M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<sst xmlns="http://schemas.openxmlformats.org/spreadsheetml/2006/main" count="12475" uniqueCount="443">
  <si>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</si>
  <si>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</si>
  <si>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</si>
  <si>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</si>
  <si>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</si>
  <si>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</si>
  <si>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</si>
  <si>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</si>
  <si>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</si>
  <si>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</si>
  <si>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</si>
  <si>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</si>
  <si>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</si>
  <si>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</si>
  <si>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</si>
  <si>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</si>
  <si>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</si>
  <si>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</si>
  <si>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</si>
  <si>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</si>
  <si>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</si>
  <si>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</si>
  <si>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</si>
  <si>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</si>
  <si>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</si>
  <si>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</si>
  <si>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</si>
  <si>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</si>
  <si>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</si>
  <si>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</si>
  <si>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</si>
  <si>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</si>
  <si>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</si>
  <si>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</si>
  <si>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</si>
  <si>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</si>
  <si>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</si>
  <si>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</si>
  <si>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</si>
  <si>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</si>
  <si>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</si>
  <si>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</si>
  <si>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</si>
  <si>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</si>
  <si>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</si>
  <si>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</si>
  <si>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</si>
  <si>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</si>
  <si>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</si>
  <si>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</si>
  <si>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</si>
  <si>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</si>
  <si>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</si>
  <si>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</si>
  <si>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</si>
  <si>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</si>
  <si>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</si>
  <si>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</si>
  <si>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</si>
  <si>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</si>
  <si>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</si>
  <si>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</si>
  <si>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</si>
  <si>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</si>
  <si>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</si>
  <si>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</si>
  <si>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</si>
  <si>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</si>
  <si>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</si>
  <si>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</si>
  <si>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</si>
  <si>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</si>
  <si>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</si>
  <si>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</si>
  <si>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</si>
  <si>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</si>
  <si>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</si>
  <si>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</si>
  <si>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</si>
  <si>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</si>
  <si>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</si>
  <si>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</si>
  <si>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</si>
  <si>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</si>
  <si>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</si>
  <si>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</si>
  <si>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</si>
  <si>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</si>
  <si>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</si>
  <si>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</si>
  <si>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</si>
  <si>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</si>
  <si>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</si>
  <si>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</si>
  <si>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</si>
  <si>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</si>
  <si>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</si>
  <si>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</si>
  <si>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</si>
  <si>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</si>
  <si>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</si>
  <si>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</si>
  <si>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</si>
  <si>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</si>
  <si>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</si>
  <si>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</si>
  <si>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</si>
  <si>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</si>
  <si>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</si>
  <si>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</si>
  <si>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</si>
  <si>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</si>
  <si>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</si>
  <si>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</si>
  <si>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</si>
  <si>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</si>
  <si>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</si>
  <si>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</si>
  <si>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</si>
  <si>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</si>
  <si>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</si>
  <si>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</si>
  <si>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</si>
  <si>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</si>
  <si>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</si>
  <si>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</si>
  <si>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</si>
  <si>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</si>
  <si>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</si>
  <si>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</si>
  <si>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</si>
  <si>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</si>
  <si>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</si>
  <si>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</si>
  <si>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</si>
  <si>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</si>
  <si>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</si>
  <si>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</si>
  <si>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</si>
  <si>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</si>
  <si>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</si>
  <si>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</si>
  <si>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</si>
  <si>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</si>
  <si>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</si>
  <si>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</si>
  <si>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</si>
  <si>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</si>
  <si>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</si>
  <si>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</si>
  <si>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</si>
  <si>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</si>
  <si>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</si>
  <si>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</si>
  <si>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</si>
  <si>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</si>
  <si>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</si>
  <si>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</si>
  <si>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</si>
  <si>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</si>
  <si>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</si>
  <si>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</si>
  <si>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</si>
  <si>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</si>
  <si>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</si>
  <si>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</si>
  <si>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</si>
  <si>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</si>
  <si>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</si>
  <si>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</si>
  <si>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</si>
  <si>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</si>
  <si>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</si>
  <si>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</si>
  <si>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</si>
  <si>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</si>
  <si>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</si>
  <si>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</si>
  <si>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</si>
  <si>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</si>
  <si>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</si>
  <si>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</si>
  <si>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</si>
  <si>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</si>
  <si>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</si>
  <si>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</si>
  <si>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</si>
  <si>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</si>
  <si>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</si>
  <si>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</si>
  <si>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</si>
  <si>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</si>
  <si>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</si>
  <si>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</si>
  <si>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</si>
  <si>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</si>
  <si>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</si>
  <si>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</si>
  <si>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</si>
  <si>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</si>
  <si>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</si>
  <si>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</si>
  <si>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</si>
  <si>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</si>
  <si>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</si>
  <si>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</si>
  <si>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</si>
  <si>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mangueira do ar comprimido estorou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</si>
  <si>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</si>
  <si>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</si>
  <si>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</si>
  <si>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</si>
  <si>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</si>
  <si>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</si>
  <si>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</si>
  <si>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</si>
  <si>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</si>
  <si>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</si>
  <si>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</si>
  <si>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</si>
  <si>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</si>
  <si>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</si>
  <si>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parada programada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</si>
  <si>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</si>
  <si>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</si>
  <si>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</si>
  <si>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</si>
  <si>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</si>
  <si>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</si>
  <si>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</si>
  <si>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</si>
  <si>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</si>
  <si>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</si>
  <si>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</si>
  <si>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</si>
  <si>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</si>
  <si>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</si>
  <si>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</si>
  <si>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</si>
  <si>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</si>
  <si>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</si>
  <si>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</si>
  <si>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</si>
  <si>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</si>
  <si>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</si>
  <si>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</si>
  <si>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</si>
  <si>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</si>
  <si>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</si>
  <si>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</si>
  <si>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</si>
  <si>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</si>
  <si>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</si>
  <si>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</si>
  <si>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</si>
  <si>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</si>
  <si>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</si>
  <si>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</si>
  <si>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</si>
  <si>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</si>
  <si>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</si>
  <si>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</si>
  <si>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</si>
  <si>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</si>
  <si>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</si>
  <si>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</si>
  <si>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</si>
  <si>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</si>
  <si>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</si>
  <si>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</si>
  <si>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</si>
  <si>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</si>
  <si>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</si>
  <si>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</si>
  <si>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</si>
  <si>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</si>
  <si>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troca dos parafuso dos mancais e lubrificação dos mancais</t>
  </si>
  <si>
    <t>foram feitas 8 viagens com caminhão</t>
  </si>
  <si>
    <t>foi feito troca de rolamento um sevico no chute do britado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</si>
  <si>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</si>
  <si>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</si>
  <si>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</si>
  <si>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</si>
  <si>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</si>
  <si>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</si>
  <si>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</si>
  <si>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</si>
  <si>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</si>
  <si>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</si>
  <si>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</si>
  <si>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</si>
  <si>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</si>
  <si>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</si>
  <si>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</si>
  <si>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</si>
  <si>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</si>
  <si>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</si>
  <si>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</si>
  <si>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</si>
  <si>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</si>
  <si>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</si>
  <si>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</si>
  <si>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</si>
  <si>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</si>
  <si>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</si>
  <si>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</si>
  <si>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</si>
  <si>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</si>
  <si>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</si>
  <si>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</si>
  <si>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</si>
  <si>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</si>
  <si>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</si>
  <si>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</si>
  <si>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</si>
  <si>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</si>
  <si>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</si>
  <si>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</si>
  <si>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</si>
  <si>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</si>
  <si>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</si>
  <si>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</si>
  <si>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</si>
  <si>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</si>
  <si>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</si>
  <si>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</si>
  <si>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</si>
  <si>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</si>
  <si>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</si>
  <si>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</si>
  <si>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</si>
  <si>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</si>
  <si>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</si>
  <si>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</si>
  <si>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</si>
  <si>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</si>
  <si>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</si>
  <si>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</si>
  <si>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</si>
  <si>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</si>
  <si>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</si>
  <si>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</si>
  <si>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</si>
  <si>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</si>
  <si>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</si>
  <si>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desobstrução do buraco do zé</t>
  </si>
  <si>
    <t>colocar chapa</t>
  </si>
  <si>
    <t>baixa produtividade,ajustar nivel da caixa de polpa</t>
  </si>
  <si>
    <t xml:space="preserve">obstrução interna mm2 </t>
  </si>
  <si>
    <t>arrebentou as balata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</si>
  <si>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</si>
  <si>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</si>
  <si>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</si>
  <si>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</si>
  <si>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</si>
  <si>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</si>
  <si>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</si>
  <si>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</si>
  <si>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</si>
  <si>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</si>
  <si>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</si>
  <si>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</si>
  <si>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</si>
  <si>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</si>
  <si>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</si>
  <si>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</si>
  <si>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</si>
  <si>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</si>
  <si>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</si>
  <si>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</si>
  <si>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</si>
  <si>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</si>
  <si>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</si>
  <si>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</si>
  <si>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</si>
  <si>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</si>
  <si>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</si>
  <si>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</si>
  <si>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</si>
  <si>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</si>
  <si>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</si>
  <si>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</si>
  <si>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</si>
  <si>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solda no queixo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</si>
  <si>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</si>
  <si>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</si>
  <si>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</si>
  <si>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</si>
  <si>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</si>
  <si>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</si>
  <si>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</si>
  <si>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</si>
  <si>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</si>
  <si>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</si>
  <si>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</si>
  <si>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</si>
  <si>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</si>
  <si>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</si>
  <si>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</si>
  <si>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</si>
  <si>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</si>
  <si>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</si>
  <si>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</si>
  <si>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</si>
  <si>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</si>
  <si>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</si>
  <si>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</si>
  <si>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</si>
  <si>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</si>
  <si>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</si>
  <si>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</si>
  <si>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</si>
  <si>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</si>
  <si>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</si>
  <si>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</si>
  <si>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</si>
  <si>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</si>
  <si>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</si>
  <si>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</si>
  <si>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</si>
  <si>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</si>
  <si>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</si>
  <si>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</si>
  <si>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</si>
  <si>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</si>
  <si>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</si>
  <si>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</si>
  <si>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</si>
  <si>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</si>
  <si>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</si>
  <si>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</si>
  <si>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</si>
  <si>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</si>
  <si>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</si>
  <si>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</si>
  <si>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</si>
  <si>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</si>
  <si>
    <t>manutenção programada</t>
  </si>
  <si>
    <t>foi trocado martelo as 10:55</t>
  </si>
  <si>
    <t xml:space="preserve">foi feito colagem na correia transportadora </t>
  </si>
  <si>
    <t>a linha 3 ficou parada para manutenção programada e para manuenção na correia</t>
  </si>
  <si>
    <t>pedra na bica</t>
  </si>
  <si>
    <t>e um servico de solda na tubulacao da bomba de polpa 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</si>
</sst>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14" fontId="20" fillId="8" borderId="2" xfId="0" applyNumberFormat="1" applyFont="1" applyFill="1" applyBorder="1" applyAlignment="1">
      <alignment horizontal="center" vertical="center"/>
    </xf>
    <xf numFmtId="166" fontId="20" fillId="8" borderId="2" xfId="0" applyNumberFormat="1" applyFont="1" applyFill="1" applyBorder="1" applyAlignment="1">
      <alignment horizontal="center" vertical="center"/>
    </xf>
    <xf numFmtId="3" fontId="20" fillId="8" borderId="2" xfId="0" applyNumberFormat="1" applyFont="1" applyFill="1" applyBorder="1" applyAlignment="1">
      <alignment horizontal="center" vertical="center"/>
    </xf>
    <xf numFmtId="0" fontId="20" fillId="13" borderId="1" xfId="0" applyFont="1" applyFill="1" applyBorder="1" applyAlignment="1" applyProtection="1">
      <alignment horizontal="center" vertical="center"/>
      <protection locked="0"/>
    </xf>
    <xf numFmtId="14" fontId="20" fillId="11" borderId="2" xfId="0" applyNumberFormat="1" applyFont="1" applyFill="1" applyBorder="1" applyAlignment="1">
      <alignment horizontal="center" vertical="center"/>
    </xf>
    <xf numFmtId="166" fontId="20" fillId="11" borderId="2" xfId="0" applyNumberFormat="1" applyFont="1" applyFill="1" applyBorder="1" applyAlignment="1">
      <alignment horizontal="center" vertical="center"/>
    </xf>
    <xf numFmtId="164" fontId="20" fillId="11" borderId="2" xfId="0" applyNumberFormat="1" applyFont="1" applyFill="1" applyBorder="1" applyAlignment="1" applyProtection="1">
      <alignment horizontal="center" vertical="center"/>
      <protection locked="0"/>
    </xf>
    <xf numFmtId="0" fontId="24" fillId="3" borderId="2" xfId="0" applyFont="1" applyFill="1" applyBorder="1" applyAlignment="1">
      <alignment horizontal="center" vertical="center"/>
    </xf>
    <xf numFmtId="165" fontId="24" fillId="3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165" fontId="24" fillId="2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25" t="s">
        <v>0</v>
      </c>
      <c r="B1" s="125"/>
      <c r="C1" s="125"/>
      <c r="D1" s="125"/>
      <c r="E1" s="125"/>
      <c r="F1" s="125"/>
      <c r="G1" s="125"/>
    </row>
    <row r="2" spans="1:7" ht="24.75" customHeight="1">
      <c r="A2" s="126"/>
      <c r="B2" s="12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4249590</v>
      </c>
      <c r="D32" s="8">
        <f>IFERROR('Linha 1'!O784,"")</f>
        <v>1493020</v>
      </c>
      <c r="E32" s="8">
        <f>IFERROR('Linha 2'!O784,"")</f>
        <v>437880</v>
      </c>
      <c r="F32" s="8">
        <f>IFERROR('Linha 3'!O784,"")</f>
        <v>786740</v>
      </c>
      <c r="G32" s="9">
        <f>IFERROR(D32+E32+F32,"")</f>
        <v>2717640</v>
      </c>
    </row>
    <row r="33" spans="1:7" ht="15.75" customHeight="1">
      <c r="A33" s="10">
        <v>30</v>
      </c>
      <c r="B33" s="73">
        <v>46233</v>
      </c>
      <c r="C33" s="11">
        <f>IFERROR(Britador!O811,"")</f>
        <v>3994160</v>
      </c>
      <c r="D33" s="11">
        <f>IFERROR('Linha 1'!O811,"")</f>
        <v>1467270</v>
      </c>
      <c r="E33" s="11">
        <f>IFERROR('Linha 2'!O811,"")</f>
        <v>711440</v>
      </c>
      <c r="F33" s="11">
        <f>IFERROR('Linha 3'!O811,"")</f>
        <v>883430</v>
      </c>
      <c r="G33" s="12">
        <f t="shared" si="0"/>
        <v>3062140</v>
      </c>
    </row>
    <row r="34" spans="1:7" ht="21.75" customHeight="1">
      <c r="A34" s="10">
        <v>31</v>
      </c>
      <c r="B34" s="73">
        <v>46234</v>
      </c>
      <c r="C34" s="11">
        <f>IFERROR(Britador!O838,"")</f>
        <v>656110</v>
      </c>
      <c r="D34" s="11">
        <f>IFERROR('Linha 1'!O838,"")</f>
        <v>741170</v>
      </c>
      <c r="E34" s="11">
        <f>IFERROR('Linha 2'!O838,"")</f>
        <v>441270</v>
      </c>
      <c r="F34" s="11">
        <f>IFERROR('Linha 3'!O838,"")</f>
        <v>545810</v>
      </c>
      <c r="G34" s="12">
        <f t="shared" si="0"/>
        <v>1728250</v>
      </c>
    </row>
    <row r="35" spans="1:7" ht="14.25" customHeight="1">
      <c r="A35" s="127" t="s">
        <v>9</v>
      </c>
      <c r="B35" s="127"/>
      <c r="C35" s="13">
        <f>IFERROR(SUM(C4:C34),"")</f>
        <v>94680888</v>
      </c>
      <c r="D35" s="13">
        <f>IFERROR(SUM(D4:D34),"")</f>
        <v>38301260</v>
      </c>
      <c r="E35" s="13">
        <f>IFERROR(SUM(E4:E34),"")</f>
        <v>21295250</v>
      </c>
      <c r="F35" s="13">
        <f>IFERROR(SUM(F4:F34),"")</f>
        <v>38219240</v>
      </c>
      <c r="G35" s="13">
        <f>IFERROR(SUM(G4:G34),"")</f>
        <v>97815750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28" t="s">
        <v>10</v>
      </c>
      <c r="B1" s="128"/>
      <c r="C1" s="128"/>
      <c r="D1" s="128"/>
      <c r="E1" s="128"/>
      <c r="F1" s="128"/>
      <c r="G1" s="128"/>
      <c r="H1" s="129"/>
      <c r="I1" s="130" t="s">
        <v>11</v>
      </c>
      <c r="J1" s="130"/>
      <c r="K1" s="130"/>
      <c r="L1" s="130"/>
      <c r="M1" s="130"/>
    </row>
    <row r="2" spans="1:13" ht="4.5" customHeight="1">
      <c r="H2" s="12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2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2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2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2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2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2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2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2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2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2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2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2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2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2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2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2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29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29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29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29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29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29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29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29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29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29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29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29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29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29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29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29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29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29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29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29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29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29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29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29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29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29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29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29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29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29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29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29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29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29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29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29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29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29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29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29"/>
      <c r="I58" s="16"/>
      <c r="J58" s="16"/>
      <c r="K58" s="16" t="s">
        <v>206</v>
      </c>
      <c r="L58" s="16"/>
      <c r="M58" s="16" t="s">
        <v>207</v>
      </c>
    </row>
    <row r="59" spans="1:13" ht="15" customHeight="1">
      <c r="H59" s="129"/>
      <c r="I59" s="17"/>
      <c r="J59" s="17"/>
      <c r="K59" s="17" t="s">
        <v>208</v>
      </c>
      <c r="L59" s="17"/>
      <c r="M59" s="17"/>
    </row>
    <row r="60" spans="1:13" ht="15" customHeight="1">
      <c r="H60" s="129"/>
      <c r="I60" s="16"/>
      <c r="J60" s="16"/>
      <c r="K60" s="86" t="s">
        <v>105</v>
      </c>
      <c r="L60" s="16"/>
      <c r="M60" s="16"/>
    </row>
    <row r="61" spans="1:13" ht="15" customHeight="1">
      <c r="H61" s="129"/>
      <c r="I61" s="17"/>
      <c r="J61" s="17"/>
      <c r="K61" s="17" t="s">
        <v>209</v>
      </c>
      <c r="L61" s="17"/>
      <c r="M61" s="17"/>
    </row>
    <row r="62" spans="1:13" ht="15" customHeight="1">
      <c r="H62" s="129"/>
      <c r="I62" s="16"/>
      <c r="J62" s="16"/>
      <c r="K62" s="16" t="s">
        <v>210</v>
      </c>
      <c r="L62" s="16"/>
      <c r="M62" s="16"/>
    </row>
    <row r="63" spans="1:13" ht="15" customHeight="1">
      <c r="H63" s="129"/>
      <c r="I63" s="17"/>
      <c r="J63" s="17"/>
      <c r="K63" s="17" t="s">
        <v>211</v>
      </c>
      <c r="L63" s="17"/>
      <c r="M63" s="17"/>
    </row>
    <row r="64" spans="1:13" ht="15" customHeight="1">
      <c r="H64" s="129"/>
      <c r="I64" s="16"/>
      <c r="J64" s="16"/>
      <c r="K64" s="16" t="s">
        <v>212</v>
      </c>
      <c r="L64" s="16"/>
      <c r="M64" s="16"/>
    </row>
    <row r="65" spans="8:13" ht="15" customHeight="1">
      <c r="H65" s="129"/>
      <c r="I65" s="17"/>
      <c r="J65" s="17"/>
      <c r="K65" s="17" t="s">
        <v>213</v>
      </c>
      <c r="L65" s="17"/>
      <c r="M65" s="17"/>
    </row>
    <row r="66" spans="8:13" ht="15" customHeight="1">
      <c r="H66" s="129"/>
      <c r="I66" s="16"/>
      <c r="J66" s="16"/>
      <c r="K66" s="16" t="s">
        <v>214</v>
      </c>
      <c r="L66" s="16"/>
      <c r="M66" s="16"/>
    </row>
    <row r="67" spans="8:13" ht="15" customHeight="1">
      <c r="H67" s="129"/>
      <c r="I67" s="17"/>
      <c r="J67" s="17"/>
      <c r="K67" s="17" t="s">
        <v>215</v>
      </c>
      <c r="L67" s="17"/>
      <c r="M67" s="17"/>
    </row>
    <row r="68" spans="8:13" ht="15" customHeight="1">
      <c r="H68" s="129"/>
      <c r="I68" s="16"/>
      <c r="J68" s="16"/>
      <c r="K68" s="16" t="s">
        <v>216</v>
      </c>
      <c r="L68" s="16"/>
      <c r="M68" s="16"/>
    </row>
    <row r="69" spans="8:13" ht="15" customHeight="1">
      <c r="H69" s="129"/>
      <c r="I69" s="17"/>
      <c r="J69" s="17"/>
      <c r="K69" s="17" t="s">
        <v>217</v>
      </c>
      <c r="L69" s="17"/>
      <c r="M69" s="17"/>
    </row>
    <row r="70" spans="8:13" ht="15" customHeight="1">
      <c r="H70" s="129"/>
      <c r="I70" s="16"/>
      <c r="J70" s="16"/>
      <c r="K70" s="16" t="s">
        <v>218</v>
      </c>
      <c r="L70" s="16"/>
      <c r="M70" s="16"/>
    </row>
    <row r="71" spans="8:13" ht="15" customHeight="1">
      <c r="H71" s="129"/>
      <c r="I71" s="17"/>
      <c r="J71" s="17"/>
      <c r="K71" s="17" t="s">
        <v>219</v>
      </c>
      <c r="L71" s="17"/>
      <c r="M71" s="17"/>
    </row>
    <row r="72" spans="8:13" ht="15" customHeight="1">
      <c r="H72" s="129"/>
      <c r="I72" s="16"/>
      <c r="J72" s="16"/>
      <c r="K72" s="16" t="s">
        <v>220</v>
      </c>
      <c r="L72" s="16"/>
      <c r="M72" s="16"/>
    </row>
    <row r="73" spans="8:13" ht="15" customHeight="1">
      <c r="H73" s="129"/>
      <c r="I73" s="17"/>
      <c r="J73" s="17"/>
      <c r="K73" s="17" t="s">
        <v>221</v>
      </c>
      <c r="L73" s="17"/>
      <c r="M73" s="17"/>
    </row>
    <row r="74" spans="8:13" ht="15" customHeight="1">
      <c r="H74" s="129"/>
      <c r="I74" s="16"/>
      <c r="J74" s="16"/>
      <c r="K74" s="16" t="s">
        <v>222</v>
      </c>
      <c r="L74" s="16"/>
      <c r="M74" s="16"/>
    </row>
    <row r="75" spans="8:13" ht="15" customHeight="1">
      <c r="H75" s="12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810" activePane="bottomLeft" state="frozen"/>
      <selection pane="bottomLeft" activeCell="F826" sqref="F82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233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235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237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237</v>
      </c>
      <c r="O27" s="39">
        <v>1183060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240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241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237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237</v>
      </c>
      <c r="O54" s="39">
        <v>959290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240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237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242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237</v>
      </c>
      <c r="O81" s="39">
        <v>878050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240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234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234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237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237</v>
      </c>
      <c r="O108" s="39">
        <v>1700000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240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237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237</v>
      </c>
      <c r="O135" s="39">
        <v>862330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240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237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237</v>
      </c>
      <c r="O162" s="44">
        <v>1546080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240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234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234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234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234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234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237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234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234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237</v>
      </c>
      <c r="O189" s="39">
        <v>2355810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240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234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234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234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234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234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234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234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234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234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234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234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234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237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237</v>
      </c>
      <c r="O216" s="45">
        <v>2013260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240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237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237</v>
      </c>
      <c r="O243" s="39">
        <v>1545480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240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246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237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237</v>
      </c>
      <c r="O270" s="39">
        <v>1182690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240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237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247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248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248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248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248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248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248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248</v>
      </c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237</v>
      </c>
      <c r="O297" s="39">
        <v>1843460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240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249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250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237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251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251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251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251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251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251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237</v>
      </c>
      <c r="O324" s="39">
        <v>1940000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240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237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234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234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234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234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234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234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234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234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234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234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234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234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237</v>
      </c>
      <c r="O351" s="39">
        <v>701874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240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253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234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234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234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234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234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234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234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234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234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234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234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237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234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234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234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234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234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234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234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234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234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234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234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237</v>
      </c>
      <c r="O378" s="39">
        <v>1088710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240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234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213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234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254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234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255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234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234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234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234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234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234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234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234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237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234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234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256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234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234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234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234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234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234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234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234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234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237</v>
      </c>
      <c r="O405" s="39">
        <v>1202270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240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234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257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234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234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258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234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234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234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234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234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259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259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234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237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234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234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234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234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234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234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234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234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234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234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234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237</v>
      </c>
      <c r="O432" s="39">
        <v>1801910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240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234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217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260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234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234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234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234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234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234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234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234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237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261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218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261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261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261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261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261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261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261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261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261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261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261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237</v>
      </c>
      <c r="O459" s="39">
        <v>2675000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240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237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237</v>
      </c>
      <c r="O486" s="39">
        <v>2310070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234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234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234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234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234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237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234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234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234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234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234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234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234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234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234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234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234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237</v>
      </c>
      <c r="O513" s="39">
        <v>1298429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240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234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262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234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234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234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234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234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234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234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234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234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234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234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237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234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234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263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234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234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234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234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234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234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234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234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234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234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237</v>
      </c>
      <c r="O540" s="39">
        <v>1240140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240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234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210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264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234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234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234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234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234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234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234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234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234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234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234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237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234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234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234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234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234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234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234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234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234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234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234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234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237</v>
      </c>
      <c r="O567" s="39">
        <v>1482110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240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234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234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234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234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234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234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237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234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234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234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234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234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234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234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234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234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234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237</v>
      </c>
      <c r="O594" s="39">
        <v>1036800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240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234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234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234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234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234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234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234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234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234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234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234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234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237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265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234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234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234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234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234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234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234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234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234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237</v>
      </c>
      <c r="O621" s="39">
        <v>1295785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240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234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234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234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234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234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234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234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234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234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234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234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234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237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234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266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234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234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234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234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234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234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234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234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234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234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234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237</v>
      </c>
      <c r="O648" s="39">
        <v>1954490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240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234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234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234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234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234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234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234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234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234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234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234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234</v>
      </c>
      <c r="B662" s="120"/>
      <c r="C662" s="120"/>
      <c r="D662" s="120"/>
      <c r="E662" s="121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237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234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267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234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234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234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234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234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234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234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234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234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234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234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237</v>
      </c>
      <c r="O675" s="39">
        <v>471180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240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234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268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234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234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234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234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234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234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234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234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234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234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234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237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234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270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234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234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234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234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234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234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234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234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234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237</v>
      </c>
      <c r="O702" s="39">
        <v>1620480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240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234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234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234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234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234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234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234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234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234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234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234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234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237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234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271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234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234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234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234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234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234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261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261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261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237</v>
      </c>
      <c r="O729" s="39">
        <v>1145450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240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272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234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234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234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234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234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234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234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234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234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234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234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237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234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273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234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234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234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234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234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234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234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234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234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234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234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237</v>
      </c>
      <c r="O756" s="39">
        <v>1649510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240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234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274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234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275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234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234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234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234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234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234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234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234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234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237</v>
      </c>
      <c r="O770" s="39">
        <v>2135900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234</v>
      </c>
      <c r="F771" s="27">
        <v>30</v>
      </c>
      <c r="G771" s="34">
        <f t="shared" ref="G771:G782" si="171">IF(F771="","",IF(E771="PC 17",F771*4.2,IF(E771="PC 19",F771*5,"")))</f>
        <v>150</v>
      </c>
      <c r="H771" s="33" t="s">
        <v>18</v>
      </c>
      <c r="I771" s="33" t="s">
        <v>23</v>
      </c>
      <c r="J771" s="33" t="s">
        <v>164</v>
      </c>
      <c r="K771" s="29">
        <v>7.9166666666666663E-2</v>
      </c>
      <c r="L771" s="29">
        <v>9.8611111111111108E-2</v>
      </c>
      <c r="M771" s="35">
        <f t="shared" ref="M771:M782" ca="1" si="172">IFERROR(IF(K771="","",IF(L771="",MOD(NOW()-K771,1),IF(L771&gt;=K771,L771-K771,L771+1-K771))),"")</f>
        <v>1.9444444444444445E-2</v>
      </c>
      <c r="N771" s="46" t="s">
        <v>276</v>
      </c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45</v>
      </c>
      <c r="G772" s="28">
        <f t="shared" si="171"/>
        <v>225</v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234</v>
      </c>
      <c r="F773" s="27">
        <v>5</v>
      </c>
      <c r="G773" s="34">
        <f>IF(F773="","",IF(E773="PC 17",F773*4.2,IF(E773="PC 19",F773*5,"")))</f>
        <v>25</v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234</v>
      </c>
      <c r="F774" s="27">
        <v>45</v>
      </c>
      <c r="G774" s="28">
        <f>IF(F774="","",IF(E774="PC 17",F774*4.2,IF(E774="PC 19",F774*5,"")))</f>
        <v>225</v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30</v>
      </c>
      <c r="E775" s="62" t="s">
        <v>234</v>
      </c>
      <c r="F775" s="27">
        <v>25</v>
      </c>
      <c r="G775" s="34">
        <f>IF(F775="","",IF(E775="PC 17",F775*4.2,IF(E775="PC 19",F775*5,"")))</f>
        <v>125</v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30</v>
      </c>
      <c r="E776" s="62" t="s">
        <v>234</v>
      </c>
      <c r="F776" s="27">
        <v>35</v>
      </c>
      <c r="G776" s="28">
        <f t="shared" si="171"/>
        <v>175</v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30</v>
      </c>
      <c r="E777" s="62" t="s">
        <v>234</v>
      </c>
      <c r="F777" s="27">
        <v>25</v>
      </c>
      <c r="G777" s="34">
        <f t="shared" si="171"/>
        <v>125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30</v>
      </c>
      <c r="E778" s="62" t="s">
        <v>234</v>
      </c>
      <c r="F778" s="27">
        <v>15</v>
      </c>
      <c r="G778" s="28">
        <f t="shared" si="171"/>
        <v>75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234</v>
      </c>
      <c r="F779" s="27">
        <v>25</v>
      </c>
      <c r="G779" s="34">
        <f t="shared" si="171"/>
        <v>125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234</v>
      </c>
      <c r="F780" s="27">
        <v>30</v>
      </c>
      <c r="G780" s="28">
        <f t="shared" si="171"/>
        <v>150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234</v>
      </c>
      <c r="F781" s="27">
        <v>15</v>
      </c>
      <c r="G781" s="34">
        <f t="shared" si="171"/>
        <v>75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234</v>
      </c>
      <c r="F782" s="27">
        <v>15</v>
      </c>
      <c r="G782" s="28">
        <f t="shared" si="171"/>
        <v>75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310</v>
      </c>
      <c r="G783" s="36">
        <f>SUM(G771:G782)</f>
        <v>1550</v>
      </c>
      <c r="H783" s="37"/>
      <c r="I783" s="37"/>
      <c r="J783" s="37"/>
      <c r="K783" s="37"/>
      <c r="L783" s="37"/>
      <c r="M783" s="38">
        <f ca="1">IFERROR(SUM(M771:M782),"")</f>
        <v>1.9444444444444445E-2</v>
      </c>
      <c r="N783" s="36" t="s">
        <v>237</v>
      </c>
      <c r="O783" s="39">
        <v>2113690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660</v>
      </c>
      <c r="G784" s="40">
        <f>G770+G783</f>
        <v>3300</v>
      </c>
      <c r="H784" s="41"/>
      <c r="I784" s="41"/>
      <c r="J784" s="41"/>
      <c r="K784" s="41"/>
      <c r="L784" s="41"/>
      <c r="M784" s="42">
        <f ca="1">IFERROR(M770+M783,"")</f>
        <v>9.097222222222219E-2</v>
      </c>
      <c r="N784" s="40" t="s">
        <v>240</v>
      </c>
      <c r="O784" s="48">
        <f>IFERROR(O770+O783,"")</f>
        <v>4249590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234</v>
      </c>
      <c r="F785" s="27">
        <v>4</v>
      </c>
      <c r="G785" s="34"/>
      <c r="H785" s="33" t="s">
        <v>20</v>
      </c>
      <c r="I785" s="33" t="s">
        <v>23</v>
      </c>
      <c r="J785" s="33" t="s">
        <v>132</v>
      </c>
      <c r="K785" s="29">
        <v>0.6069444444444444</v>
      </c>
      <c r="L785" s="29">
        <v>0.63472222222222219</v>
      </c>
      <c r="M785" s="35">
        <f t="shared" ref="M785:M796" ca="1" si="174">IFERROR(IF(K785="","",IF(L785="",MOD(NOW()-K785,1),IF(L785&gt;=K785,L785-K785,L785+1-K785))),"")</f>
        <v>2.777777777777779E-2</v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234</v>
      </c>
      <c r="F786" s="27">
        <v>37</v>
      </c>
      <c r="G786" s="28"/>
      <c r="H786" s="26" t="s">
        <v>20</v>
      </c>
      <c r="I786" s="26" t="s">
        <v>23</v>
      </c>
      <c r="J786" s="26" t="s">
        <v>143</v>
      </c>
      <c r="K786" s="29">
        <v>0.64930555555555558</v>
      </c>
      <c r="L786" s="29">
        <v>0.6645833333333333</v>
      </c>
      <c r="M786" s="30">
        <f t="shared" ca="1" si="174"/>
        <v>1.5277777777777724E-2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234</v>
      </c>
      <c r="F787" s="27">
        <v>30</v>
      </c>
      <c r="G787" s="34"/>
      <c r="H787" s="33" t="s">
        <v>20</v>
      </c>
      <c r="I787" s="33" t="s">
        <v>23</v>
      </c>
      <c r="J787" s="33" t="s">
        <v>181</v>
      </c>
      <c r="K787" s="29">
        <v>0.75347222222222221</v>
      </c>
      <c r="L787" s="29">
        <v>0.79166666666666663</v>
      </c>
      <c r="M787" s="35">
        <f t="shared" ca="1" si="174"/>
        <v>3.819444444444442E-2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234</v>
      </c>
      <c r="F788" s="27">
        <v>8</v>
      </c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15</v>
      </c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234</v>
      </c>
      <c r="F790" s="27">
        <v>49</v>
      </c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 t="s">
        <v>277</v>
      </c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234</v>
      </c>
      <c r="F791" s="27">
        <v>45</v>
      </c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234</v>
      </c>
      <c r="F792" s="27">
        <v>0</v>
      </c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234</v>
      </c>
      <c r="F793" s="27">
        <v>35</v>
      </c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234</v>
      </c>
      <c r="F794" s="27">
        <v>45</v>
      </c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234</v>
      </c>
      <c r="F795" s="27">
        <v>23</v>
      </c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234</v>
      </c>
      <c r="F796" s="27">
        <v>0</v>
      </c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291</v>
      </c>
      <c r="G797" s="37"/>
      <c r="H797" s="37"/>
      <c r="I797" s="37"/>
      <c r="J797" s="37"/>
      <c r="K797" s="37"/>
      <c r="L797" s="37"/>
      <c r="M797" s="38">
        <f ca="1">IFERROR(SUM(M785:M796),"")</f>
        <v>8.1249999999999933E-2</v>
      </c>
      <c r="N797" s="36" t="s">
        <v>237</v>
      </c>
      <c r="O797" s="39">
        <v>2191180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234</v>
      </c>
      <c r="F798" s="27">
        <v>35</v>
      </c>
      <c r="G798" s="28">
        <f t="shared" ref="G796:G809" si="176">IF(F798="","",IF(E798="PC 17",F798*4.2,IF(E798="PC 19",F798*5,"")))</f>
        <v>175</v>
      </c>
      <c r="H798" s="26" t="s">
        <v>16</v>
      </c>
      <c r="I798" s="26" t="s">
        <v>23</v>
      </c>
      <c r="J798" s="26" t="s">
        <v>32</v>
      </c>
      <c r="K798" s="29">
        <v>3.8194444444444448E-2</v>
      </c>
      <c r="L798" s="29">
        <v>5.5555555555555552E-2</v>
      </c>
      <c r="M798" s="30">
        <f t="shared" ref="M798:M809" ca="1" si="177">IFERROR(IF(K798="","",IF(L798="",MOD(NOW()-K798,1),IF(L798&gt;=K798,L798-K798,L798+1-K798))),"")</f>
        <v>1.7361111111111105E-2</v>
      </c>
      <c r="N798" s="46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26</v>
      </c>
      <c r="G799" s="28">
        <f t="shared" si="176"/>
        <v>109.2</v>
      </c>
      <c r="H799" s="26" t="s">
        <v>20</v>
      </c>
      <c r="I799" s="26"/>
      <c r="J799" s="26" t="s">
        <v>143</v>
      </c>
      <c r="K799" s="29">
        <v>0.10069444444444445</v>
      </c>
      <c r="L799" s="29">
        <v>0.13055555555555556</v>
      </c>
      <c r="M799" s="35">
        <f t="shared" ca="1" si="177"/>
        <v>2.9861111111111116E-2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234</v>
      </c>
      <c r="F800" s="27">
        <v>39</v>
      </c>
      <c r="G800" s="28">
        <f t="shared" si="176"/>
        <v>195</v>
      </c>
      <c r="H800" s="26"/>
      <c r="I800" s="26"/>
      <c r="J800" s="26"/>
      <c r="K800" s="29"/>
      <c r="L800" s="29"/>
      <c r="M800" s="30" t="str">
        <f t="shared" ca="1" si="177"/>
        <v/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234</v>
      </c>
      <c r="F801" s="27">
        <v>40</v>
      </c>
      <c r="G801" s="28">
        <f t="shared" si="176"/>
        <v>200</v>
      </c>
      <c r="H801" s="33"/>
      <c r="I801" s="33"/>
      <c r="J801" s="33"/>
      <c r="K801" s="29"/>
      <c r="L801" s="29"/>
      <c r="M801" s="35" t="str">
        <f t="shared" ca="1" si="177"/>
        <v/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234</v>
      </c>
      <c r="F802" s="27">
        <v>30</v>
      </c>
      <c r="G802" s="28">
        <f t="shared" si="176"/>
        <v>150</v>
      </c>
      <c r="H802" s="26"/>
      <c r="I802" s="26"/>
      <c r="J802" s="26"/>
      <c r="K802" s="29"/>
      <c r="L802" s="29"/>
      <c r="M802" s="30" t="str">
        <f t="shared" ca="1" si="177"/>
        <v/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234</v>
      </c>
      <c r="F803" s="27">
        <v>55</v>
      </c>
      <c r="G803" s="28">
        <f t="shared" si="176"/>
        <v>275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30</v>
      </c>
      <c r="E804" s="59" t="s">
        <v>234</v>
      </c>
      <c r="F804" s="27">
        <v>25</v>
      </c>
      <c r="G804" s="28">
        <f t="shared" si="176"/>
        <v>125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30</v>
      </c>
      <c r="E805" s="59" t="s">
        <v>234</v>
      </c>
      <c r="F805" s="27">
        <v>14</v>
      </c>
      <c r="G805" s="28">
        <f t="shared" si="176"/>
        <v>70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30</v>
      </c>
      <c r="E806" s="59" t="s">
        <v>234</v>
      </c>
      <c r="F806" s="27">
        <v>20</v>
      </c>
      <c r="G806" s="28">
        <f t="shared" si="176"/>
        <v>100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30</v>
      </c>
      <c r="E807" s="59" t="s">
        <v>234</v>
      </c>
      <c r="F807" s="27">
        <v>10</v>
      </c>
      <c r="G807" s="28">
        <f t="shared" si="176"/>
        <v>50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30</v>
      </c>
      <c r="E808" s="59" t="s">
        <v>234</v>
      </c>
      <c r="F808" s="27">
        <v>15</v>
      </c>
      <c r="G808" s="28">
        <f t="shared" si="176"/>
        <v>75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30</v>
      </c>
      <c r="E809" s="59" t="s">
        <v>234</v>
      </c>
      <c r="F809" s="27">
        <v>10</v>
      </c>
      <c r="G809" s="28">
        <f t="shared" si="176"/>
        <v>50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319</v>
      </c>
      <c r="G810" s="36">
        <f>SUM(G798:G809)</f>
        <v>1574.2</v>
      </c>
      <c r="H810" s="37"/>
      <c r="I810" s="37"/>
      <c r="J810" s="37"/>
      <c r="K810" s="37"/>
      <c r="L810" s="37"/>
      <c r="M810" s="38">
        <f ca="1">IFERROR(SUM(M798:M809),"")</f>
        <v>4.7222222222222221E-2</v>
      </c>
      <c r="N810" s="36" t="s">
        <v>237</v>
      </c>
      <c r="O810" s="39">
        <v>1802980</v>
      </c>
    </row>
    <row r="811" spans="1:15" ht="18" customHeight="1">
      <c r="A811" s="116" t="s">
        <v>239</v>
      </c>
      <c r="B811" s="117"/>
      <c r="C811" s="117"/>
      <c r="D811" s="117"/>
      <c r="E811" s="118">
        <f>E797+E810</f>
        <v>0</v>
      </c>
      <c r="F811" s="40">
        <f>F797+F810</f>
        <v>610</v>
      </c>
      <c r="G811" s="40">
        <f>G797+G810</f>
        <v>1574.2</v>
      </c>
      <c r="H811" s="41"/>
      <c r="I811" s="41"/>
      <c r="J811" s="41"/>
      <c r="K811" s="41"/>
      <c r="L811" s="41"/>
      <c r="M811" s="42">
        <f ca="1">IFERROR(M797+M810,"")</f>
        <v>0.12847222222222215</v>
      </c>
      <c r="N811" s="40" t="s">
        <v>240</v>
      </c>
      <c r="O811" s="83">
        <f>IFERROR(O797+O810,"")</f>
        <v>3994160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234</v>
      </c>
      <c r="F812" s="100">
        <v>18</v>
      </c>
      <c r="G812" s="104">
        <v>50</v>
      </c>
      <c r="H812" s="80" t="s">
        <v>18</v>
      </c>
      <c r="I812" s="80" t="s">
        <v>23</v>
      </c>
      <c r="J812" s="80" t="s">
        <v>222</v>
      </c>
      <c r="K812" s="98">
        <v>0.5</v>
      </c>
      <c r="L812" s="98">
        <v>0.65972222222222221</v>
      </c>
      <c r="M812" s="78">
        <f ca="1">IFERROR(IF(K812="","",IF(L812="",MOD(NOW()-K812,1),IF(L812&gt;=K812,L812-K812,L812+1-K812))),"")</f>
        <v>0.15972222222222221</v>
      </c>
      <c r="N812" s="105" t="s">
        <v>278</v>
      </c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234</v>
      </c>
      <c r="F813" s="100">
        <v>8</v>
      </c>
      <c r="G813" s="101">
        <v>35</v>
      </c>
      <c r="H813" s="81"/>
      <c r="I813" s="81"/>
      <c r="J813" s="81"/>
      <c r="K813" s="98"/>
      <c r="L813" s="98"/>
      <c r="M813" s="79" t="str">
        <f ca="1">IFERROR(IF(K813="","",IF(L813="",MOD(NOW()-K813,1),IF(L813&gt;=K813,L813-K813,L813+1-K813))),"")</f>
        <v/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234</v>
      </c>
      <c r="F814" s="100">
        <v>8</v>
      </c>
      <c r="G814" s="104">
        <v>35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234</v>
      </c>
      <c r="F815" s="100">
        <v>10</v>
      </c>
      <c r="G815" s="101">
        <v>25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234</v>
      </c>
      <c r="F816" s="100">
        <v>10</v>
      </c>
      <c r="G816" s="104">
        <v>25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234</v>
      </c>
      <c r="F817" s="100">
        <v>0</v>
      </c>
      <c r="G817" s="101">
        <v>0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22</v>
      </c>
      <c r="E818" s="99" t="s">
        <v>234</v>
      </c>
      <c r="F818" s="100">
        <v>0</v>
      </c>
      <c r="G818" s="104">
        <v>0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22</v>
      </c>
      <c r="E819" s="108" t="s">
        <v>234</v>
      </c>
      <c r="F819" s="100">
        <v>0</v>
      </c>
      <c r="G819" s="101">
        <v>0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22</v>
      </c>
      <c r="E820" s="99" t="s">
        <v>234</v>
      </c>
      <c r="F820" s="100">
        <v>0</v>
      </c>
      <c r="G820" s="104">
        <v>0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22</v>
      </c>
      <c r="E821" s="108" t="s">
        <v>234</v>
      </c>
      <c r="F821" s="100">
        <v>44</v>
      </c>
      <c r="G821" s="101"/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234</v>
      </c>
      <c r="F822" s="100">
        <v>20</v>
      </c>
      <c r="G822" s="104"/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234</v>
      </c>
      <c r="F823" s="100">
        <v>15</v>
      </c>
      <c r="G823" s="101"/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133</v>
      </c>
      <c r="G824" s="37"/>
      <c r="H824" s="37"/>
      <c r="I824" s="37"/>
      <c r="J824" s="37"/>
      <c r="K824" s="37"/>
      <c r="L824" s="37"/>
      <c r="M824" s="110">
        <f ca="1">IFERROR(SUM(M812:M823),"")</f>
        <v>0.15972222222222221</v>
      </c>
      <c r="N824" s="109" t="s">
        <v>237</v>
      </c>
      <c r="O824" s="77">
        <v>656110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234</v>
      </c>
      <c r="F825" s="100">
        <v>13</v>
      </c>
      <c r="G825" s="101">
        <f>IF(F825="","",IF(E825="PC 17",F825*4.2,IF(E825="PC 19",F825*5,"")))</f>
        <v>65</v>
      </c>
      <c r="H825" s="81" t="s">
        <v>16</v>
      </c>
      <c r="I825" s="81" t="s">
        <v>23</v>
      </c>
      <c r="J825" s="81" t="s">
        <v>32</v>
      </c>
      <c r="K825" s="98">
        <v>0.79166666666666663</v>
      </c>
      <c r="L825" s="98">
        <v>0.7993055555555556</v>
      </c>
      <c r="M825" s="79">
        <f ca="1">IFERROR(IF(K825="","",IF(L825="",MOD(NOW()-K825,1),IF(L825&gt;=K825,L825-K825,L825+1-K825))),"")</f>
        <v>7.6388888888889728E-3</v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 t="s">
        <v>234</v>
      </c>
      <c r="F826" s="100"/>
      <c r="G826" s="101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1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1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1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1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1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1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1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1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1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1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13</v>
      </c>
      <c r="G837" s="109">
        <f>SUM(G825:G836)</f>
        <v>65</v>
      </c>
      <c r="H837" s="37"/>
      <c r="I837" s="37"/>
      <c r="J837" s="37"/>
      <c r="K837" s="37"/>
      <c r="L837" s="37"/>
      <c r="M837" s="110">
        <f ca="1">IFERROR(SUM(M825:M836),"")</f>
        <v>7.6388888888889728E-3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146</v>
      </c>
      <c r="G838" s="111">
        <f>G824+G837</f>
        <v>65</v>
      </c>
      <c r="H838" s="41"/>
      <c r="I838" s="41"/>
      <c r="J838" s="41"/>
      <c r="K838" s="41"/>
      <c r="L838" s="41"/>
      <c r="M838" s="112">
        <f ca="1">IFERROR(M824+M837,"")</f>
        <v>0.16736111111111118</v>
      </c>
      <c r="N838" s="111" t="s">
        <v>240</v>
      </c>
      <c r="O838" s="83">
        <f>IFERROR(O824+O837,"")</f>
        <v>656110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11:E811"/>
    <mergeCell ref="A824:E824"/>
    <mergeCell ref="A837:E837"/>
    <mergeCell ref="A838:E838"/>
    <mergeCell ref="A784:E784"/>
    <mergeCell ref="A797:E797"/>
    <mergeCell ref="A810:E81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G797 G824 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804" activePane="bottomLeft" state="frozen"/>
      <selection pane="bottomLeft" activeCell="E825" sqref="E82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237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237</v>
      </c>
      <c r="O27" s="77">
        <v>393200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240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237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261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280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261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261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261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261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261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261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261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261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261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84">
        <v>276360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240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281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282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237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237</v>
      </c>
      <c r="O81" s="54">
        <v>787860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240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261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283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237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284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237</v>
      </c>
      <c r="O108" s="54">
        <v>1087080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240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237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252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237</v>
      </c>
      <c r="O135" s="54">
        <v>794480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240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291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237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293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237</v>
      </c>
      <c r="O162" s="54">
        <v>882280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240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261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261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261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237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237</v>
      </c>
      <c r="O189" s="77"/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240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237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237</v>
      </c>
      <c r="O216" s="77">
        <v>648410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240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236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237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293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261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237</v>
      </c>
      <c r="O243" s="77">
        <v>849060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240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300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237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237</v>
      </c>
      <c r="O270" s="77">
        <v>625070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240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301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302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237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303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237</v>
      </c>
      <c r="O297" s="77">
        <v>761660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240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304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304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237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237</v>
      </c>
      <c r="O324" s="77">
        <v>524410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240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261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234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261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261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261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261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261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261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261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237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237</v>
      </c>
      <c r="O351" s="77">
        <v>598420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240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237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0.59575474536541151</v>
      </c>
      <c r="N377" s="46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0.75339363425430039</v>
      </c>
      <c r="N378" s="36" t="s">
        <v>237</v>
      </c>
      <c r="O378" s="77">
        <v>511980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0.86311585647652256</v>
      </c>
      <c r="N379" s="40" t="s">
        <v>240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214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293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310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237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261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311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252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237</v>
      </c>
      <c r="O405" s="77">
        <v>552440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240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234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261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237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0.57422696759022074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0.74506030092355413</v>
      </c>
      <c r="N432" s="36" t="s">
        <v>237</v>
      </c>
      <c r="O432" s="77">
        <v>484540</v>
      </c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0.89019918981244306</v>
      </c>
      <c r="N433" s="40" t="s">
        <v>240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313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314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237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237</v>
      </c>
      <c r="O459" s="77">
        <v>631190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240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237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237</v>
      </c>
      <c r="O486" s="77">
        <v>969510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240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320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261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237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237</v>
      </c>
      <c r="O513" s="77">
        <v>556040</v>
      </c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254</v>
      </c>
      <c r="G514" s="97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240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321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237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237</v>
      </c>
      <c r="O540" s="77">
        <v>548610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240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322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237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323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237</v>
      </c>
      <c r="O567" s="77">
        <v>722660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240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324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237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237</v>
      </c>
      <c r="O594" s="77">
        <v>644900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240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237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237</v>
      </c>
      <c r="O621" s="77">
        <v>348050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240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8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261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261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261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261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261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261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261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237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237</v>
      </c>
      <c r="O648" s="77">
        <v>757160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240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330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237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237</v>
      </c>
      <c r="O675" s="77">
        <v>681950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240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209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331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99" t="s">
        <v>261</v>
      </c>
      <c r="F680" s="100"/>
      <c r="G680" s="101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332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3" t="s">
        <v>236</v>
      </c>
      <c r="B689" s="114"/>
      <c r="C689" s="114"/>
      <c r="D689" s="114"/>
      <c r="E689" s="115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237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333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334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237</v>
      </c>
      <c r="O702" s="77">
        <v>813880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240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237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261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234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261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261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261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261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261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261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234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234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261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237</v>
      </c>
      <c r="O729" s="77">
        <v>766420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240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340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341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237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237</v>
      </c>
      <c r="O756" s="39">
        <v>605420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240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342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343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344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261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261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261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261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261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261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237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23</v>
      </c>
      <c r="G771" s="34">
        <f t="shared" ref="G771:G782" si="171">IF(F771="","",IF(E771="PC 17",F771*4.2,IF(E771="PC 19",F771*5,"")))</f>
        <v>96.600000000000009</v>
      </c>
      <c r="H771" s="33" t="s">
        <v>20</v>
      </c>
      <c r="I771" s="33" t="s">
        <v>39</v>
      </c>
      <c r="J771" s="33" t="s">
        <v>36</v>
      </c>
      <c r="K771" s="29">
        <v>0.84027777777777779</v>
      </c>
      <c r="L771" s="29">
        <v>0.85416666666666663</v>
      </c>
      <c r="M771" s="35">
        <f t="shared" ref="M771:M782" ca="1" si="172">IFERROR(IF(K771="","",IF(L771="",MOD(NOW()-K771,1),IF(L771&gt;=K771,L771-K771,L771+1-K771))),"")</f>
        <v>1.388888888888884E-2</v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11</v>
      </c>
      <c r="G772" s="28">
        <f t="shared" si="171"/>
        <v>55</v>
      </c>
      <c r="H772" s="26" t="s">
        <v>20</v>
      </c>
      <c r="I772" s="26" t="s">
        <v>121</v>
      </c>
      <c r="J772" s="26" t="s">
        <v>113</v>
      </c>
      <c r="K772" s="29">
        <v>0.91874999999999996</v>
      </c>
      <c r="L772" s="29">
        <v>0.93402777777777779</v>
      </c>
      <c r="M772" s="30">
        <f t="shared" ca="1" si="172"/>
        <v>1.5277777777777835E-2</v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26</v>
      </c>
      <c r="G773" s="34">
        <f t="shared" si="171"/>
        <v>109.2</v>
      </c>
      <c r="H773" s="33" t="s">
        <v>19</v>
      </c>
      <c r="I773" s="33" t="s">
        <v>157</v>
      </c>
      <c r="J773" s="33" t="s">
        <v>27</v>
      </c>
      <c r="K773" s="29">
        <v>0.93472222222222223</v>
      </c>
      <c r="L773" s="29">
        <v>0.9458333333333333</v>
      </c>
      <c r="M773" s="35">
        <f t="shared" ca="1" si="172"/>
        <v>1.1111111111111072E-2</v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11</v>
      </c>
      <c r="G774" s="28">
        <f t="shared" si="171"/>
        <v>46.2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0.98819444444444449</v>
      </c>
      <c r="M774" s="30">
        <f t="shared" ca="1" si="172"/>
        <v>1.0416666666666741E-2</v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18</v>
      </c>
      <c r="G775" s="34">
        <f t="shared" si="171"/>
        <v>75.600000000000009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46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16</v>
      </c>
      <c r="G776" s="28">
        <f t="shared" si="171"/>
        <v>67.2</v>
      </c>
      <c r="H776" s="26" t="s">
        <v>17</v>
      </c>
      <c r="I776" s="26"/>
      <c r="J776" s="26" t="s">
        <v>49</v>
      </c>
      <c r="K776" s="29">
        <v>0.2638888888888889</v>
      </c>
      <c r="L776" s="29">
        <v>0.28263888888888888</v>
      </c>
      <c r="M776" s="30">
        <f t="shared" ca="1" si="172"/>
        <v>1.8749999999999989E-2</v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15</v>
      </c>
      <c r="G777" s="34">
        <f t="shared" si="171"/>
        <v>63</v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261</v>
      </c>
      <c r="F780" s="27">
        <v>18</v>
      </c>
      <c r="G780" s="28">
        <f t="shared" si="171"/>
        <v>75.600000000000009</v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261</v>
      </c>
      <c r="F781" s="27">
        <v>20</v>
      </c>
      <c r="G781" s="34">
        <f t="shared" si="171"/>
        <v>84</v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261</v>
      </c>
      <c r="F782" s="27">
        <v>3</v>
      </c>
      <c r="G782" s="28">
        <f t="shared" si="171"/>
        <v>12.600000000000001</v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184</v>
      </c>
      <c r="G783" s="36">
        <f>SUM(G771:G782)</f>
        <v>781.6</v>
      </c>
      <c r="H783" s="37"/>
      <c r="I783" s="37"/>
      <c r="J783" s="37"/>
      <c r="K783" s="37"/>
      <c r="L783" s="37"/>
      <c r="M783" s="38">
        <f ca="1">IFERROR(SUM(M771:M782),"")</f>
        <v>0.11250000000000003</v>
      </c>
      <c r="N783" s="36" t="s">
        <v>237</v>
      </c>
      <c r="O783" s="39">
        <v>882130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318</v>
      </c>
      <c r="G784" s="40">
        <f>G770+G783</f>
        <v>1352.4</v>
      </c>
      <c r="H784" s="41"/>
      <c r="I784" s="41"/>
      <c r="J784" s="41"/>
      <c r="K784" s="41"/>
      <c r="L784" s="41"/>
      <c r="M784" s="42">
        <f ca="1">IFERROR(M770+M783,"")</f>
        <v>0.20763888888888887</v>
      </c>
      <c r="N784" s="40" t="s">
        <v>240</v>
      </c>
      <c r="O784" s="83">
        <f>IFERROR(O770+O783,"")</f>
        <v>1493020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11</v>
      </c>
      <c r="G785" s="34">
        <f>IF(F785="","",IF(E785="PC 17",F785*4.2,IF(E785="PC 19",F785*5,"")))</f>
        <v>46.2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46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9</v>
      </c>
      <c r="G786" s="34">
        <f t="shared" ref="G786:G809" si="176">IF(F786="","",IF(E786="PC 17",F786*4.2,IF(E786="PC 19",F786*5,"")))</f>
        <v>37.800000000000004</v>
      </c>
      <c r="H786" s="26" t="s">
        <v>19</v>
      </c>
      <c r="I786" s="26" t="s">
        <v>157</v>
      </c>
      <c r="J786" s="26" t="s">
        <v>27</v>
      </c>
      <c r="K786" s="29">
        <v>0.33680555555555558</v>
      </c>
      <c r="L786" s="29">
        <v>0.34652777777777777</v>
      </c>
      <c r="M786" s="30">
        <f t="shared" ca="1" si="174"/>
        <v>9.7222222222221877E-3</v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27</v>
      </c>
      <c r="G787" s="34">
        <f t="shared" si="176"/>
        <v>113.4</v>
      </c>
      <c r="H787" s="33" t="s">
        <v>18</v>
      </c>
      <c r="I787" s="33"/>
      <c r="J787" s="33" t="s">
        <v>94</v>
      </c>
      <c r="K787" s="29">
        <v>0.45555555555555555</v>
      </c>
      <c r="L787" s="29">
        <v>0.47361111111111109</v>
      </c>
      <c r="M787" s="35">
        <f t="shared" ca="1" si="174"/>
        <v>1.8055555555555547E-2</v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21</v>
      </c>
      <c r="G788" s="34">
        <f t="shared" si="176"/>
        <v>88.2</v>
      </c>
      <c r="H788" s="26" t="s">
        <v>19</v>
      </c>
      <c r="I788" s="26" t="s">
        <v>31</v>
      </c>
      <c r="J788" s="26" t="s">
        <v>50</v>
      </c>
      <c r="K788" s="29">
        <v>0.48680555555555555</v>
      </c>
      <c r="L788" s="29">
        <v>0.53194444444444444</v>
      </c>
      <c r="M788" s="30">
        <f t="shared" ca="1" si="174"/>
        <v>4.5138888888888895E-2</v>
      </c>
      <c r="N788" s="46" t="s">
        <v>347</v>
      </c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16</v>
      </c>
      <c r="I789" s="33"/>
      <c r="J789" s="33" t="s">
        <v>94</v>
      </c>
      <c r="K789" s="29">
        <v>0.68055555555555558</v>
      </c>
      <c r="L789" s="29">
        <v>0.70833333333333337</v>
      </c>
      <c r="M789" s="35">
        <f t="shared" ca="1" si="174"/>
        <v>2.777777777777779E-2</v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5</v>
      </c>
      <c r="G790" s="34">
        <f t="shared" si="176"/>
        <v>21</v>
      </c>
      <c r="H790" s="26" t="s">
        <v>19</v>
      </c>
      <c r="I790" s="26" t="s">
        <v>157</v>
      </c>
      <c r="J790" s="26" t="s">
        <v>27</v>
      </c>
      <c r="K790" s="29">
        <v>0.70486111111111116</v>
      </c>
      <c r="L790" s="29">
        <v>0.71597222222222223</v>
      </c>
      <c r="M790" s="30">
        <f t="shared" ca="1" si="174"/>
        <v>1.1111111111111072E-2</v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17</v>
      </c>
      <c r="G792" s="34">
        <f t="shared" si="176"/>
        <v>71.400000000000006</v>
      </c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22</v>
      </c>
      <c r="G793" s="34">
        <f t="shared" si="176"/>
        <v>92.4</v>
      </c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3</v>
      </c>
      <c r="G794" s="34">
        <f t="shared" si="176"/>
        <v>12.600000000000001</v>
      </c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12</v>
      </c>
      <c r="G795" s="34">
        <f t="shared" si="176"/>
        <v>50.400000000000006</v>
      </c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154</v>
      </c>
      <c r="G797" s="36">
        <f>SUM(G785:G796)</f>
        <v>652.4</v>
      </c>
      <c r="H797" s="37"/>
      <c r="I797" s="37"/>
      <c r="J797" s="37"/>
      <c r="K797" s="37"/>
      <c r="L797" s="37"/>
      <c r="M797" s="38">
        <f ca="1">IFERROR(SUM(M785:M796),"")</f>
        <v>0.12083333333333324</v>
      </c>
      <c r="N797" s="36" t="s">
        <v>237</v>
      </c>
      <c r="O797" s="77">
        <v>648030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23</v>
      </c>
      <c r="G798" s="34">
        <f t="shared" si="176"/>
        <v>96.600000000000009</v>
      </c>
      <c r="H798" s="26" t="s">
        <v>19</v>
      </c>
      <c r="I798" s="26" t="s">
        <v>157</v>
      </c>
      <c r="J798" s="26" t="s">
        <v>27</v>
      </c>
      <c r="K798" s="29">
        <v>3.472222222222222E-3</v>
      </c>
      <c r="L798" s="29">
        <v>1.3888888888888888E-2</v>
      </c>
      <c r="M798" s="30">
        <f t="shared" ref="M798:M809" ca="1" si="177">IFERROR(IF(K798="","",IF(L798="",MOD(NOW()-K798,1),IF(L798&gt;=K798,L798-K798,L798+1-K798))),"")</f>
        <v>1.0416666666666666E-2</v>
      </c>
      <c r="N798" s="46" t="s">
        <v>348</v>
      </c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8</v>
      </c>
      <c r="G799" s="34">
        <f t="shared" si="176"/>
        <v>33.6</v>
      </c>
      <c r="H799" s="33" t="s">
        <v>18</v>
      </c>
      <c r="I799" s="33" t="s">
        <v>31</v>
      </c>
      <c r="J799" s="33" t="s">
        <v>154</v>
      </c>
      <c r="K799" s="29">
        <v>3.8194444444444448E-2</v>
      </c>
      <c r="L799" s="29">
        <v>6.458333333333334E-2</v>
      </c>
      <c r="M799" s="35">
        <f t="shared" ca="1" si="177"/>
        <v>2.6388888888888892E-2</v>
      </c>
      <c r="N799" s="46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30</v>
      </c>
      <c r="G800" s="34">
        <f t="shared" si="176"/>
        <v>126</v>
      </c>
      <c r="H800" s="26" t="s">
        <v>20</v>
      </c>
      <c r="I800" s="26" t="s">
        <v>31</v>
      </c>
      <c r="J800" s="26" t="s">
        <v>62</v>
      </c>
      <c r="K800" s="29">
        <v>8.6805555555555552E-2</v>
      </c>
      <c r="L800" s="29">
        <v>0.10416666666666667</v>
      </c>
      <c r="M800" s="30">
        <f t="shared" ca="1" si="177"/>
        <v>1.7361111111111119E-2</v>
      </c>
      <c r="N800" s="46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27</v>
      </c>
      <c r="G801" s="34">
        <f t="shared" si="176"/>
        <v>113.4</v>
      </c>
      <c r="H801" s="33" t="s">
        <v>18</v>
      </c>
      <c r="I801" s="33" t="s">
        <v>39</v>
      </c>
      <c r="J801" s="33" t="s">
        <v>154</v>
      </c>
      <c r="K801" s="29">
        <v>0.12847222222222221</v>
      </c>
      <c r="L801" s="29">
        <v>0.14861111111111111</v>
      </c>
      <c r="M801" s="35">
        <f t="shared" ca="1" si="177"/>
        <v>2.0138888888888901E-2</v>
      </c>
      <c r="N801" s="46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6</v>
      </c>
      <c r="G802" s="34">
        <f t="shared" si="176"/>
        <v>25.200000000000003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46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10</v>
      </c>
      <c r="G803" s="34">
        <f t="shared" si="176"/>
        <v>42</v>
      </c>
      <c r="H803" s="33"/>
      <c r="I803" s="33"/>
      <c r="J803" s="33"/>
      <c r="K803" s="29"/>
      <c r="L803" s="29"/>
      <c r="M803" s="35" t="str">
        <f t="shared" ca="1" si="177"/>
        <v/>
      </c>
      <c r="N803" s="46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10</v>
      </c>
      <c r="G804" s="34">
        <f t="shared" si="176"/>
        <v>42</v>
      </c>
      <c r="H804" s="26"/>
      <c r="I804" s="26"/>
      <c r="J804" s="26"/>
      <c r="K804" s="29"/>
      <c r="L804" s="29"/>
      <c r="M804" s="30" t="str">
        <f t="shared" ca="1" si="177"/>
        <v/>
      </c>
      <c r="N804" s="46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12</v>
      </c>
      <c r="G805" s="34">
        <f t="shared" si="176"/>
        <v>50.400000000000006</v>
      </c>
      <c r="H805" s="33"/>
      <c r="I805" s="33"/>
      <c r="J805" s="33"/>
      <c r="K805" s="29"/>
      <c r="L805" s="29"/>
      <c r="M805" s="35" t="str">
        <f t="shared" ca="1" si="177"/>
        <v/>
      </c>
      <c r="N805" s="46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10</v>
      </c>
      <c r="G806" s="34">
        <f t="shared" si="176"/>
        <v>42</v>
      </c>
      <c r="H806" s="26"/>
      <c r="I806" s="26"/>
      <c r="J806" s="26"/>
      <c r="K806" s="29"/>
      <c r="L806" s="29"/>
      <c r="M806" s="30" t="str">
        <f t="shared" ca="1" si="177"/>
        <v/>
      </c>
      <c r="N806" s="46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21</v>
      </c>
      <c r="G807" s="34">
        <f t="shared" si="176"/>
        <v>88.2</v>
      </c>
      <c r="H807" s="33"/>
      <c r="I807" s="33"/>
      <c r="J807" s="33"/>
      <c r="K807" s="29"/>
      <c r="L807" s="29"/>
      <c r="M807" s="35" t="str">
        <f t="shared" ca="1" si="177"/>
        <v/>
      </c>
      <c r="N807" s="46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8</v>
      </c>
      <c r="G808" s="34">
        <f t="shared" si="176"/>
        <v>33.6</v>
      </c>
      <c r="H808" s="26"/>
      <c r="I808" s="26"/>
      <c r="J808" s="26"/>
      <c r="K808" s="29"/>
      <c r="L808" s="29"/>
      <c r="M808" s="30" t="str">
        <f t="shared" ca="1" si="177"/>
        <v/>
      </c>
      <c r="N808" s="46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7</v>
      </c>
      <c r="G809" s="34">
        <f t="shared" si="176"/>
        <v>29.400000000000002</v>
      </c>
      <c r="H809" s="33"/>
      <c r="I809" s="33"/>
      <c r="J809" s="33"/>
      <c r="K809" s="29"/>
      <c r="L809" s="29"/>
      <c r="M809" s="35" t="str">
        <f t="shared" ca="1" si="177"/>
        <v/>
      </c>
      <c r="N809" s="46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172</v>
      </c>
      <c r="G810" s="36">
        <f>SUM(G798:G809)</f>
        <v>722.40000000000009</v>
      </c>
      <c r="H810" s="37"/>
      <c r="I810" s="37"/>
      <c r="J810" s="37"/>
      <c r="K810" s="37"/>
      <c r="L810" s="37"/>
      <c r="M810" s="38">
        <f ca="1">IFERROR(SUM(M798:M809),"")</f>
        <v>8.4027777777777812E-2</v>
      </c>
      <c r="N810" s="36" t="s">
        <v>237</v>
      </c>
      <c r="O810" s="39">
        <v>819240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326</v>
      </c>
      <c r="G811" s="40">
        <f>G797+G810</f>
        <v>1374.8000000000002</v>
      </c>
      <c r="H811" s="41"/>
      <c r="I811" s="41"/>
      <c r="J811" s="41"/>
      <c r="K811" s="41"/>
      <c r="L811" s="41"/>
      <c r="M811" s="42">
        <f ca="1">IFERROR(M797+M810,"")</f>
        <v>0.20486111111111105</v>
      </c>
      <c r="N811" s="40" t="s">
        <v>240</v>
      </c>
      <c r="O811" s="82">
        <f>IFERROR(O797+O810,"")</f>
        <v>1467270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15</v>
      </c>
      <c r="G812" s="104">
        <f>IF(F812="","",IF(E812="PC 17",F812*4.2,IF(E812="PC 19",F812*5,"")))</f>
        <v>63</v>
      </c>
      <c r="H812" s="80" t="s">
        <v>19</v>
      </c>
      <c r="I812" s="80" t="s">
        <v>157</v>
      </c>
      <c r="J812" s="80" t="s">
        <v>27</v>
      </c>
      <c r="K812" s="98">
        <v>0.43333333333333335</v>
      </c>
      <c r="L812" s="98">
        <v>0.4513888888888889</v>
      </c>
      <c r="M812" s="78">
        <f ca="1">IFERROR(IF(K812="","",IF(L812="",MOD(NOW()-K812,1),IF(L812&gt;=K812,L812-K812,L812+1-K812))),"")</f>
        <v>1.8055555555555547E-2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26</v>
      </c>
      <c r="G813" s="104">
        <f>IF(F813="","",IF(E813="PC 17",F813*4.2,IF(E813="PC 19",F813*5,"")))</f>
        <v>109.2</v>
      </c>
      <c r="H813" s="81" t="s">
        <v>20</v>
      </c>
      <c r="I813" s="81" t="s">
        <v>31</v>
      </c>
      <c r="J813" s="81" t="s">
        <v>28</v>
      </c>
      <c r="K813" s="98">
        <v>0.51736111111111116</v>
      </c>
      <c r="L813" s="98">
        <v>0.55902777777777779</v>
      </c>
      <c r="M813" s="79">
        <f ca="1">IFERROR(IF(K813="","",IF(L813="",MOD(NOW()-K813,1),IF(L813&gt;=K813,L813-K813,L813+1-K813))),"")</f>
        <v>4.166666666666663E-2</v>
      </c>
      <c r="N813" s="105" t="s">
        <v>349</v>
      </c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18</v>
      </c>
      <c r="G814" s="104">
        <f>IF(F814="","",IF(E814="PC 17",F814*4.2,IF(E814="PC 19",F814*5,"")))</f>
        <v>75.600000000000009</v>
      </c>
      <c r="H814" s="80" t="s">
        <v>20</v>
      </c>
      <c r="I814" s="80" t="s">
        <v>39</v>
      </c>
      <c r="J814" s="80" t="s">
        <v>51</v>
      </c>
      <c r="K814" s="98">
        <v>0.64583333333333337</v>
      </c>
      <c r="L814" s="98">
        <v>0.65</v>
      </c>
      <c r="M814" s="78">
        <f ca="1">IFERROR(IF(K814="","",IF(L814="",MOD(NOW()-K814,1),IF(L814&gt;=K814,L814-K814,L814+1-K814))),"")</f>
        <v>4.1666666666666519E-3</v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39</v>
      </c>
      <c r="J815" s="81" t="s">
        <v>28</v>
      </c>
      <c r="K815" s="98">
        <v>0.69861111111111107</v>
      </c>
      <c r="L815" s="98">
        <v>0.70833333333333337</v>
      </c>
      <c r="M815" s="79">
        <f ca="1">IFERROR(IF(K815="","",IF(L815="",MOD(NOW()-K815,1),IF(L815&gt;=K815,L815-K815,L815+1-K815))),"")</f>
        <v>9.7222222222222987E-3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10</v>
      </c>
      <c r="G816" s="104">
        <f>IF(F816="","",IF(E816="PC 17",F816*4.2,IF(E816="PC 19",F816*5,"")))</f>
        <v>42</v>
      </c>
      <c r="H816" s="80" t="s">
        <v>18</v>
      </c>
      <c r="I816" s="80"/>
      <c r="J816" s="80" t="s">
        <v>128</v>
      </c>
      <c r="K816" s="98">
        <v>0.72986111111111107</v>
      </c>
      <c r="L816" s="98">
        <v>0.76111111111111107</v>
      </c>
      <c r="M816" s="78">
        <f ca="1">IFERROR(IF(K816="","",IF(L816="",MOD(NOW()-K816,1),IF(L816&gt;=K816,L816-K816,L816+1-K816))),"")</f>
        <v>3.125E-2</v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18</v>
      </c>
      <c r="G817" s="104">
        <f>IF(F817="","",IF(E817="PC 17",F817*4.2,IF(E817="PC 19",F817*5,"")))</f>
        <v>75.600000000000009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10</v>
      </c>
      <c r="G818" s="104">
        <f>IF(F818="","",IF(E818="PC 17",F818*4.2,IF(E818="PC 19",F818*5,"")))</f>
        <v>42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18</v>
      </c>
      <c r="G819" s="104">
        <f>IF(F819="","",IF(E819="PC 17",F819*4.2,IF(E819="PC 19",F819*5,"")))</f>
        <v>75.600000000000009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15</v>
      </c>
      <c r="G820" s="104">
        <f>IF(F820="","",IF(E820="PC 17",F820*4.2,IF(E820="PC 19",F820*5,"")))</f>
        <v>63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15</v>
      </c>
      <c r="G821" s="104">
        <f>IF(F821="","",IF(E821="PC 17",F821*4.2,IF(E821="PC 19",F821*5,"")))</f>
        <v>63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8</v>
      </c>
      <c r="G822" s="104">
        <f>IF(F822="","",IF(E822="PC 17",F822*4.2,IF(E822="PC 19",F822*5,"")))</f>
        <v>33.6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169</v>
      </c>
      <c r="G824" s="109">
        <f>SUM(G812:G823)</f>
        <v>709.80000000000007</v>
      </c>
      <c r="H824" s="37"/>
      <c r="I824" s="37"/>
      <c r="J824" s="37"/>
      <c r="K824" s="37"/>
      <c r="L824" s="37"/>
      <c r="M824" s="110">
        <f ca="1">IFERROR(SUM(M812:M823),"")</f>
        <v>0.10486111111111113</v>
      </c>
      <c r="N824" s="109" t="s">
        <v>237</v>
      </c>
      <c r="O824" s="77">
        <v>741170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 t="s">
        <v>261</v>
      </c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169</v>
      </c>
      <c r="G838" s="111">
        <f>G824+G837</f>
        <v>709.80000000000007</v>
      </c>
      <c r="H838" s="41"/>
      <c r="I838" s="41"/>
      <c r="J838" s="41"/>
      <c r="K838" s="41"/>
      <c r="L838" s="41"/>
      <c r="M838" s="112">
        <f ca="1">IFERROR(M824+M837,"")</f>
        <v>0.10486111111111113</v>
      </c>
      <c r="N838" s="111" t="s">
        <v>240</v>
      </c>
      <c r="O838" s="82">
        <f>IFERROR(O824+O837,"")</f>
        <v>741170</v>
      </c>
    </row>
  </sheetData>
  <mergeCells count="88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554:E554"/>
    <mergeCell ref="A567:E567"/>
    <mergeCell ref="A568:E568"/>
    <mergeCell ref="A581:E581"/>
    <mergeCell ref="A594:E594"/>
    <mergeCell ref="A810:E810"/>
    <mergeCell ref="A811:E811"/>
    <mergeCell ref="A730:E730"/>
    <mergeCell ref="A743:E743"/>
    <mergeCell ref="A756:E756"/>
    <mergeCell ref="A757:E757"/>
    <mergeCell ref="A770:E770"/>
    <mergeCell ref="A675:E675"/>
    <mergeCell ref="A676:E676"/>
    <mergeCell ref="A595:E595"/>
    <mergeCell ref="A784:E784"/>
    <mergeCell ref="A797:E797"/>
    <mergeCell ref="A622:E622"/>
    <mergeCell ref="A635:E635"/>
    <mergeCell ref="A824:E824"/>
    <mergeCell ref="A837:E837"/>
    <mergeCell ref="A838:E838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</mergeCells>
  <dataValidations count="2">
    <dataValidation type="list" allowBlank="1" showErrorMessage="1" errorTitle="Valor inválido" error="Selecione PC 17 ou PC 19 da lista." sqref="E2:E13 E15:E26 E29:E431 E434:E512 E515:E610 E612:E838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808" zoomScale="50" zoomScaleNormal="50" workbookViewId="0">
      <selection activeCell="D825" sqref="D825:D83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350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237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261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261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261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261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261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261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261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261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261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237</v>
      </c>
      <c r="O27" s="39">
        <v>308500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240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351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261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261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261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237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261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261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261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261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261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261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261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261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261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261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261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237</v>
      </c>
      <c r="O54" s="39">
        <v>124290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240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352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261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261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261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261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261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261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261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261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237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261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237</v>
      </c>
      <c r="O81" s="39">
        <v>396340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240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353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234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237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237</v>
      </c>
      <c r="O108" s="39">
        <v>41230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240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237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237</v>
      </c>
      <c r="O135" s="39">
        <v>381250</v>
      </c>
    </row>
    <row r="136" spans="1:15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240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354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292</v>
      </c>
      <c r="K141" s="29">
        <v>0.71597222222222223</v>
      </c>
      <c r="L141" s="29" t="s">
        <v>355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234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234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234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234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237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356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294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237</v>
      </c>
      <c r="O162" s="39">
        <v>337120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240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261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357</v>
      </c>
      <c r="N166" s="27" t="s">
        <v>358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261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261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261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261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261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261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261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261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237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237</v>
      </c>
      <c r="O189" s="39">
        <v>747210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240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359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237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237</v>
      </c>
      <c r="O216" s="39">
        <v>468430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240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261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261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261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261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261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237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261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237</v>
      </c>
      <c r="O243" s="39">
        <v>575930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240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210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261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261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261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261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261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237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360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361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237</v>
      </c>
      <c r="O270" s="39">
        <v>483510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240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237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362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261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363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261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237</v>
      </c>
      <c r="O297" s="39">
        <v>487980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240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364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237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261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365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366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237</v>
      </c>
      <c r="O324" s="39">
        <v>609460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240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261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367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261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261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261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234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261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354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261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261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261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261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261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261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19" t="s">
        <v>236</v>
      </c>
      <c r="B338" s="120"/>
      <c r="C338" s="120"/>
      <c r="D338" s="120"/>
      <c r="E338" s="12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237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237</v>
      </c>
      <c r="O351" s="39">
        <v>437940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240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261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261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19" t="s">
        <v>236</v>
      </c>
      <c r="B365" s="120"/>
      <c r="C365" s="120"/>
      <c r="D365" s="120"/>
      <c r="E365" s="12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237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261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261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261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237</v>
      </c>
      <c r="O378" s="39">
        <v>473310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240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261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261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261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261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261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261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261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261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261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237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237</v>
      </c>
      <c r="O405" s="39">
        <v>507450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240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261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261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261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261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261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261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261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234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234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261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261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237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234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5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4">
        <f t="shared" ca="1" si="94"/>
        <v>1.5972222222222276E-2</v>
      </c>
      <c r="N421" s="96" t="s">
        <v>312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237</v>
      </c>
      <c r="O432" s="39">
        <v>229150</v>
      </c>
    </row>
    <row r="433" spans="1:15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240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368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237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234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237</v>
      </c>
      <c r="O459" s="39">
        <v>409980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240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234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234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234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234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237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237</v>
      </c>
      <c r="O486" s="39">
        <v>341550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240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369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234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234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234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234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261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261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261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261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261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261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237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237</v>
      </c>
      <c r="O513" s="39">
        <v>276610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240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237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370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371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372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237</v>
      </c>
      <c r="O540" s="39">
        <v>194990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240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373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237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261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374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261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261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261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261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261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261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261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237</v>
      </c>
      <c r="O567" s="39">
        <v>315860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240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375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237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234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261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261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261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261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261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261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261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237</v>
      </c>
      <c r="O594" s="39">
        <v>424930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240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376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331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237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234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234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237</v>
      </c>
      <c r="O621" s="39">
        <v>377360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240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237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237</v>
      </c>
      <c r="O648" s="39">
        <v>319500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240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261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377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261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261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331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261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234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261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261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261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261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261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261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261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237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261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261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378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261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261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261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237</v>
      </c>
      <c r="O675" s="39">
        <v>323580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240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261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237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237</v>
      </c>
      <c r="O702" s="39">
        <v>349730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240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237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237</v>
      </c>
      <c r="O729" s="39">
        <v>175420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240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261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261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329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261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261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261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329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261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261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261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261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261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261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261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237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379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380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237</v>
      </c>
      <c r="O756" s="39">
        <v>154160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240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261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381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261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261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261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329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261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234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261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261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261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261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382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237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>
        <v>0.82291666666666663</v>
      </c>
      <c r="M771" s="35">
        <f t="shared" ref="M771:M782" ca="1" si="172">IFERROR(IF(K771="","",IF(L771="",MOD(NOW()-K771,1),IF(L771&gt;=K771,L771-K771,L771+1-K771))),"")</f>
        <v>6.2499999999999778E-3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5</v>
      </c>
      <c r="G772" s="28">
        <f t="shared" si="171"/>
        <v>25</v>
      </c>
      <c r="H772" s="26" t="s">
        <v>20</v>
      </c>
      <c r="I772" s="26" t="s">
        <v>47</v>
      </c>
      <c r="J772" s="26" t="s">
        <v>36</v>
      </c>
      <c r="K772" s="29">
        <v>0.89027777777777772</v>
      </c>
      <c r="L772" s="29">
        <v>0.91249999999999998</v>
      </c>
      <c r="M772" s="30">
        <f t="shared" ca="1" si="172"/>
        <v>2.2222222222222254E-2</v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4</v>
      </c>
      <c r="G773" s="34">
        <f t="shared" si="171"/>
        <v>16.8</v>
      </c>
      <c r="H773" s="33" t="s">
        <v>20</v>
      </c>
      <c r="I773" s="33" t="s">
        <v>121</v>
      </c>
      <c r="J773" s="33" t="s">
        <v>113</v>
      </c>
      <c r="K773" s="29">
        <v>0.91874999999999996</v>
      </c>
      <c r="L773" s="29">
        <v>0.93402777777777779</v>
      </c>
      <c r="M773" s="35">
        <f t="shared" ca="1" si="172"/>
        <v>1.5277777777777835E-2</v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6</v>
      </c>
      <c r="G774" s="28">
        <f t="shared" si="171"/>
        <v>25.200000000000003</v>
      </c>
      <c r="H774" s="26" t="s">
        <v>20</v>
      </c>
      <c r="I774" s="26" t="s">
        <v>121</v>
      </c>
      <c r="J774" s="26" t="s">
        <v>113</v>
      </c>
      <c r="K774" s="29">
        <v>0.97777777777777775</v>
      </c>
      <c r="L774" s="29">
        <v>0.99305555555555558</v>
      </c>
      <c r="M774" s="30">
        <f t="shared" ca="1" si="172"/>
        <v>1.5277777777777835E-2</v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4</v>
      </c>
      <c r="G775" s="34">
        <f t="shared" si="171"/>
        <v>16.8</v>
      </c>
      <c r="H775" s="33" t="s">
        <v>20</v>
      </c>
      <c r="I775" s="33" t="s">
        <v>136</v>
      </c>
      <c r="J775" s="33" t="s">
        <v>74</v>
      </c>
      <c r="K775" s="29">
        <v>9.583333333333334E-2</v>
      </c>
      <c r="L775" s="29">
        <v>0.1388888888888889</v>
      </c>
      <c r="M775" s="35">
        <f t="shared" ca="1" si="172"/>
        <v>4.3055555555555555E-2</v>
      </c>
      <c r="N775" s="27" t="s">
        <v>345</v>
      </c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2</v>
      </c>
      <c r="G776" s="28">
        <f t="shared" si="171"/>
        <v>8.4</v>
      </c>
      <c r="H776" s="26" t="s">
        <v>19</v>
      </c>
      <c r="I776" s="26" t="s">
        <v>47</v>
      </c>
      <c r="J776" s="26" t="s">
        <v>27</v>
      </c>
      <c r="K776" s="29">
        <v>0.22222222222222221</v>
      </c>
      <c r="L776" s="29">
        <v>0.23958333333333334</v>
      </c>
      <c r="M776" s="30">
        <f t="shared" ca="1" si="172"/>
        <v>1.7361111111111133E-2</v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6</v>
      </c>
      <c r="G777" s="34">
        <f t="shared" si="171"/>
        <v>25.200000000000003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10</v>
      </c>
      <c r="G778" s="28">
        <f t="shared" si="171"/>
        <v>42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4</v>
      </c>
      <c r="G779" s="34">
        <f t="shared" si="171"/>
        <v>16.8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5</v>
      </c>
      <c r="G780" s="28">
        <f t="shared" si="171"/>
        <v>21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1</v>
      </c>
      <c r="G781" s="34">
        <f t="shared" si="171"/>
        <v>4.2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>IF(F782="","",IF(E782="PC 17",F782*4.2,IF(E782="PC 19",F782*5,"")))</f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57</v>
      </c>
      <c r="G783" s="36">
        <f>SUM(G771:G782)</f>
        <v>243.39999999999998</v>
      </c>
      <c r="H783" s="37"/>
      <c r="I783" s="37"/>
      <c r="J783" s="37"/>
      <c r="K783" s="37"/>
      <c r="L783" s="37"/>
      <c r="M783" s="38">
        <f ca="1">IFERROR(SUM(M771:M782),"")</f>
        <v>0.11944444444444459</v>
      </c>
      <c r="N783" s="36" t="s">
        <v>237</v>
      </c>
      <c r="O783" s="39">
        <v>265740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98</v>
      </c>
      <c r="G784" s="40">
        <f>G770+G783</f>
        <v>419.59999999999997</v>
      </c>
      <c r="H784" s="41"/>
      <c r="I784" s="41"/>
      <c r="J784" s="41"/>
      <c r="K784" s="41"/>
      <c r="L784" s="41"/>
      <c r="M784" s="42">
        <f ca="1">IFERROR(M770+M783,"")</f>
        <v>0.2333333333333335</v>
      </c>
      <c r="N784" s="40" t="s">
        <v>240</v>
      </c>
      <c r="O784" s="48">
        <f>IFERROR(O770+O783,"")</f>
        <v>437880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 t="s">
        <v>261</v>
      </c>
      <c r="F785" s="27">
        <v>4</v>
      </c>
      <c r="G785" s="34">
        <f>IF(F785="","",IF(E785="PC 17",F785*4.2,IF(E785="PC 19",F785*5,"")))</f>
        <v>16.8</v>
      </c>
      <c r="H785" s="33" t="s">
        <v>18</v>
      </c>
      <c r="I785" s="33"/>
      <c r="J785" s="33" t="s">
        <v>219</v>
      </c>
      <c r="K785" s="29">
        <v>0.30763888888888891</v>
      </c>
      <c r="L785" s="29">
        <v>0.31666666666666665</v>
      </c>
      <c r="M785" s="35">
        <f t="shared" ref="M785:M796" ca="1" si="174">IFERROR(IF(K785="","",IF(L785="",MOD(NOW()-K785,1),IF(L785&gt;=K785,L785-K785,L785+1-K785))),"")</f>
        <v>9.0277777777777457E-3</v>
      </c>
      <c r="N785" s="27" t="s">
        <v>346</v>
      </c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 t="s">
        <v>261</v>
      </c>
      <c r="F786" s="27">
        <v>11</v>
      </c>
      <c r="G786" s="34">
        <f t="shared" ref="G786:G809" si="176">IF(F786="","",IF(E786="PC 17",F786*4.2,IF(E786="PC 19",F786*5,"")))</f>
        <v>46.2</v>
      </c>
      <c r="H786" s="26" t="s">
        <v>20</v>
      </c>
      <c r="I786" s="26" t="s">
        <v>91</v>
      </c>
      <c r="J786" s="26" t="s">
        <v>207</v>
      </c>
      <c r="K786" s="29">
        <v>0.32291666666666669</v>
      </c>
      <c r="L786" s="29">
        <v>0.32500000000000001</v>
      </c>
      <c r="M786" s="30">
        <f t="shared" ca="1" si="174"/>
        <v>2.0833333333333259E-3</v>
      </c>
      <c r="N786" s="27" t="s">
        <v>347</v>
      </c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 t="s">
        <v>261</v>
      </c>
      <c r="F787" s="27">
        <v>9</v>
      </c>
      <c r="G787" s="34">
        <f t="shared" si="176"/>
        <v>37.800000000000004</v>
      </c>
      <c r="H787" s="33" t="s">
        <v>18</v>
      </c>
      <c r="I787" s="33" t="s">
        <v>47</v>
      </c>
      <c r="J787" s="33" t="s">
        <v>111</v>
      </c>
      <c r="K787" s="29">
        <v>0.40972222222222221</v>
      </c>
      <c r="L787" s="29">
        <v>0.4284722222222222</v>
      </c>
      <c r="M787" s="35">
        <f t="shared" ca="1" si="174"/>
        <v>1.8749999999999989E-2</v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 t="s">
        <v>261</v>
      </c>
      <c r="F788" s="27">
        <v>0</v>
      </c>
      <c r="G788" s="34">
        <f t="shared" si="176"/>
        <v>0</v>
      </c>
      <c r="H788" s="26" t="s">
        <v>19</v>
      </c>
      <c r="I788" s="26" t="s">
        <v>47</v>
      </c>
      <c r="J788" s="26" t="s">
        <v>35</v>
      </c>
      <c r="K788" s="29">
        <v>0.4284722222222222</v>
      </c>
      <c r="L788" s="29">
        <v>0.44930555555555557</v>
      </c>
      <c r="M788" s="30">
        <f t="shared" ca="1" si="174"/>
        <v>2.083333333333337E-2</v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 t="s">
        <v>234</v>
      </c>
      <c r="F789" s="27">
        <v>7</v>
      </c>
      <c r="G789" s="34">
        <f t="shared" si="176"/>
        <v>35</v>
      </c>
      <c r="H789" s="33" t="s">
        <v>18</v>
      </c>
      <c r="I789" s="33" t="s">
        <v>47</v>
      </c>
      <c r="J789" s="33" t="s">
        <v>128</v>
      </c>
      <c r="K789" s="29">
        <v>0.44930555555555557</v>
      </c>
      <c r="L789" s="29">
        <v>0.4597222222222222</v>
      </c>
      <c r="M789" s="35">
        <f t="shared" ca="1" si="174"/>
        <v>1.041666666666663E-2</v>
      </c>
      <c r="N789" s="27" t="s">
        <v>383</v>
      </c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 t="s">
        <v>261</v>
      </c>
      <c r="F790" s="27">
        <v>15</v>
      </c>
      <c r="G790" s="34">
        <f t="shared" si="176"/>
        <v>63</v>
      </c>
      <c r="H790" s="26" t="s">
        <v>16</v>
      </c>
      <c r="I790" s="26" t="s">
        <v>47</v>
      </c>
      <c r="J790" s="26" t="s">
        <v>32</v>
      </c>
      <c r="K790" s="29">
        <v>0.67708333333333337</v>
      </c>
      <c r="L790" s="29">
        <v>0.68055555555555558</v>
      </c>
      <c r="M790" s="30">
        <f t="shared" ca="1" si="174"/>
        <v>3.4722222222222099E-3</v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8</v>
      </c>
      <c r="G791" s="34">
        <f t="shared" si="176"/>
        <v>33.6</v>
      </c>
      <c r="H791" s="33" t="s">
        <v>16</v>
      </c>
      <c r="I791" s="33" t="s">
        <v>141</v>
      </c>
      <c r="J791" s="33" t="s">
        <v>94</v>
      </c>
      <c r="K791" s="29">
        <v>0.68055555555555558</v>
      </c>
      <c r="L791" s="29">
        <v>0.70833333333333337</v>
      </c>
      <c r="M791" s="35">
        <f t="shared" ca="1" si="174"/>
        <v>2.777777777777779E-2</v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 t="s">
        <v>19</v>
      </c>
      <c r="I792" s="26" t="s">
        <v>47</v>
      </c>
      <c r="J792" s="26" t="s">
        <v>27</v>
      </c>
      <c r="K792" s="29">
        <v>0.69236111111111109</v>
      </c>
      <c r="L792" s="29">
        <v>0.70277777777777772</v>
      </c>
      <c r="M792" s="30">
        <f t="shared" ca="1" si="174"/>
        <v>1.041666666666663E-2</v>
      </c>
      <c r="N792" s="27" t="s">
        <v>329</v>
      </c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20</v>
      </c>
      <c r="G793" s="34">
        <f t="shared" si="176"/>
        <v>84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2</v>
      </c>
      <c r="G794" s="34">
        <f t="shared" si="176"/>
        <v>8.4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6</v>
      </c>
      <c r="G795" s="34">
        <f t="shared" si="176"/>
        <v>25.200000000000003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5</v>
      </c>
      <c r="G796" s="34">
        <f t="shared" si="176"/>
        <v>21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94</v>
      </c>
      <c r="G797" s="36">
        <f>SUM(G785:G796)</f>
        <v>400.4</v>
      </c>
      <c r="H797" s="37"/>
      <c r="I797" s="37"/>
      <c r="J797" s="37"/>
      <c r="K797" s="37"/>
      <c r="L797" s="37"/>
      <c r="M797" s="38">
        <f ca="1">IFERROR(SUM(M785:M796),"")</f>
        <v>0.10277777777777769</v>
      </c>
      <c r="N797" s="36" t="s">
        <v>237</v>
      </c>
      <c r="O797" s="39">
        <v>419450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4</v>
      </c>
      <c r="G798" s="34">
        <f t="shared" si="176"/>
        <v>16.8</v>
      </c>
      <c r="H798" s="26" t="s">
        <v>20</v>
      </c>
      <c r="I798" s="26" t="s">
        <v>47</v>
      </c>
      <c r="J798" s="26" t="s">
        <v>36</v>
      </c>
      <c r="K798" s="29">
        <v>0.90277777777777779</v>
      </c>
      <c r="L798" s="29">
        <v>0.92361111111111116</v>
      </c>
      <c r="M798" s="30">
        <f t="shared" ref="M798:M809" ca="1" si="177">IFERROR(IF(K798="","",IF(L798="",MOD(NOW()-K798,1),IF(L798&gt;=K798,L798-K798,L798+1-K798))),"")</f>
        <v>2.083333333333337E-2</v>
      </c>
      <c r="N798" s="27"/>
      <c r="O798" s="47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2</v>
      </c>
      <c r="G799" s="34">
        <f t="shared" si="176"/>
        <v>8.4</v>
      </c>
      <c r="H799" s="33" t="s">
        <v>17</v>
      </c>
      <c r="I799" s="33"/>
      <c r="J799" s="33" t="s">
        <v>41</v>
      </c>
      <c r="K799" s="29">
        <v>0.22916666666666666</v>
      </c>
      <c r="L799" s="29">
        <v>0.2388888888888889</v>
      </c>
      <c r="M799" s="35">
        <f t="shared" ca="1" si="177"/>
        <v>9.7222222222222432E-3</v>
      </c>
      <c r="N799" s="27"/>
      <c r="O799" s="47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5</v>
      </c>
      <c r="G800" s="34">
        <f t="shared" si="176"/>
        <v>21</v>
      </c>
      <c r="H800" s="26"/>
      <c r="I800" s="26"/>
      <c r="J800" s="26"/>
      <c r="K800" s="29"/>
      <c r="L800" s="29"/>
      <c r="M800" s="30" t="str">
        <f t="shared" ca="1" si="177"/>
        <v/>
      </c>
      <c r="N800" s="27"/>
      <c r="O800" s="47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12</v>
      </c>
      <c r="G801" s="34">
        <f t="shared" si="176"/>
        <v>50.400000000000006</v>
      </c>
      <c r="H801" s="33"/>
      <c r="I801" s="33"/>
      <c r="J801" s="33"/>
      <c r="K801" s="29"/>
      <c r="L801" s="29"/>
      <c r="M801" s="35" t="str">
        <f t="shared" ca="1" si="177"/>
        <v/>
      </c>
      <c r="N801" s="27"/>
      <c r="O801" s="47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4</v>
      </c>
      <c r="G802" s="34">
        <f t="shared" si="176"/>
        <v>16.8</v>
      </c>
      <c r="H802" s="26"/>
      <c r="I802" s="26"/>
      <c r="J802" s="26"/>
      <c r="K802" s="29"/>
      <c r="L802" s="29"/>
      <c r="M802" s="30" t="str">
        <f t="shared" ca="1" si="177"/>
        <v/>
      </c>
      <c r="N802" s="27"/>
      <c r="O802" s="47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9</v>
      </c>
      <c r="G803" s="34">
        <f t="shared" si="176"/>
        <v>37.800000000000004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47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</v>
      </c>
      <c r="G804" s="34">
        <f t="shared" si="176"/>
        <v>8.4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47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7</v>
      </c>
      <c r="G805" s="34">
        <f t="shared" si="176"/>
        <v>29.400000000000002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47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7</v>
      </c>
      <c r="G806" s="34">
        <f t="shared" si="176"/>
        <v>29.400000000000002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47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6</v>
      </c>
      <c r="G807" s="34">
        <f t="shared" si="176"/>
        <v>25.200000000000003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47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4</v>
      </c>
      <c r="G808" s="34">
        <f t="shared" si="176"/>
        <v>16.8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47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2</v>
      </c>
      <c r="G809" s="34">
        <f t="shared" si="176"/>
        <v>8.4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47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64</v>
      </c>
      <c r="G810" s="36">
        <f>SUM(G798:G809)</f>
        <v>268.8</v>
      </c>
      <c r="H810" s="37"/>
      <c r="I810" s="37"/>
      <c r="J810" s="37"/>
      <c r="K810" s="37"/>
      <c r="L810" s="37"/>
      <c r="M810" s="38">
        <f ca="1">IFERROR(SUM(M798:M809),"")</f>
        <v>3.0555555555555614E-2</v>
      </c>
      <c r="N810" s="36" t="s">
        <v>237</v>
      </c>
      <c r="O810" s="39">
        <v>291990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158</v>
      </c>
      <c r="G811" s="40">
        <f>G797+G810</f>
        <v>669.2</v>
      </c>
      <c r="H811" s="41"/>
      <c r="I811" s="41"/>
      <c r="J811" s="41"/>
      <c r="K811" s="41"/>
      <c r="L811" s="41"/>
      <c r="M811" s="42">
        <f ca="1">IFERROR(M797+M810,"")</f>
        <v>0.1333333333333333</v>
      </c>
      <c r="N811" s="40" t="s">
        <v>240</v>
      </c>
      <c r="O811" s="43">
        <f>IFERROR(O797+O810,"")</f>
        <v>711440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19</v>
      </c>
      <c r="I812" s="80" t="s">
        <v>47</v>
      </c>
      <c r="J812" s="80" t="s">
        <v>27</v>
      </c>
      <c r="K812" s="98">
        <v>0.5</v>
      </c>
      <c r="L812" s="98">
        <v>0.52638888888888891</v>
      </c>
      <c r="M812" s="78">
        <f ca="1">IFERROR(IF(K812="","",IF(L812="",MOD(NOW()-K812,1),IF(L812&gt;=K812,L812-K812,L812+1-K812))),"")</f>
        <v>2.6388888888888906E-2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12</v>
      </c>
      <c r="G813" s="104">
        <f>IF(F813="","",IF(E813="PC 17",F813*4.2,IF(E813="PC 19",F813*5,"")))</f>
        <v>50.400000000000006</v>
      </c>
      <c r="H813" s="81" t="s">
        <v>18</v>
      </c>
      <c r="I813" s="81"/>
      <c r="J813" s="81" t="s">
        <v>128</v>
      </c>
      <c r="K813" s="98">
        <v>0.72986111111111107</v>
      </c>
      <c r="L813" s="98">
        <v>0.76111111111111107</v>
      </c>
      <c r="M813" s="79">
        <f ca="1">IFERROR(IF(K813="","",IF(L813="",MOD(NOW()-K813,1),IF(L813&gt;=K813,L813-K813,L813+1-K813))),"")</f>
        <v>3.125E-2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10</v>
      </c>
      <c r="G814" s="104">
        <f>IF(F814="","",IF(E814="PC 17",F814*4.2,IF(E814="PC 19",F814*5,"")))</f>
        <v>42</v>
      </c>
      <c r="H814" s="80"/>
      <c r="I814" s="80"/>
      <c r="J814" s="80"/>
      <c r="K814" s="98"/>
      <c r="L814" s="98"/>
      <c r="M814" s="78" t="str">
        <f ca="1">IFERROR(IF(K814="","",IF(L814="",MOD(NOW()-K814,1),IF(L814&gt;=K814,L814-K814,L814+1-K814))),"")</f>
        <v/>
      </c>
      <c r="N814" s="105"/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10</v>
      </c>
      <c r="G815" s="104">
        <f>IF(F815="","",IF(E815="PC 17",F815*4.2,IF(E815="PC 19",F815*5,"")))</f>
        <v>42</v>
      </c>
      <c r="H815" s="81"/>
      <c r="I815" s="81"/>
      <c r="J815" s="81"/>
      <c r="K815" s="98"/>
      <c r="L815" s="98"/>
      <c r="M815" s="79" t="str">
        <f ca="1">IFERROR(IF(K815="","",IF(L815="",MOD(NOW()-K815,1),IF(L815&gt;=K815,L815-K815,L815+1-K815))),"")</f>
        <v/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8</v>
      </c>
      <c r="G816" s="104">
        <f>IF(F816="","",IF(E816="PC 17",F816*4.2,IF(E816="PC 19",F816*5,"")))</f>
        <v>33.6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12</v>
      </c>
      <c r="G817" s="104">
        <f>IF(F817="","",IF(E817="PC 17",F817*4.2,IF(E817="PC 19",F817*5,"")))</f>
        <v>50.400000000000006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11</v>
      </c>
      <c r="G818" s="104">
        <f>IF(F818="","",IF(E818="PC 17",F818*4.2,IF(E818="PC 19",F818*5,"")))</f>
        <v>46.2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5</v>
      </c>
      <c r="G819" s="104">
        <f>IF(F819="","",IF(E819="PC 17",F819*4.2,IF(E819="PC 19",F819*5,"")))</f>
        <v>21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6</v>
      </c>
      <c r="G820" s="104">
        <f>IF(F820="","",IF(E820="PC 17",F820*4.2,IF(E820="PC 19",F820*5,"")))</f>
        <v>25.200000000000003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6</v>
      </c>
      <c r="G821" s="104">
        <f>IF(F821="","",IF(E821="PC 17",F821*4.2,IF(E821="PC 19",F821*5,"")))</f>
        <v>25.200000000000003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5</v>
      </c>
      <c r="G822" s="104">
        <f>IF(F822="","",IF(E822="PC 17",F822*4.2,IF(E822="PC 19",F822*5,"")))</f>
        <v>21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0</v>
      </c>
      <c r="G823" s="104">
        <f>IF(F823="","",IF(E823="PC 17",F823*4.2,IF(E823="PC 19",F823*5,"")))</f>
        <v>0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95</v>
      </c>
      <c r="G824" s="109">
        <f>SUM(G812:G823)</f>
        <v>398.99999999999994</v>
      </c>
      <c r="H824" s="37"/>
      <c r="I824" s="37"/>
      <c r="J824" s="37"/>
      <c r="K824" s="37"/>
      <c r="L824" s="37"/>
      <c r="M824" s="110">
        <f ca="1">IFERROR(SUM(M812:M823),"")</f>
        <v>5.7638888888888906E-2</v>
      </c>
      <c r="N824" s="109" t="s">
        <v>237</v>
      </c>
      <c r="O824" s="77">
        <v>441270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 t="s">
        <v>22</v>
      </c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 t="s">
        <v>22</v>
      </c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 t="s">
        <v>22</v>
      </c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 t="s">
        <v>22</v>
      </c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 t="s">
        <v>22</v>
      </c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 t="s">
        <v>22</v>
      </c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 t="s">
        <v>22</v>
      </c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 t="s">
        <v>22</v>
      </c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 t="s">
        <v>22</v>
      </c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 t="s">
        <v>22</v>
      </c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 t="s">
        <v>22</v>
      </c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 t="s">
        <v>22</v>
      </c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95</v>
      </c>
      <c r="G838" s="111">
        <f>G824+G837</f>
        <v>398.99999999999994</v>
      </c>
      <c r="H838" s="41"/>
      <c r="I838" s="41"/>
      <c r="J838" s="41"/>
      <c r="K838" s="41"/>
      <c r="L838" s="41"/>
      <c r="M838" s="112">
        <f ca="1">IFERROR(M824+M837,"")</f>
        <v>5.7638888888888906E-2</v>
      </c>
      <c r="N838" s="111" t="s">
        <v>240</v>
      </c>
      <c r="O838" s="82">
        <f>IFERROR(O824+O837,"")</f>
        <v>441270</v>
      </c>
    </row>
  </sheetData>
  <mergeCells count="93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770:E770"/>
    <mergeCell ref="A783:E783"/>
    <mergeCell ref="A702:E702"/>
    <mergeCell ref="A703:E703"/>
    <mergeCell ref="A716:E716"/>
    <mergeCell ref="A729:E729"/>
    <mergeCell ref="A730:E730"/>
    <mergeCell ref="A108:E108"/>
    <mergeCell ref="A109:E109"/>
    <mergeCell ref="A743:E743"/>
    <mergeCell ref="A756:E756"/>
    <mergeCell ref="A757:E757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805" activePane="bottomLeft" state="frozen"/>
      <selection pane="bottomLeft" activeCell="C825" sqref="C825:C83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261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384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261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261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261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261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261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261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261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261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261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261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261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19" t="s">
        <v>236</v>
      </c>
      <c r="B14" s="120"/>
      <c r="C14" s="120"/>
      <c r="D14" s="120"/>
      <c r="E14" s="12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237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261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261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385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261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261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261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261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261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261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261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261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261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261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19" t="s">
        <v>238</v>
      </c>
      <c r="B27" s="120"/>
      <c r="C27" s="120"/>
      <c r="D27" s="120"/>
      <c r="E27" s="12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237</v>
      </c>
      <c r="O27" s="39">
        <v>202230</v>
      </c>
    </row>
    <row r="28" spans="1:15" ht="18" customHeight="1">
      <c r="A28" s="122" t="s">
        <v>239</v>
      </c>
      <c r="B28" s="123"/>
      <c r="C28" s="123"/>
      <c r="D28" s="123"/>
      <c r="E28" s="12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240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261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386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261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261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261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261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261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387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261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261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261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261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261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261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19" t="s">
        <v>236</v>
      </c>
      <c r="B41" s="120"/>
      <c r="C41" s="120"/>
      <c r="D41" s="120"/>
      <c r="E41" s="12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237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261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261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261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261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261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261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261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261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261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261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261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261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19" t="s">
        <v>238</v>
      </c>
      <c r="B54" s="120"/>
      <c r="C54" s="120"/>
      <c r="D54" s="120"/>
      <c r="E54" s="12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237</v>
      </c>
      <c r="O54" s="39">
        <v>473910</v>
      </c>
    </row>
    <row r="55" spans="1:15" ht="18" customHeight="1">
      <c r="A55" s="122" t="s">
        <v>239</v>
      </c>
      <c r="B55" s="123"/>
      <c r="C55" s="123"/>
      <c r="D55" s="123"/>
      <c r="E55" s="12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240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261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261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261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388</v>
      </c>
      <c r="L58" s="29">
        <v>0.54097222222222219</v>
      </c>
      <c r="M58" s="30" t="str">
        <f t="shared" ca="1" si="13"/>
        <v/>
      </c>
      <c r="N58" s="27" t="s">
        <v>389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261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261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261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261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261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261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261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261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261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19" t="s">
        <v>236</v>
      </c>
      <c r="B68" s="120"/>
      <c r="C68" s="120"/>
      <c r="D68" s="120"/>
      <c r="E68" s="12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237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261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261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261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261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390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261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391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261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392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261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393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261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261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261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261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261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19" t="s">
        <v>238</v>
      </c>
      <c r="B81" s="120"/>
      <c r="C81" s="120"/>
      <c r="D81" s="120"/>
      <c r="E81" s="12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237</v>
      </c>
      <c r="O81" s="39">
        <v>565120</v>
      </c>
    </row>
    <row r="82" spans="1:15" ht="18" customHeight="1">
      <c r="A82" s="122" t="s">
        <v>239</v>
      </c>
      <c r="B82" s="123"/>
      <c r="C82" s="123"/>
      <c r="D82" s="123"/>
      <c r="E82" s="12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240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261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394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261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261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261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261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234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234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234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234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234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234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234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19" t="s">
        <v>236</v>
      </c>
      <c r="B95" s="120"/>
      <c r="C95" s="120"/>
      <c r="D95" s="120"/>
      <c r="E95" s="12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237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261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261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261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261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261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261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261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261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261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261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261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261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19" t="s">
        <v>238</v>
      </c>
      <c r="B108" s="120"/>
      <c r="C108" s="120"/>
      <c r="D108" s="120"/>
      <c r="E108" s="12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237</v>
      </c>
      <c r="O108" s="39">
        <v>558590</v>
      </c>
    </row>
    <row r="109" spans="1:15" ht="18" customHeight="1">
      <c r="A109" s="122" t="s">
        <v>239</v>
      </c>
      <c r="B109" s="123"/>
      <c r="C109" s="123"/>
      <c r="D109" s="123"/>
      <c r="E109" s="12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240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261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395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261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261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261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261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261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261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261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261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261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261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261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19" t="s">
        <v>236</v>
      </c>
      <c r="B122" s="120"/>
      <c r="C122" s="120"/>
      <c r="D122" s="120"/>
      <c r="E122" s="12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237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234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234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396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234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397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234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234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234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0.58603252314787824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234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290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234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234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234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234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234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19" t="s">
        <v>238</v>
      </c>
      <c r="B135" s="120"/>
      <c r="C135" s="120"/>
      <c r="D135" s="120"/>
      <c r="E135" s="12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0.78533807870343386</v>
      </c>
      <c r="N135" s="36" t="s">
        <v>237</v>
      </c>
      <c r="O135" s="39">
        <v>729290</v>
      </c>
    </row>
    <row r="136" spans="1:18" ht="18" customHeight="1">
      <c r="A136" s="122" t="s">
        <v>239</v>
      </c>
      <c r="B136" s="123"/>
      <c r="C136" s="123"/>
      <c r="D136" s="123"/>
      <c r="E136" s="12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1.1526991898145449</v>
      </c>
      <c r="N136" s="40" t="s">
        <v>240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234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234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234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398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234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292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234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234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234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234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234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234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19" t="s">
        <v>236</v>
      </c>
      <c r="B149" s="120"/>
      <c r="C149" s="120"/>
      <c r="D149" s="120"/>
      <c r="E149" s="12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237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234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354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234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261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399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261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261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261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261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261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261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261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261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261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19" t="s">
        <v>238</v>
      </c>
      <c r="B162" s="120"/>
      <c r="C162" s="120"/>
      <c r="D162" s="120"/>
      <c r="E162" s="12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237</v>
      </c>
      <c r="O162" s="39">
        <v>697320</v>
      </c>
    </row>
    <row r="163" spans="1:15" ht="18" customHeight="1">
      <c r="A163" s="122" t="s">
        <v>239</v>
      </c>
      <c r="B163" s="123"/>
      <c r="C163" s="123"/>
      <c r="D163" s="123"/>
      <c r="E163" s="12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240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234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261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261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261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261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400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261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261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261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261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261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261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261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19" t="s">
        <v>236</v>
      </c>
      <c r="B176" s="120"/>
      <c r="C176" s="120"/>
      <c r="D176" s="120"/>
      <c r="E176" s="12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237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261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261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261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261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261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261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261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261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261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261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261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261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19" t="s">
        <v>238</v>
      </c>
      <c r="B189" s="120"/>
      <c r="C189" s="120"/>
      <c r="D189" s="120"/>
      <c r="E189" s="12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237</v>
      </c>
      <c r="O189" s="39">
        <v>973580</v>
      </c>
    </row>
    <row r="190" spans="1:15" ht="18" customHeight="1">
      <c r="A190" s="122" t="s">
        <v>239</v>
      </c>
      <c r="B190" s="123"/>
      <c r="C190" s="123"/>
      <c r="D190" s="123"/>
      <c r="E190" s="12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240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261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261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261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401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261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402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261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261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261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261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261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261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261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261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19" t="s">
        <v>236</v>
      </c>
      <c r="B203" s="120"/>
      <c r="C203" s="120"/>
      <c r="D203" s="120"/>
      <c r="E203" s="12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237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261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234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261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403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261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261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261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261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261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261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261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261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261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19" t="s">
        <v>238</v>
      </c>
      <c r="B216" s="120"/>
      <c r="C216" s="120"/>
      <c r="D216" s="120"/>
      <c r="E216" s="12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237</v>
      </c>
      <c r="O216" s="45">
        <v>1060630</v>
      </c>
    </row>
    <row r="217" spans="1:15" ht="18" customHeight="1">
      <c r="A217" s="122" t="s">
        <v>239</v>
      </c>
      <c r="B217" s="123"/>
      <c r="C217" s="123"/>
      <c r="D217" s="123"/>
      <c r="E217" s="12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240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261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404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261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261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405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261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261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261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261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261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406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261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261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261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261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19" t="s">
        <v>236</v>
      </c>
      <c r="B230" s="120"/>
      <c r="C230" s="120"/>
      <c r="D230" s="120"/>
      <c r="E230" s="12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237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261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234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407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261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261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261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261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261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261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261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261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19" t="s">
        <v>238</v>
      </c>
      <c r="B243" s="120"/>
      <c r="C243" s="120"/>
      <c r="D243" s="120"/>
      <c r="E243" s="12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237</v>
      </c>
      <c r="O243" s="39">
        <v>982340</v>
      </c>
    </row>
    <row r="244" spans="1:15" ht="18" customHeight="1">
      <c r="A244" s="122" t="s">
        <v>239</v>
      </c>
      <c r="B244" s="123"/>
      <c r="C244" s="123"/>
      <c r="D244" s="123"/>
      <c r="E244" s="12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240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261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408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261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261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261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261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261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261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261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261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261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261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261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19" t="s">
        <v>236</v>
      </c>
      <c r="B257" s="120"/>
      <c r="C257" s="120"/>
      <c r="D257" s="120"/>
      <c r="E257" s="12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237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261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261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261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261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261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261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261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261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261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261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261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261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19" t="s">
        <v>238</v>
      </c>
      <c r="B270" s="120"/>
      <c r="C270" s="120"/>
      <c r="D270" s="120"/>
      <c r="E270" s="12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237</v>
      </c>
      <c r="O270" s="39">
        <v>1208450</v>
      </c>
    </row>
    <row r="271" spans="1:15" ht="18" customHeight="1">
      <c r="A271" s="122" t="s">
        <v>239</v>
      </c>
      <c r="B271" s="123"/>
      <c r="C271" s="123"/>
      <c r="D271" s="123"/>
      <c r="E271" s="12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240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261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261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261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261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261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261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261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261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261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261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261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261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19" t="s">
        <v>236</v>
      </c>
      <c r="B284" s="120"/>
      <c r="C284" s="120"/>
      <c r="D284" s="120"/>
      <c r="E284" s="12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237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261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261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261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261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261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261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261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261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261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261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261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19" t="s">
        <v>238</v>
      </c>
      <c r="B297" s="120"/>
      <c r="C297" s="120"/>
      <c r="D297" s="120"/>
      <c r="E297" s="12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237</v>
      </c>
      <c r="O297" s="39">
        <v>1049090</v>
      </c>
    </row>
    <row r="298" spans="1:15" ht="18" customHeight="1">
      <c r="A298" s="122" t="s">
        <v>239</v>
      </c>
      <c r="B298" s="123"/>
      <c r="C298" s="123"/>
      <c r="D298" s="123"/>
      <c r="E298" s="12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240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261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409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261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211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261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212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261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261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261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261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261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261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261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261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261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19" t="s">
        <v>236</v>
      </c>
      <c r="B311" s="120"/>
      <c r="C311" s="120"/>
      <c r="D311" s="120"/>
      <c r="E311" s="12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237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261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261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261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261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261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261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261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261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261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261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234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19" t="s">
        <v>238</v>
      </c>
      <c r="B324" s="120"/>
      <c r="C324" s="120"/>
      <c r="D324" s="120"/>
      <c r="E324" s="12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237</v>
      </c>
      <c r="O324" s="39">
        <v>1063720</v>
      </c>
    </row>
    <row r="325" spans="1:15" ht="18" customHeight="1">
      <c r="A325" s="122" t="s">
        <v>239</v>
      </c>
      <c r="B325" s="123"/>
      <c r="C325" s="123"/>
      <c r="D325" s="123"/>
      <c r="E325" s="12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240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261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261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261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261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234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261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261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261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261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261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261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261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19" t="s">
        <v>236</v>
      </c>
      <c r="B338" s="120"/>
      <c r="C338" s="120"/>
      <c r="D338" s="120"/>
      <c r="E338" s="12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237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261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261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261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261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261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261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410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261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261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261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411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261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261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261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19" t="s">
        <v>238</v>
      </c>
      <c r="B351" s="120"/>
      <c r="C351" s="120"/>
      <c r="D351" s="120"/>
      <c r="E351" s="12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237</v>
      </c>
      <c r="O351" s="39">
        <v>696140</v>
      </c>
    </row>
    <row r="352" spans="1:15" ht="18" customHeight="1">
      <c r="A352" s="122" t="s">
        <v>239</v>
      </c>
      <c r="B352" s="123"/>
      <c r="C352" s="123"/>
      <c r="D352" s="123"/>
      <c r="E352" s="12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240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261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261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261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354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261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261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261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261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261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261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261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261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261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236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237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261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261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261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412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261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261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261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261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261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261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261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261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261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19" t="s">
        <v>238</v>
      </c>
      <c r="B378" s="120"/>
      <c r="C378" s="120"/>
      <c r="D378" s="120"/>
      <c r="E378" s="12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237</v>
      </c>
      <c r="O378" s="39">
        <v>704750</v>
      </c>
    </row>
    <row r="379" spans="1:15" ht="18" customHeight="1">
      <c r="A379" s="122" t="s">
        <v>239</v>
      </c>
      <c r="B379" s="123"/>
      <c r="C379" s="123"/>
      <c r="D379" s="123"/>
      <c r="E379" s="12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240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261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413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261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261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400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261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261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261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261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261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261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261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261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261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19" t="s">
        <v>236</v>
      </c>
      <c r="B392" s="120"/>
      <c r="C392" s="120"/>
      <c r="D392" s="120"/>
      <c r="E392" s="12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237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234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261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414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261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261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261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261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415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261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261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261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261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261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261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19" t="s">
        <v>238</v>
      </c>
      <c r="B405" s="120"/>
      <c r="C405" s="120"/>
      <c r="D405" s="120"/>
      <c r="E405" s="12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237</v>
      </c>
      <c r="O405" s="39">
        <v>958130</v>
      </c>
    </row>
    <row r="406" spans="1:15" ht="18" customHeight="1">
      <c r="A406" s="122" t="s">
        <v>239</v>
      </c>
      <c r="B406" s="123"/>
      <c r="C406" s="123"/>
      <c r="D406" s="123"/>
      <c r="E406" s="12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240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261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261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261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261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261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261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261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261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234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261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261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234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19" t="s">
        <v>236</v>
      </c>
      <c r="B419" s="120"/>
      <c r="C419" s="120"/>
      <c r="D419" s="120"/>
      <c r="E419" s="12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237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261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261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261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261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261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261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416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261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261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261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261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261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261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19" t="s">
        <v>238</v>
      </c>
      <c r="B432" s="120"/>
      <c r="C432" s="120"/>
      <c r="D432" s="120"/>
      <c r="E432" s="12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237</v>
      </c>
      <c r="O432" s="39">
        <v>605220</v>
      </c>
    </row>
    <row r="433" spans="1:17" ht="18" customHeight="1">
      <c r="A433" s="122" t="s">
        <v>239</v>
      </c>
      <c r="B433" s="123"/>
      <c r="C433" s="123"/>
      <c r="D433" s="123"/>
      <c r="E433" s="12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240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261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216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261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261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261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261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261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261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261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261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261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261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261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19" t="s">
        <v>236</v>
      </c>
      <c r="B446" s="120"/>
      <c r="C446" s="120"/>
      <c r="D446" s="120"/>
      <c r="E446" s="12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237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234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234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234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234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234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234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234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234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219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234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234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234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19" t="s">
        <v>238</v>
      </c>
      <c r="B459" s="120"/>
      <c r="C459" s="120"/>
      <c r="D459" s="120"/>
      <c r="E459" s="12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237</v>
      </c>
      <c r="O459" s="39">
        <v>615330</v>
      </c>
    </row>
    <row r="460" spans="1:15" ht="18" customHeight="1">
      <c r="A460" s="122" t="s">
        <v>239</v>
      </c>
      <c r="B460" s="123"/>
      <c r="C460" s="123"/>
      <c r="D460" s="123"/>
      <c r="E460" s="12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240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234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417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234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418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234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234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234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393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234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234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234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234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234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234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234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19" t="s">
        <v>236</v>
      </c>
      <c r="B473" s="120"/>
      <c r="C473" s="120"/>
      <c r="D473" s="120"/>
      <c r="E473" s="12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237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234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234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234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234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234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234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234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234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234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234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234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234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19" t="s">
        <v>238</v>
      </c>
      <c r="B486" s="120"/>
      <c r="C486" s="120"/>
      <c r="D486" s="120"/>
      <c r="E486" s="12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237</v>
      </c>
      <c r="O486" s="39">
        <v>1120830</v>
      </c>
    </row>
    <row r="487" spans="1:15" ht="18" customHeight="1">
      <c r="A487" s="122" t="s">
        <v>239</v>
      </c>
      <c r="B487" s="123"/>
      <c r="C487" s="123"/>
      <c r="D487" s="123"/>
      <c r="E487" s="12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240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234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234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393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234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234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234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234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261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261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261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261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261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261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19" t="s">
        <v>236</v>
      </c>
      <c r="B500" s="120"/>
      <c r="C500" s="120"/>
      <c r="D500" s="120"/>
      <c r="E500" s="12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237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261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234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261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419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261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261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261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261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261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261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261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261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261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19" t="s">
        <v>238</v>
      </c>
      <c r="B513" s="120"/>
      <c r="C513" s="120"/>
      <c r="D513" s="120"/>
      <c r="E513" s="12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237</v>
      </c>
      <c r="O513" s="39">
        <v>416720</v>
      </c>
    </row>
    <row r="514" spans="1:15" ht="18" customHeight="1">
      <c r="A514" s="122" t="s">
        <v>239</v>
      </c>
      <c r="B514" s="123"/>
      <c r="C514" s="123"/>
      <c r="D514" s="123"/>
      <c r="E514" s="12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240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261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220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420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261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261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421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261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261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261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261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261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261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261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261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261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19" t="s">
        <v>236</v>
      </c>
      <c r="B527" s="120"/>
      <c r="C527" s="120"/>
      <c r="D527" s="120"/>
      <c r="E527" s="12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237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261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261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261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261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261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261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261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261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261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261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261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261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19" t="s">
        <v>238</v>
      </c>
      <c r="B540" s="120"/>
      <c r="C540" s="120"/>
      <c r="D540" s="120"/>
      <c r="E540" s="12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237</v>
      </c>
      <c r="O540" s="39">
        <v>404370</v>
      </c>
    </row>
    <row r="541" spans="1:15" ht="18" customHeight="1">
      <c r="A541" s="122" t="s">
        <v>239</v>
      </c>
      <c r="B541" s="123"/>
      <c r="C541" s="123"/>
      <c r="D541" s="123"/>
      <c r="E541" s="12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240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261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422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261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423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261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424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261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261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261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261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261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261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261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261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261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19" t="s">
        <v>236</v>
      </c>
      <c r="B554" s="120"/>
      <c r="C554" s="120"/>
      <c r="D554" s="120"/>
      <c r="E554" s="12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237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261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261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261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425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261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261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261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261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261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261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261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261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261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19" t="s">
        <v>238</v>
      </c>
      <c r="B567" s="120"/>
      <c r="C567" s="120"/>
      <c r="D567" s="120"/>
      <c r="E567" s="12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237</v>
      </c>
      <c r="O567" s="39">
        <v>499820</v>
      </c>
    </row>
    <row r="568" spans="1:15" ht="18" customHeight="1">
      <c r="A568" s="122" t="s">
        <v>239</v>
      </c>
      <c r="B568" s="123"/>
      <c r="C568" s="123"/>
      <c r="D568" s="123"/>
      <c r="E568" s="12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240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261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426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261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261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261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261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261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261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261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261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261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261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261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19" t="s">
        <v>236</v>
      </c>
      <c r="B581" s="120"/>
      <c r="C581" s="120"/>
      <c r="D581" s="120"/>
      <c r="E581" s="12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237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261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261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261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261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261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261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261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261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261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261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261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261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19" t="s">
        <v>238</v>
      </c>
      <c r="B594" s="120"/>
      <c r="C594" s="120"/>
      <c r="D594" s="120"/>
      <c r="E594" s="12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237</v>
      </c>
      <c r="O594" s="39">
        <v>572580</v>
      </c>
    </row>
    <row r="595" spans="1:15" ht="18" customHeight="1">
      <c r="A595" s="122" t="s">
        <v>239</v>
      </c>
      <c r="B595" s="123"/>
      <c r="C595" s="123"/>
      <c r="D595" s="123"/>
      <c r="E595" s="12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240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261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221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261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261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261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261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261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427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261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261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261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261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261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261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19" t="s">
        <v>236</v>
      </c>
      <c r="B608" s="120"/>
      <c r="C608" s="120"/>
      <c r="D608" s="120"/>
      <c r="E608" s="12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237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261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261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234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261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261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261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261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261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261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261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261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261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19" t="s">
        <v>238</v>
      </c>
      <c r="B621" s="120"/>
      <c r="C621" s="120"/>
      <c r="D621" s="120"/>
      <c r="E621" s="12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237</v>
      </c>
      <c r="O621" s="39">
        <v>414860</v>
      </c>
    </row>
    <row r="622" spans="1:15" ht="18" customHeight="1">
      <c r="A622" s="122" t="s">
        <v>239</v>
      </c>
      <c r="B622" s="123"/>
      <c r="C622" s="123"/>
      <c r="D622" s="123"/>
      <c r="E622" s="12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240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261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211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261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261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221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261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261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428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261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221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261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261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261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261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261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261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19" t="s">
        <v>236</v>
      </c>
      <c r="B635" s="120"/>
      <c r="C635" s="120"/>
      <c r="D635" s="120"/>
      <c r="E635" s="12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237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261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429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261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261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261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261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261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261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261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261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261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261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261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19" t="s">
        <v>238</v>
      </c>
      <c r="B648" s="120"/>
      <c r="C648" s="120"/>
      <c r="D648" s="120"/>
      <c r="E648" s="12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237</v>
      </c>
      <c r="O648" s="39">
        <v>284850</v>
      </c>
    </row>
    <row r="649" spans="1:15" ht="18" customHeight="1">
      <c r="A649" s="122" t="s">
        <v>239</v>
      </c>
      <c r="B649" s="123"/>
      <c r="C649" s="123"/>
      <c r="D649" s="123"/>
      <c r="E649" s="12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240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221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430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19" t="s">
        <v>236</v>
      </c>
      <c r="B662" s="120"/>
      <c r="C662" s="120"/>
      <c r="D662" s="120"/>
      <c r="E662" s="12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237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221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431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261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261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261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261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261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261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261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19" t="s">
        <v>238</v>
      </c>
      <c r="B675" s="120"/>
      <c r="C675" s="120"/>
      <c r="D675" s="120"/>
      <c r="E675" s="121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237</v>
      </c>
      <c r="O675" s="39">
        <v>486620</v>
      </c>
    </row>
    <row r="676" spans="1:15" ht="18" customHeight="1">
      <c r="A676" s="122" t="s">
        <v>239</v>
      </c>
      <c r="B676" s="123"/>
      <c r="C676" s="123"/>
      <c r="D676" s="123"/>
      <c r="E676" s="124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240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261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261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261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261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261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261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261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261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261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261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261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261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19" t="s">
        <v>236</v>
      </c>
      <c r="B689" s="120"/>
      <c r="C689" s="120"/>
      <c r="D689" s="120"/>
      <c r="E689" s="121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237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261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234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432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234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433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261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261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261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261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261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261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261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261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261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19" t="s">
        <v>238</v>
      </c>
      <c r="B702" s="120"/>
      <c r="C702" s="120"/>
      <c r="D702" s="120"/>
      <c r="E702" s="121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237</v>
      </c>
      <c r="O702" s="39">
        <v>988790</v>
      </c>
    </row>
    <row r="703" spans="1:15" ht="18" customHeight="1">
      <c r="A703" s="122" t="s">
        <v>239</v>
      </c>
      <c r="B703" s="123"/>
      <c r="C703" s="123"/>
      <c r="D703" s="123"/>
      <c r="E703" s="124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240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261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261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261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261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261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261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261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261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261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261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261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261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19" t="s">
        <v>236</v>
      </c>
      <c r="B716" s="120"/>
      <c r="C716" s="120"/>
      <c r="D716" s="120"/>
      <c r="E716" s="121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237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261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234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261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261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261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261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261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434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261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234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234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234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261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19" t="s">
        <v>238</v>
      </c>
      <c r="B729" s="120"/>
      <c r="C729" s="120"/>
      <c r="D729" s="120"/>
      <c r="E729" s="121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237</v>
      </c>
      <c r="O729" s="39">
        <v>852470</v>
      </c>
    </row>
    <row r="730" spans="1:15" ht="18" customHeight="1">
      <c r="A730" s="122" t="s">
        <v>239</v>
      </c>
      <c r="B730" s="123"/>
      <c r="C730" s="123"/>
      <c r="D730" s="123"/>
      <c r="E730" s="124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240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261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261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435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261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261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436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261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261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261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261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261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261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261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261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19" t="s">
        <v>236</v>
      </c>
      <c r="B743" s="120"/>
      <c r="C743" s="120"/>
      <c r="D743" s="120"/>
      <c r="E743" s="121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237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261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261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261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261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261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261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261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261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261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261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261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261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19" t="s">
        <v>238</v>
      </c>
      <c r="B756" s="120"/>
      <c r="C756" s="120"/>
      <c r="D756" s="120"/>
      <c r="E756" s="121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237</v>
      </c>
      <c r="O756" s="39">
        <v>545970</v>
      </c>
    </row>
    <row r="757" spans="1:15" ht="18" customHeight="1">
      <c r="A757" s="122" t="s">
        <v>239</v>
      </c>
      <c r="B757" s="123"/>
      <c r="C757" s="123"/>
      <c r="D757" s="123"/>
      <c r="E757" s="124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240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344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261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261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19" t="s">
        <v>236</v>
      </c>
      <c r="B770" s="120"/>
      <c r="C770" s="120"/>
      <c r="D770" s="120"/>
      <c r="E770" s="121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237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261</v>
      </c>
      <c r="F771" s="27">
        <v>30</v>
      </c>
      <c r="G771" s="34">
        <f t="shared" ref="G771:G782" si="171">IF(F771="","",IF(E771="PC 17",F771*4.2,IF(E771="PC 19",F771*5,"")))</f>
        <v>126</v>
      </c>
      <c r="H771" s="33" t="s">
        <v>18</v>
      </c>
      <c r="I771" s="33" t="s">
        <v>57</v>
      </c>
      <c r="J771" s="33" t="s">
        <v>154</v>
      </c>
      <c r="K771" s="29">
        <v>0.97222222222222221</v>
      </c>
      <c r="L771" s="29">
        <v>3.472222222222222E-3</v>
      </c>
      <c r="M771" s="35">
        <f t="shared" ref="M771:M782" ca="1" si="172">IFERROR(IF(K771="","",IF(L771="",MOD(NOW()-K771,1),IF(L771&gt;=K771,L771-K771,L771+1-K771))),"")</f>
        <v>3.1250000000000111E-2</v>
      </c>
      <c r="N771" s="27" t="s">
        <v>433</v>
      </c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234</v>
      </c>
      <c r="F772" s="27">
        <v>12</v>
      </c>
      <c r="G772" s="28">
        <f t="shared" si="171"/>
        <v>60</v>
      </c>
      <c r="H772" s="26" t="s">
        <v>20</v>
      </c>
      <c r="I772" s="26" t="s">
        <v>52</v>
      </c>
      <c r="J772" s="26" t="s">
        <v>62</v>
      </c>
      <c r="K772" s="29">
        <v>5.2083333333333336E-2</v>
      </c>
      <c r="L772" s="29">
        <v>5.6944444444444443E-2</v>
      </c>
      <c r="M772" s="30">
        <f t="shared" ca="1" si="172"/>
        <v>4.8611111111111077E-3</v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261</v>
      </c>
      <c r="F773" s="27">
        <v>25</v>
      </c>
      <c r="G773" s="34">
        <f t="shared" si="171"/>
        <v>105</v>
      </c>
      <c r="H773" s="33" t="s">
        <v>18</v>
      </c>
      <c r="I773" s="33" t="s">
        <v>75</v>
      </c>
      <c r="J773" s="33" t="s">
        <v>100</v>
      </c>
      <c r="K773" s="29">
        <v>0.1423611111111111</v>
      </c>
      <c r="L773" s="29">
        <v>0.15972222222222221</v>
      </c>
      <c r="M773" s="35">
        <f t="shared" ca="1" si="172"/>
        <v>1.7361111111111105E-2</v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261</v>
      </c>
      <c r="F774" s="27">
        <v>24</v>
      </c>
      <c r="G774" s="28">
        <f t="shared" si="171"/>
        <v>100.80000000000001</v>
      </c>
      <c r="H774" s="26" t="s">
        <v>18</v>
      </c>
      <c r="I774" s="26" t="s">
        <v>75</v>
      </c>
      <c r="J774" s="26" t="s">
        <v>100</v>
      </c>
      <c r="K774" s="29">
        <v>0.2</v>
      </c>
      <c r="L774" s="29">
        <v>0.29166666666666669</v>
      </c>
      <c r="M774" s="30">
        <f t="shared" ca="1" si="172"/>
        <v>9.1666666666666674E-2</v>
      </c>
      <c r="N774" s="27" t="s">
        <v>437</v>
      </c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261</v>
      </c>
      <c r="F775" s="27">
        <v>6</v>
      </c>
      <c r="G775" s="34">
        <f t="shared" si="171"/>
        <v>25.200000000000003</v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261</v>
      </c>
      <c r="F776" s="27">
        <v>15</v>
      </c>
      <c r="G776" s="28">
        <f t="shared" si="171"/>
        <v>63</v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261</v>
      </c>
      <c r="F777" s="27">
        <v>12</v>
      </c>
      <c r="G777" s="34">
        <f t="shared" si="171"/>
        <v>50.400000000000006</v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261</v>
      </c>
      <c r="F778" s="27">
        <v>12</v>
      </c>
      <c r="G778" s="28">
        <f t="shared" si="171"/>
        <v>50.400000000000006</v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30</v>
      </c>
      <c r="E779" s="62" t="s">
        <v>261</v>
      </c>
      <c r="F779" s="27">
        <v>11</v>
      </c>
      <c r="G779" s="34">
        <f t="shared" si="171"/>
        <v>46.2</v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30</v>
      </c>
      <c r="E780" s="62" t="s">
        <v>261</v>
      </c>
      <c r="F780" s="27">
        <v>16</v>
      </c>
      <c r="G780" s="28">
        <f t="shared" si="171"/>
        <v>67.2</v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30</v>
      </c>
      <c r="E781" s="62" t="s">
        <v>261</v>
      </c>
      <c r="F781" s="27">
        <v>5</v>
      </c>
      <c r="G781" s="34">
        <f t="shared" si="171"/>
        <v>21</v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30</v>
      </c>
      <c r="E782" s="62" t="s">
        <v>261</v>
      </c>
      <c r="F782" s="27">
        <v>0</v>
      </c>
      <c r="G782" s="28">
        <f t="shared" si="171"/>
        <v>0</v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19" t="s">
        <v>238</v>
      </c>
      <c r="B783" s="120"/>
      <c r="C783" s="120"/>
      <c r="D783" s="120"/>
      <c r="E783" s="121">
        <f>SUM(E771:E782)</f>
        <v>0</v>
      </c>
      <c r="F783" s="36">
        <f>SUM(F771:F782)</f>
        <v>168</v>
      </c>
      <c r="G783" s="36">
        <f>SUM(G771:G782)</f>
        <v>715.2</v>
      </c>
      <c r="H783" s="37"/>
      <c r="I783" s="37"/>
      <c r="J783" s="37"/>
      <c r="K783" s="61"/>
      <c r="L783" s="61"/>
      <c r="M783" s="38">
        <f ca="1">IFERROR(SUM(M771:M782),"")</f>
        <v>0.14513888888888898</v>
      </c>
      <c r="N783" s="36" t="s">
        <v>237</v>
      </c>
      <c r="O783" s="39">
        <v>747380</v>
      </c>
    </row>
    <row r="784" spans="1:15" ht="18" customHeight="1">
      <c r="A784" s="122" t="s">
        <v>239</v>
      </c>
      <c r="B784" s="123"/>
      <c r="C784" s="123"/>
      <c r="D784" s="123"/>
      <c r="E784" s="124">
        <f>E770+E783</f>
        <v>0</v>
      </c>
      <c r="F784" s="40">
        <f>F770+F783</f>
        <v>176</v>
      </c>
      <c r="G784" s="40">
        <f>G770+G783</f>
        <v>748.80000000000007</v>
      </c>
      <c r="H784" s="41"/>
      <c r="I784" s="41"/>
      <c r="J784" s="41"/>
      <c r="K784" s="63"/>
      <c r="L784" s="63"/>
      <c r="M784" s="42">
        <f ca="1">IFERROR(M770+M783,"")</f>
        <v>0.60902777777777783</v>
      </c>
      <c r="N784" s="40" t="s">
        <v>240</v>
      </c>
      <c r="O784" s="48">
        <f>IFERROR(O770+O783,"")</f>
        <v>786740</v>
      </c>
    </row>
    <row r="785" spans="1:15" ht="15" customHeight="1">
      <c r="A785" s="69">
        <v>46233</v>
      </c>
      <c r="B785" s="32">
        <v>0.33333333333333298</v>
      </c>
      <c r="C785" s="33" t="s">
        <v>29</v>
      </c>
      <c r="D785" s="62" t="s">
        <v>22</v>
      </c>
      <c r="E785" s="62"/>
      <c r="F785" s="27">
        <v>0</v>
      </c>
      <c r="G785" s="34" t="str">
        <f>IF(F785="","",IF(E785="PC 17",F785*4.2,IF(E785="PC 19",F785*5,"")))</f>
        <v/>
      </c>
      <c r="H785" s="33" t="s">
        <v>16</v>
      </c>
      <c r="I785" s="33"/>
      <c r="J785" s="33" t="s">
        <v>86</v>
      </c>
      <c r="K785" s="29">
        <v>0.29166666666666669</v>
      </c>
      <c r="L785" s="29">
        <v>0.56041666666666667</v>
      </c>
      <c r="M785" s="35">
        <f t="shared" ref="M785:M796" ca="1" si="174">IFERROR(IF(K785="","",IF(L785="",MOD(NOW()-K785,1),IF(L785&gt;=K785,L785-K785,L785+1-K785))),"")</f>
        <v>0.26874999999999999</v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33" t="s">
        <v>29</v>
      </c>
      <c r="D786" s="62" t="s">
        <v>22</v>
      </c>
      <c r="E786" s="59"/>
      <c r="F786" s="27">
        <v>0</v>
      </c>
      <c r="G786" s="34" t="str">
        <f t="shared" ref="G786:G809" si="176">IF(F786="","",IF(E786="PC 17",F786*4.2,IF(E786="PC 19",F786*5,"")))</f>
        <v/>
      </c>
      <c r="H786" s="26"/>
      <c r="I786" s="26"/>
      <c r="J786" s="26"/>
      <c r="K786" s="29"/>
      <c r="L786" s="29"/>
      <c r="M786" s="30" t="str">
        <f t="shared" ca="1" si="174"/>
        <v/>
      </c>
      <c r="N786" s="27" t="s">
        <v>438</v>
      </c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 t="s">
        <v>29</v>
      </c>
      <c r="D787" s="62" t="s">
        <v>22</v>
      </c>
      <c r="E787" s="62"/>
      <c r="F787" s="27">
        <v>0</v>
      </c>
      <c r="G787" s="34" t="str">
        <f t="shared" si="176"/>
        <v/>
      </c>
      <c r="H787" s="33" t="s">
        <v>18</v>
      </c>
      <c r="I787" s="33" t="s">
        <v>75</v>
      </c>
      <c r="J787" s="33" t="s">
        <v>100</v>
      </c>
      <c r="K787" s="29">
        <v>0.61111111111111116</v>
      </c>
      <c r="L787" s="29">
        <v>0.67708333333333337</v>
      </c>
      <c r="M787" s="35">
        <f t="shared" ca="1" si="174"/>
        <v>6.597222222222221E-2</v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33" t="s">
        <v>29</v>
      </c>
      <c r="D788" s="62" t="s">
        <v>22</v>
      </c>
      <c r="E788" s="59"/>
      <c r="F788" s="27">
        <v>0</v>
      </c>
      <c r="G788" s="34" t="str">
        <f t="shared" si="176"/>
        <v/>
      </c>
      <c r="H788" s="26" t="s">
        <v>18</v>
      </c>
      <c r="I788" s="26" t="s">
        <v>75</v>
      </c>
      <c r="J788" s="26" t="s">
        <v>221</v>
      </c>
      <c r="K788" s="29">
        <v>0.67708333333333337</v>
      </c>
      <c r="L788" s="29">
        <v>0.79166666666666663</v>
      </c>
      <c r="M788" s="30">
        <f t="shared" ca="1" si="174"/>
        <v>0.11458333333333326</v>
      </c>
      <c r="N788" s="27" t="s">
        <v>439</v>
      </c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 t="s">
        <v>29</v>
      </c>
      <c r="D789" s="62" t="s">
        <v>22</v>
      </c>
      <c r="E789" s="62"/>
      <c r="F789" s="27">
        <v>0</v>
      </c>
      <c r="G789" s="34" t="str">
        <f t="shared" si="176"/>
        <v/>
      </c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33" t="s">
        <v>29</v>
      </c>
      <c r="D790" s="62" t="s">
        <v>22</v>
      </c>
      <c r="E790" s="59"/>
      <c r="F790" s="27">
        <v>0</v>
      </c>
      <c r="G790" s="34" t="str">
        <f t="shared" si="176"/>
        <v/>
      </c>
      <c r="H790" s="26"/>
      <c r="I790" s="26"/>
      <c r="J790" s="26"/>
      <c r="K790" s="29"/>
      <c r="L790" s="29"/>
      <c r="M790" s="30" t="str">
        <f t="shared" ca="1" si="174"/>
        <v/>
      </c>
      <c r="N790" s="27" t="s">
        <v>440</v>
      </c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 t="s">
        <v>29</v>
      </c>
      <c r="D791" s="62" t="s">
        <v>22</v>
      </c>
      <c r="E791" s="62" t="s">
        <v>261</v>
      </c>
      <c r="F791" s="27">
        <v>15</v>
      </c>
      <c r="G791" s="34">
        <f t="shared" si="176"/>
        <v>63</v>
      </c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33" t="s">
        <v>29</v>
      </c>
      <c r="D792" s="62" t="s">
        <v>22</v>
      </c>
      <c r="E792" s="59" t="s">
        <v>261</v>
      </c>
      <c r="F792" s="27">
        <v>7</v>
      </c>
      <c r="G792" s="34">
        <f t="shared" si="176"/>
        <v>29.400000000000002</v>
      </c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 t="s">
        <v>29</v>
      </c>
      <c r="D793" s="62" t="s">
        <v>22</v>
      </c>
      <c r="E793" s="62" t="s">
        <v>261</v>
      </c>
      <c r="F793" s="27">
        <v>0</v>
      </c>
      <c r="G793" s="34">
        <f t="shared" si="176"/>
        <v>0</v>
      </c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33" t="s">
        <v>29</v>
      </c>
      <c r="D794" s="62" t="s">
        <v>22</v>
      </c>
      <c r="E794" s="59" t="s">
        <v>261</v>
      </c>
      <c r="F794" s="27">
        <v>0</v>
      </c>
      <c r="G794" s="34">
        <f t="shared" si="176"/>
        <v>0</v>
      </c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 t="s">
        <v>29</v>
      </c>
      <c r="D795" s="62" t="s">
        <v>22</v>
      </c>
      <c r="E795" s="62" t="s">
        <v>261</v>
      </c>
      <c r="F795" s="27">
        <v>0</v>
      </c>
      <c r="G795" s="34">
        <f t="shared" si="176"/>
        <v>0</v>
      </c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33" t="s">
        <v>29</v>
      </c>
      <c r="D796" s="62" t="s">
        <v>22</v>
      </c>
      <c r="E796" s="59" t="s">
        <v>261</v>
      </c>
      <c r="F796" s="27">
        <v>0</v>
      </c>
      <c r="G796" s="34">
        <f t="shared" si="176"/>
        <v>0</v>
      </c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19" t="s">
        <v>236</v>
      </c>
      <c r="B797" s="120"/>
      <c r="C797" s="120"/>
      <c r="D797" s="120"/>
      <c r="E797" s="121">
        <f>SUM(E785:E796)</f>
        <v>0</v>
      </c>
      <c r="F797" s="36">
        <f>SUM(F785:F796)</f>
        <v>22</v>
      </c>
      <c r="G797" s="36">
        <f>SUM(G785:G796)</f>
        <v>92.4</v>
      </c>
      <c r="H797" s="37"/>
      <c r="I797" s="37"/>
      <c r="J797" s="37"/>
      <c r="K797" s="61"/>
      <c r="L797" s="61"/>
      <c r="M797" s="38">
        <f ca="1">IFERROR(SUM(M785:M796),"")</f>
        <v>0.44930555555555546</v>
      </c>
      <c r="N797" s="36" t="s">
        <v>237</v>
      </c>
      <c r="O797" s="39">
        <v>99040</v>
      </c>
    </row>
    <row r="798" spans="1:15" ht="15" customHeight="1">
      <c r="A798" s="68">
        <v>46233</v>
      </c>
      <c r="B798" s="25">
        <v>0.83333333333333304</v>
      </c>
      <c r="C798" s="26" t="s">
        <v>21</v>
      </c>
      <c r="D798" s="59" t="s">
        <v>22</v>
      </c>
      <c r="E798" s="59" t="s">
        <v>261</v>
      </c>
      <c r="F798" s="27">
        <v>0</v>
      </c>
      <c r="G798" s="34">
        <f t="shared" si="176"/>
        <v>0</v>
      </c>
      <c r="H798" s="26" t="s">
        <v>18</v>
      </c>
      <c r="I798" s="26" t="s">
        <v>75</v>
      </c>
      <c r="J798" s="26" t="s">
        <v>100</v>
      </c>
      <c r="K798" s="29">
        <v>0.79166666666666663</v>
      </c>
      <c r="L798" s="29">
        <v>0.89583333333333337</v>
      </c>
      <c r="M798" s="30">
        <f t="shared" ref="M798:M809" ca="1" si="177">IFERROR(IF(K798="","",IF(L798="",MOD(NOW()-K798,1),IF(L798&gt;=K798,L798-K798,L798+1-K798))),"")</f>
        <v>0.10416666666666674</v>
      </c>
      <c r="N798" s="27"/>
      <c r="O798" s="60"/>
    </row>
    <row r="799" spans="1:15" ht="15" customHeight="1">
      <c r="A799" s="69">
        <v>46233</v>
      </c>
      <c r="B799" s="32">
        <f t="shared" ref="B799:B809" si="178">B798+TIME(0,60,0)</f>
        <v>0.87499999999999967</v>
      </c>
      <c r="C799" s="26" t="s">
        <v>21</v>
      </c>
      <c r="D799" s="59" t="s">
        <v>22</v>
      </c>
      <c r="E799" s="59" t="s">
        <v>261</v>
      </c>
      <c r="F799" s="27">
        <v>0</v>
      </c>
      <c r="G799" s="34">
        <f t="shared" si="176"/>
        <v>0</v>
      </c>
      <c r="H799" s="26" t="s">
        <v>18</v>
      </c>
      <c r="I799" s="33" t="s">
        <v>75</v>
      </c>
      <c r="J799" s="26" t="s">
        <v>100</v>
      </c>
      <c r="K799" s="29">
        <v>0.91666666666666663</v>
      </c>
      <c r="L799" s="29">
        <v>0.95138888888888884</v>
      </c>
      <c r="M799" s="35">
        <f t="shared" ca="1" si="177"/>
        <v>3.472222222222221E-2</v>
      </c>
      <c r="N799" s="27"/>
      <c r="O799" s="60"/>
    </row>
    <row r="800" spans="1:15" ht="15" customHeight="1">
      <c r="A800" s="68">
        <v>46233</v>
      </c>
      <c r="B800" s="25">
        <f t="shared" si="178"/>
        <v>0.9166666666666663</v>
      </c>
      <c r="C800" s="26" t="s">
        <v>21</v>
      </c>
      <c r="D800" s="59" t="s">
        <v>22</v>
      </c>
      <c r="E800" s="59" t="s">
        <v>261</v>
      </c>
      <c r="F800" s="27">
        <v>14</v>
      </c>
      <c r="G800" s="34">
        <f t="shared" si="176"/>
        <v>58.800000000000004</v>
      </c>
      <c r="H800" s="26" t="s">
        <v>19</v>
      </c>
      <c r="I800" s="26" t="s">
        <v>160</v>
      </c>
      <c r="J800" s="26" t="s">
        <v>27</v>
      </c>
      <c r="K800" s="29">
        <v>0.14930555555555555</v>
      </c>
      <c r="L800" s="29">
        <v>0.16111111111111112</v>
      </c>
      <c r="M800" s="30">
        <f t="shared" ca="1" si="177"/>
        <v>1.1805555555555569E-2</v>
      </c>
      <c r="N800" s="27"/>
      <c r="O800" s="60"/>
    </row>
    <row r="801" spans="1:15" ht="15" customHeight="1">
      <c r="A801" s="69">
        <v>46233</v>
      </c>
      <c r="B801" s="32">
        <f t="shared" si="178"/>
        <v>0.95833333333333293</v>
      </c>
      <c r="C801" s="26" t="s">
        <v>21</v>
      </c>
      <c r="D801" s="59" t="s">
        <v>22</v>
      </c>
      <c r="E801" s="59" t="s">
        <v>261</v>
      </c>
      <c r="F801" s="27">
        <v>20</v>
      </c>
      <c r="G801" s="34">
        <f t="shared" si="176"/>
        <v>84</v>
      </c>
      <c r="H801" s="33" t="s">
        <v>20</v>
      </c>
      <c r="I801" s="33" t="s">
        <v>57</v>
      </c>
      <c r="J801" s="33" t="s">
        <v>51</v>
      </c>
      <c r="K801" s="29">
        <v>0.17916666666666667</v>
      </c>
      <c r="L801" s="29">
        <v>0.18611111111111112</v>
      </c>
      <c r="M801" s="35">
        <f t="shared" ca="1" si="177"/>
        <v>6.9444444444444475E-3</v>
      </c>
      <c r="N801" s="27" t="s">
        <v>441</v>
      </c>
      <c r="O801" s="60"/>
    </row>
    <row r="802" spans="1:15" ht="15" customHeight="1">
      <c r="A802" s="68">
        <v>46233</v>
      </c>
      <c r="B802" s="25">
        <f t="shared" si="178"/>
        <v>0.99999999999999956</v>
      </c>
      <c r="C802" s="26" t="s">
        <v>21</v>
      </c>
      <c r="D802" s="59" t="s">
        <v>22</v>
      </c>
      <c r="E802" s="59" t="s">
        <v>261</v>
      </c>
      <c r="F802" s="27">
        <v>10</v>
      </c>
      <c r="G802" s="34">
        <f t="shared" si="176"/>
        <v>42</v>
      </c>
      <c r="H802" s="26" t="s">
        <v>17</v>
      </c>
      <c r="I802" s="26"/>
      <c r="J802" s="26" t="s">
        <v>41</v>
      </c>
      <c r="K802" s="29">
        <v>0.22916666666666666</v>
      </c>
      <c r="L802" s="29">
        <v>0.2388888888888889</v>
      </c>
      <c r="M802" s="30">
        <f t="shared" ca="1" si="177"/>
        <v>9.7222222222222432E-3</v>
      </c>
      <c r="N802" s="27"/>
      <c r="O802" s="60"/>
    </row>
    <row r="803" spans="1:15" ht="15" customHeight="1">
      <c r="A803" s="69">
        <v>46233</v>
      </c>
      <c r="B803" s="32">
        <f t="shared" si="178"/>
        <v>1.0416666666666663</v>
      </c>
      <c r="C803" s="26" t="s">
        <v>21</v>
      </c>
      <c r="D803" s="59" t="s">
        <v>22</v>
      </c>
      <c r="E803" s="59" t="s">
        <v>261</v>
      </c>
      <c r="F803" s="27">
        <v>22</v>
      </c>
      <c r="G803" s="34">
        <f t="shared" si="176"/>
        <v>92.4</v>
      </c>
      <c r="H803" s="33"/>
      <c r="I803" s="33"/>
      <c r="J803" s="33"/>
      <c r="K803" s="29"/>
      <c r="L803" s="29"/>
      <c r="M803" s="35" t="str">
        <f t="shared" ca="1" si="177"/>
        <v/>
      </c>
      <c r="N803" s="27"/>
      <c r="O803" s="60"/>
    </row>
    <row r="804" spans="1:15" ht="15" customHeight="1">
      <c r="A804" s="68">
        <v>46233</v>
      </c>
      <c r="B804" s="25">
        <f t="shared" si="178"/>
        <v>1.083333333333333</v>
      </c>
      <c r="C804" s="26" t="s">
        <v>21</v>
      </c>
      <c r="D804" s="59" t="s">
        <v>22</v>
      </c>
      <c r="E804" s="59" t="s">
        <v>261</v>
      </c>
      <c r="F804" s="27">
        <v>21</v>
      </c>
      <c r="G804" s="34">
        <f t="shared" si="176"/>
        <v>88.2</v>
      </c>
      <c r="H804" s="26"/>
      <c r="I804" s="26"/>
      <c r="J804" s="26"/>
      <c r="K804" s="29"/>
      <c r="L804" s="29"/>
      <c r="M804" s="30" t="str">
        <f t="shared" ca="1" si="177"/>
        <v/>
      </c>
      <c r="N804" s="27"/>
      <c r="O804" s="60"/>
    </row>
    <row r="805" spans="1:15" ht="15" customHeight="1">
      <c r="A805" s="69">
        <v>46233</v>
      </c>
      <c r="B805" s="32">
        <f t="shared" si="178"/>
        <v>1.1249999999999998</v>
      </c>
      <c r="C805" s="26" t="s">
        <v>21</v>
      </c>
      <c r="D805" s="59" t="s">
        <v>22</v>
      </c>
      <c r="E805" s="59" t="s">
        <v>261</v>
      </c>
      <c r="F805" s="27">
        <v>18</v>
      </c>
      <c r="G805" s="34">
        <f t="shared" si="176"/>
        <v>75.600000000000009</v>
      </c>
      <c r="H805" s="33"/>
      <c r="I805" s="33"/>
      <c r="J805" s="33"/>
      <c r="K805" s="29"/>
      <c r="L805" s="29"/>
      <c r="M805" s="35" t="str">
        <f t="shared" ca="1" si="177"/>
        <v/>
      </c>
      <c r="N805" s="27"/>
      <c r="O805" s="60"/>
    </row>
    <row r="806" spans="1:15" ht="15" customHeight="1">
      <c r="A806" s="68">
        <v>46233</v>
      </c>
      <c r="B806" s="25">
        <f t="shared" si="178"/>
        <v>1.1666666666666665</v>
      </c>
      <c r="C806" s="26" t="s">
        <v>21</v>
      </c>
      <c r="D806" s="59" t="s">
        <v>22</v>
      </c>
      <c r="E806" s="59" t="s">
        <v>261</v>
      </c>
      <c r="F806" s="27">
        <v>15</v>
      </c>
      <c r="G806" s="34">
        <f t="shared" si="176"/>
        <v>63</v>
      </c>
      <c r="H806" s="26"/>
      <c r="I806" s="26"/>
      <c r="J806" s="26"/>
      <c r="K806" s="29"/>
      <c r="L806" s="29"/>
      <c r="M806" s="30" t="str">
        <f t="shared" ca="1" si="177"/>
        <v/>
      </c>
      <c r="N806" s="27"/>
      <c r="O806" s="60"/>
    </row>
    <row r="807" spans="1:15" ht="15" customHeight="1">
      <c r="A807" s="69">
        <v>46233</v>
      </c>
      <c r="B807" s="32">
        <f t="shared" si="178"/>
        <v>1.2083333333333333</v>
      </c>
      <c r="C807" s="26" t="s">
        <v>21</v>
      </c>
      <c r="D807" s="59" t="s">
        <v>22</v>
      </c>
      <c r="E807" s="59" t="s">
        <v>261</v>
      </c>
      <c r="F807" s="27">
        <v>19</v>
      </c>
      <c r="G807" s="34">
        <f t="shared" si="176"/>
        <v>79.8</v>
      </c>
      <c r="H807" s="33"/>
      <c r="I807" s="33"/>
      <c r="J807" s="33"/>
      <c r="K807" s="29"/>
      <c r="L807" s="29"/>
      <c r="M807" s="35" t="str">
        <f t="shared" ca="1" si="177"/>
        <v/>
      </c>
      <c r="N807" s="27"/>
      <c r="O807" s="60"/>
    </row>
    <row r="808" spans="1:15" ht="15" customHeight="1">
      <c r="A808" s="68">
        <v>46233</v>
      </c>
      <c r="B808" s="25">
        <f t="shared" si="178"/>
        <v>1.25</v>
      </c>
      <c r="C808" s="26" t="s">
        <v>21</v>
      </c>
      <c r="D808" s="59" t="s">
        <v>22</v>
      </c>
      <c r="E808" s="59" t="s">
        <v>261</v>
      </c>
      <c r="F808" s="27">
        <v>13</v>
      </c>
      <c r="G808" s="34">
        <f t="shared" si="176"/>
        <v>54.6</v>
      </c>
      <c r="H808" s="26"/>
      <c r="I808" s="26"/>
      <c r="J808" s="26"/>
      <c r="K808" s="29"/>
      <c r="L808" s="29"/>
      <c r="M808" s="30" t="str">
        <f t="shared" ca="1" si="177"/>
        <v/>
      </c>
      <c r="N808" s="27"/>
      <c r="O808" s="60"/>
    </row>
    <row r="809" spans="1:15" ht="15" customHeight="1">
      <c r="A809" s="69">
        <v>46233</v>
      </c>
      <c r="B809" s="32">
        <f t="shared" si="178"/>
        <v>1.2916666666666667</v>
      </c>
      <c r="C809" s="26" t="s">
        <v>21</v>
      </c>
      <c r="D809" s="59" t="s">
        <v>22</v>
      </c>
      <c r="E809" s="59" t="s">
        <v>261</v>
      </c>
      <c r="F809" s="27">
        <v>8</v>
      </c>
      <c r="G809" s="34">
        <f t="shared" si="176"/>
        <v>33.6</v>
      </c>
      <c r="H809" s="33"/>
      <c r="I809" s="33"/>
      <c r="J809" s="33"/>
      <c r="K809" s="29"/>
      <c r="L809" s="29"/>
      <c r="M809" s="35" t="str">
        <f t="shared" ca="1" si="177"/>
        <v/>
      </c>
      <c r="N809" s="27"/>
      <c r="O809" s="60"/>
    </row>
    <row r="810" spans="1:15" ht="15.75" customHeight="1">
      <c r="A810" s="119" t="s">
        <v>238</v>
      </c>
      <c r="B810" s="120"/>
      <c r="C810" s="120"/>
      <c r="D810" s="120"/>
      <c r="E810" s="121">
        <f>SUM(E798:E809)</f>
        <v>0</v>
      </c>
      <c r="F810" s="36">
        <f>SUM(F798:F809)</f>
        <v>160</v>
      </c>
      <c r="G810" s="36">
        <f>SUM(G798:G809)</f>
        <v>672.00000000000011</v>
      </c>
      <c r="H810" s="37"/>
      <c r="I810" s="37"/>
      <c r="J810" s="37"/>
      <c r="K810" s="61"/>
      <c r="L810" s="61"/>
      <c r="M810" s="38">
        <f ca="1">IFERROR(SUM(M798:M809),"")</f>
        <v>0.16736111111111121</v>
      </c>
      <c r="N810" s="36" t="s">
        <v>237</v>
      </c>
      <c r="O810" s="39">
        <v>784390</v>
      </c>
    </row>
    <row r="811" spans="1:15" ht="18" customHeight="1">
      <c r="A811" s="122" t="s">
        <v>239</v>
      </c>
      <c r="B811" s="123"/>
      <c r="C811" s="123"/>
      <c r="D811" s="123"/>
      <c r="E811" s="124">
        <f>E797+E810</f>
        <v>0</v>
      </c>
      <c r="F811" s="40">
        <f>F797+F810</f>
        <v>182</v>
      </c>
      <c r="G811" s="40">
        <f>G797+G810</f>
        <v>764.40000000000009</v>
      </c>
      <c r="H811" s="41"/>
      <c r="I811" s="41"/>
      <c r="J811" s="41"/>
      <c r="K811" s="63"/>
      <c r="L811" s="63"/>
      <c r="M811" s="42">
        <f ca="1">IFERROR(M797+M810,"")</f>
        <v>0.6166666666666667</v>
      </c>
      <c r="N811" s="40" t="s">
        <v>240</v>
      </c>
      <c r="O811" s="43">
        <f>IFERROR(O797+O810,"")</f>
        <v>883430</v>
      </c>
    </row>
    <row r="812" spans="1:15" ht="15">
      <c r="A812" s="106">
        <v>46234</v>
      </c>
      <c r="B812" s="103">
        <v>0.33333333333333298</v>
      </c>
      <c r="C812" s="80" t="s">
        <v>45</v>
      </c>
      <c r="D812" s="99" t="s">
        <v>22</v>
      </c>
      <c r="E812" s="99" t="s">
        <v>261</v>
      </c>
      <c r="F812" s="100">
        <v>10</v>
      </c>
      <c r="G812" s="104">
        <f>IF(F812="","",IF(E812="PC 17",F812*4.2,IF(E812="PC 19",F812*5,"")))</f>
        <v>42</v>
      </c>
      <c r="H812" s="80" t="s">
        <v>16</v>
      </c>
      <c r="I812" s="80" t="s">
        <v>57</v>
      </c>
      <c r="J812" s="80" t="s">
        <v>48</v>
      </c>
      <c r="K812" s="98">
        <v>0.3263888888888889</v>
      </c>
      <c r="L812" s="98">
        <v>0.39166666666666666</v>
      </c>
      <c r="M812" s="78">
        <f ca="1">IFERROR(IF(K812="","",IF(L812="",MOD(NOW()-K812,1),IF(L812&gt;=K812,L812-K812,L812+1-K812))),"")</f>
        <v>6.5277777777777768E-2</v>
      </c>
      <c r="N812" s="105"/>
      <c r="O812" s="47"/>
    </row>
    <row r="813" spans="1:15" ht="15">
      <c r="A813" s="102">
        <v>46234</v>
      </c>
      <c r="B813" s="107">
        <f>B812+TIME(0,60,0)</f>
        <v>0.37499999999999967</v>
      </c>
      <c r="C813" s="80" t="s">
        <v>45</v>
      </c>
      <c r="D813" s="99" t="s">
        <v>22</v>
      </c>
      <c r="E813" s="108" t="s">
        <v>261</v>
      </c>
      <c r="F813" s="100">
        <v>0</v>
      </c>
      <c r="G813" s="104">
        <f>IF(F813="","",IF(E813="PC 17",F813*4.2,IF(E813="PC 19",F813*5,"")))</f>
        <v>0</v>
      </c>
      <c r="H813" s="81" t="s">
        <v>20</v>
      </c>
      <c r="I813" s="81" t="s">
        <v>57</v>
      </c>
      <c r="J813" s="81" t="s">
        <v>28</v>
      </c>
      <c r="K813" s="98">
        <v>0.4236111111111111</v>
      </c>
      <c r="L813" s="98">
        <v>0.42916666666666664</v>
      </c>
      <c r="M813" s="79">
        <f ca="1">IFERROR(IF(K813="","",IF(L813="",MOD(NOW()-K813,1),IF(L813&gt;=K813,L813-K813,L813+1-K813))),"")</f>
        <v>5.5555555555555358E-3</v>
      </c>
      <c r="N813" s="105"/>
      <c r="O813" s="47"/>
    </row>
    <row r="814" spans="1:15" ht="15">
      <c r="A814" s="106">
        <v>46234</v>
      </c>
      <c r="B814" s="103">
        <f>B813+TIME(0,60,0)</f>
        <v>0.41666666666666635</v>
      </c>
      <c r="C814" s="80" t="s">
        <v>45</v>
      </c>
      <c r="D814" s="99" t="s">
        <v>22</v>
      </c>
      <c r="E814" s="99" t="s">
        <v>261</v>
      </c>
      <c r="F814" s="100">
        <v>6</v>
      </c>
      <c r="G814" s="104">
        <f>IF(F814="","",IF(E814="PC 17",F814*4.2,IF(E814="PC 19",F814*5,"")))</f>
        <v>25.200000000000003</v>
      </c>
      <c r="H814" s="80" t="s">
        <v>19</v>
      </c>
      <c r="I814" s="80" t="s">
        <v>160</v>
      </c>
      <c r="J814" s="80" t="s">
        <v>27</v>
      </c>
      <c r="K814" s="98">
        <v>0.55902777777777779</v>
      </c>
      <c r="L814" s="98">
        <v>0.58333333333333337</v>
      </c>
      <c r="M814" s="78">
        <f ca="1">IFERROR(IF(K814="","",IF(L814="",MOD(NOW()-K814,1),IF(L814&gt;=K814,L814-K814,L814+1-K814))),"")</f>
        <v>2.430555555555558E-2</v>
      </c>
      <c r="N814" s="105" t="s">
        <v>442</v>
      </c>
      <c r="O814" s="47"/>
    </row>
    <row r="815" spans="1:15" ht="15">
      <c r="A815" s="102">
        <v>46234</v>
      </c>
      <c r="B815" s="107">
        <f>B814+TIME(0,60,0)</f>
        <v>0.45833333333333304</v>
      </c>
      <c r="C815" s="80" t="s">
        <v>45</v>
      </c>
      <c r="D815" s="99" t="s">
        <v>22</v>
      </c>
      <c r="E815" s="108" t="s">
        <v>261</v>
      </c>
      <c r="F815" s="100">
        <v>16</v>
      </c>
      <c r="G815" s="104">
        <f>IF(F815="","",IF(E815="PC 17",F815*4.2,IF(E815="PC 19",F815*5,"")))</f>
        <v>67.2</v>
      </c>
      <c r="H815" s="81" t="s">
        <v>20</v>
      </c>
      <c r="I815" s="81" t="s">
        <v>57</v>
      </c>
      <c r="J815" s="81" t="s">
        <v>28</v>
      </c>
      <c r="K815" s="98">
        <v>0.74027777777777781</v>
      </c>
      <c r="L815" s="98">
        <v>0.76111111111111107</v>
      </c>
      <c r="M815" s="79">
        <f ca="1">IFERROR(IF(K815="","",IF(L815="",MOD(NOW()-K815,1),IF(L815&gt;=K815,L815-K815,L815+1-K815))),"")</f>
        <v>2.0833333333333259E-2</v>
      </c>
      <c r="N815" s="105"/>
      <c r="O815" s="47"/>
    </row>
    <row r="816" spans="1:15" ht="15">
      <c r="A816" s="106">
        <v>46234</v>
      </c>
      <c r="B816" s="103">
        <f>B815+TIME(0,60,0)</f>
        <v>0.49999999999999972</v>
      </c>
      <c r="C816" s="80" t="s">
        <v>45</v>
      </c>
      <c r="D816" s="99" t="s">
        <v>22</v>
      </c>
      <c r="E816" s="99" t="s">
        <v>261</v>
      </c>
      <c r="F816" s="100">
        <v>7</v>
      </c>
      <c r="G816" s="104">
        <f>IF(F816="","",IF(E816="PC 17",F816*4.2,IF(E816="PC 19",F816*5,"")))</f>
        <v>29.400000000000002</v>
      </c>
      <c r="H816" s="80"/>
      <c r="I816" s="80"/>
      <c r="J816" s="80"/>
      <c r="K816" s="98"/>
      <c r="L816" s="98"/>
      <c r="M816" s="78" t="str">
        <f ca="1">IFERROR(IF(K816="","",IF(L816="",MOD(NOW()-K816,1),IF(L816&gt;=K816,L816-K816,L816+1-K816))),"")</f>
        <v/>
      </c>
      <c r="N816" s="105"/>
      <c r="O816" s="47"/>
    </row>
    <row r="817" spans="1:15" ht="15">
      <c r="A817" s="102">
        <v>46234</v>
      </c>
      <c r="B817" s="107">
        <f>B816+TIME(0,60,0)</f>
        <v>0.54166666666666641</v>
      </c>
      <c r="C817" s="80" t="s">
        <v>45</v>
      </c>
      <c r="D817" s="99" t="s">
        <v>22</v>
      </c>
      <c r="E817" s="108" t="s">
        <v>261</v>
      </c>
      <c r="F817" s="100">
        <v>19</v>
      </c>
      <c r="G817" s="104">
        <f>IF(F817="","",IF(E817="PC 17",F817*4.2,IF(E817="PC 19",F817*5,"")))</f>
        <v>79.8</v>
      </c>
      <c r="H817" s="81"/>
      <c r="I817" s="81"/>
      <c r="J817" s="81"/>
      <c r="K817" s="98"/>
      <c r="L817" s="98"/>
      <c r="M817" s="79" t="str">
        <f ca="1">IFERROR(IF(K817="","",IF(L817="",MOD(NOW()-K817,1),IF(L817&gt;=K817,L817-K817,L817+1-K817))),"")</f>
        <v/>
      </c>
      <c r="N817" s="105"/>
      <c r="O817" s="47"/>
    </row>
    <row r="818" spans="1:15" ht="15">
      <c r="A818" s="106">
        <v>46234</v>
      </c>
      <c r="B818" s="103">
        <f>B817+TIME(0,60,0)</f>
        <v>0.58333333333333304</v>
      </c>
      <c r="C818" s="80" t="s">
        <v>45</v>
      </c>
      <c r="D818" s="99" t="s">
        <v>30</v>
      </c>
      <c r="E818" s="99" t="s">
        <v>261</v>
      </c>
      <c r="F818" s="100">
        <v>8</v>
      </c>
      <c r="G818" s="104">
        <f>IF(F818="","",IF(E818="PC 17",F818*4.2,IF(E818="PC 19",F818*5,"")))</f>
        <v>33.6</v>
      </c>
      <c r="H818" s="80"/>
      <c r="I818" s="80"/>
      <c r="J818" s="80"/>
      <c r="K818" s="98"/>
      <c r="L818" s="98"/>
      <c r="M818" s="78" t="str">
        <f ca="1">IFERROR(IF(K818="","",IF(L818="",MOD(NOW()-K818,1),IF(L818&gt;=K818,L818-K818,L818+1-K818))),"")</f>
        <v/>
      </c>
      <c r="N818" s="105"/>
      <c r="O818" s="47"/>
    </row>
    <row r="819" spans="1:15" ht="15">
      <c r="A819" s="102">
        <v>46234</v>
      </c>
      <c r="B819" s="107">
        <f>B818+TIME(0,60,0)</f>
        <v>0.62499999999999967</v>
      </c>
      <c r="C819" s="80" t="s">
        <v>45</v>
      </c>
      <c r="D819" s="99" t="s">
        <v>30</v>
      </c>
      <c r="E819" s="108" t="s">
        <v>261</v>
      </c>
      <c r="F819" s="100">
        <v>14</v>
      </c>
      <c r="G819" s="104">
        <f>IF(F819="","",IF(E819="PC 17",F819*4.2,IF(E819="PC 19",F819*5,"")))</f>
        <v>58.800000000000004</v>
      </c>
      <c r="H819" s="81"/>
      <c r="I819" s="81"/>
      <c r="J819" s="81"/>
      <c r="K819" s="98"/>
      <c r="L819" s="98"/>
      <c r="M819" s="79" t="str">
        <f ca="1">IFERROR(IF(K819="","",IF(L819="",MOD(NOW()-K819,1),IF(L819&gt;=K819,L819-K819,L819+1-K819))),"")</f>
        <v/>
      </c>
      <c r="N819" s="105"/>
      <c r="O819" s="47"/>
    </row>
    <row r="820" spans="1:15" ht="15">
      <c r="A820" s="106">
        <v>46234</v>
      </c>
      <c r="B820" s="103">
        <f>B819+TIME(0,60,0)</f>
        <v>0.6666666666666663</v>
      </c>
      <c r="C820" s="80" t="s">
        <v>45</v>
      </c>
      <c r="D820" s="99" t="s">
        <v>30</v>
      </c>
      <c r="E820" s="99" t="s">
        <v>261</v>
      </c>
      <c r="F820" s="100">
        <v>14</v>
      </c>
      <c r="G820" s="104">
        <f>IF(F820="","",IF(E820="PC 17",F820*4.2,IF(E820="PC 19",F820*5,"")))</f>
        <v>58.800000000000004</v>
      </c>
      <c r="H820" s="80"/>
      <c r="I820" s="80"/>
      <c r="J820" s="80"/>
      <c r="K820" s="98"/>
      <c r="L820" s="98"/>
      <c r="M820" s="78" t="str">
        <f ca="1">IFERROR(IF(K820="","",IF(L820="",MOD(NOW()-K820,1),IF(L820&gt;=K820,L820-K820,L820+1-K820))),"")</f>
        <v/>
      </c>
      <c r="N820" s="105"/>
      <c r="O820" s="47"/>
    </row>
    <row r="821" spans="1:15" ht="15">
      <c r="A821" s="102">
        <v>46234</v>
      </c>
      <c r="B821" s="107">
        <f>B820+TIME(0,60,0)</f>
        <v>0.70833333333333293</v>
      </c>
      <c r="C821" s="80" t="s">
        <v>45</v>
      </c>
      <c r="D821" s="99" t="s">
        <v>30</v>
      </c>
      <c r="E821" s="108" t="s">
        <v>261</v>
      </c>
      <c r="F821" s="100">
        <v>12</v>
      </c>
      <c r="G821" s="104">
        <f>IF(F821="","",IF(E821="PC 17",F821*4.2,IF(E821="PC 19",F821*5,"")))</f>
        <v>50.400000000000006</v>
      </c>
      <c r="H821" s="81"/>
      <c r="I821" s="81"/>
      <c r="J821" s="81"/>
      <c r="K821" s="98"/>
      <c r="L821" s="98"/>
      <c r="M821" s="79" t="str">
        <f ca="1">IFERROR(IF(K821="","",IF(L821="",MOD(NOW()-K821,1),IF(L821&gt;=K821,L821-K821,L821+1-K821))),"")</f>
        <v/>
      </c>
      <c r="N821" s="105"/>
      <c r="O821" s="47"/>
    </row>
    <row r="822" spans="1:15" ht="15">
      <c r="A822" s="106">
        <v>46234</v>
      </c>
      <c r="B822" s="103">
        <f>B821+TIME(0,60,0)</f>
        <v>0.74999999999999956</v>
      </c>
      <c r="C822" s="80" t="s">
        <v>45</v>
      </c>
      <c r="D822" s="99" t="s">
        <v>22</v>
      </c>
      <c r="E822" s="99" t="s">
        <v>261</v>
      </c>
      <c r="F822" s="100">
        <v>10</v>
      </c>
      <c r="G822" s="104">
        <f>IF(F822="","",IF(E822="PC 17",F822*4.2,IF(E822="PC 19",F822*5,"")))</f>
        <v>42</v>
      </c>
      <c r="H822" s="80"/>
      <c r="I822" s="80"/>
      <c r="J822" s="80"/>
      <c r="K822" s="98"/>
      <c r="L822" s="98"/>
      <c r="M822" s="78" t="str">
        <f ca="1">IFERROR(IF(K822="","",IF(L822="",MOD(NOW()-K822,1),IF(L822&gt;=K822,L822-K822,L822+1-K822))),"")</f>
        <v/>
      </c>
      <c r="N822" s="105"/>
      <c r="O822" s="47"/>
    </row>
    <row r="823" spans="1:15" ht="15">
      <c r="A823" s="102">
        <v>46234</v>
      </c>
      <c r="B823" s="107">
        <f>B822+TIME(0,60,0)</f>
        <v>0.79166666666666619</v>
      </c>
      <c r="C823" s="80" t="s">
        <v>45</v>
      </c>
      <c r="D823" s="99" t="s">
        <v>22</v>
      </c>
      <c r="E823" s="108" t="s">
        <v>261</v>
      </c>
      <c r="F823" s="100">
        <v>3</v>
      </c>
      <c r="G823" s="104">
        <f>IF(F823="","",IF(E823="PC 17",F823*4.2,IF(E823="PC 19",F823*5,"")))</f>
        <v>12.600000000000001</v>
      </c>
      <c r="H823" s="81"/>
      <c r="I823" s="81"/>
      <c r="J823" s="81"/>
      <c r="K823" s="98"/>
      <c r="L823" s="98"/>
      <c r="M823" s="79" t="str">
        <f ca="1">IFERROR(IF(K823="","",IF(L823="",MOD(NOW()-K823,1),IF(L823&gt;=K823,L823-K823,L823+1-K823))),"")</f>
        <v/>
      </c>
      <c r="N823" s="105"/>
      <c r="O823" s="47"/>
    </row>
    <row r="824" spans="1:15" ht="15">
      <c r="A824" s="113" t="s">
        <v>236</v>
      </c>
      <c r="B824" s="114"/>
      <c r="C824" s="114"/>
      <c r="D824" s="114"/>
      <c r="E824" s="115">
        <f>SUM(E812:E823)</f>
        <v>0</v>
      </c>
      <c r="F824" s="109">
        <f>SUM(F812:F823)</f>
        <v>119</v>
      </c>
      <c r="G824" s="109">
        <f>SUM(G812:G823)</f>
        <v>499.80000000000007</v>
      </c>
      <c r="H824" s="37"/>
      <c r="I824" s="37"/>
      <c r="J824" s="37"/>
      <c r="K824" s="37"/>
      <c r="L824" s="37"/>
      <c r="M824" s="110">
        <f ca="1">IFERROR(SUM(M812:M823),"")</f>
        <v>0.11597222222222214</v>
      </c>
      <c r="N824" s="109" t="s">
        <v>237</v>
      </c>
      <c r="O824" s="77">
        <v>545810</v>
      </c>
    </row>
    <row r="825" spans="1:15" ht="15">
      <c r="A825" s="106">
        <v>46234</v>
      </c>
      <c r="B825" s="107">
        <v>0.83333333333333304</v>
      </c>
      <c r="C825" s="81" t="s">
        <v>29</v>
      </c>
      <c r="D825" s="108"/>
      <c r="E825" s="108"/>
      <c r="F825" s="100"/>
      <c r="G825" s="104" t="str">
        <f>IF(F825="","",IF(E825="PC 17",F825*4.2,IF(E825="PC 19",F825*5,"")))</f>
        <v/>
      </c>
      <c r="H825" s="81"/>
      <c r="I825" s="81"/>
      <c r="J825" s="81"/>
      <c r="K825" s="98"/>
      <c r="L825" s="98"/>
      <c r="M825" s="79" t="str">
        <f ca="1">IFERROR(IF(K825="","",IF(L825="",MOD(NOW()-K825,1),IF(L825&gt;=K825,L825-K825,L825+1-K825))),"")</f>
        <v/>
      </c>
      <c r="N825" s="105"/>
      <c r="O825" s="47"/>
    </row>
    <row r="826" spans="1:15" ht="15">
      <c r="A826" s="102">
        <v>46234</v>
      </c>
      <c r="B826" s="103">
        <f>B825+TIME(0,60,0)</f>
        <v>0.87499999999999967</v>
      </c>
      <c r="C826" s="81" t="s">
        <v>29</v>
      </c>
      <c r="D826" s="108"/>
      <c r="E826" s="108"/>
      <c r="F826" s="100"/>
      <c r="G826" s="104" t="str">
        <f>IF(F826="","",IF(E826="PC 17",F826*4.2,IF(E826="PC 19",F826*5,"")))</f>
        <v/>
      </c>
      <c r="H826" s="80"/>
      <c r="I826" s="80"/>
      <c r="J826" s="80"/>
      <c r="K826" s="98"/>
      <c r="L826" s="98"/>
      <c r="M826" s="78" t="str">
        <f ca="1">IFERROR(IF(K826="","",IF(L826="",MOD(NOW()-K826,1),IF(L826&gt;=K826,L826-K826,L826+1-K826))),"")</f>
        <v/>
      </c>
      <c r="N826" s="105"/>
      <c r="O826" s="47"/>
    </row>
    <row r="827" spans="1:15" ht="15">
      <c r="A827" s="106">
        <v>46234</v>
      </c>
      <c r="B827" s="107">
        <f>B826+TIME(0,60,0)</f>
        <v>0.9166666666666663</v>
      </c>
      <c r="C827" s="81" t="s">
        <v>29</v>
      </c>
      <c r="D827" s="108"/>
      <c r="E827" s="108"/>
      <c r="F827" s="100"/>
      <c r="G827" s="104" t="str">
        <f>IF(F827="","",IF(E827="PC 17",F827*4.2,IF(E827="PC 19",F827*5,"")))</f>
        <v/>
      </c>
      <c r="H827" s="81"/>
      <c r="I827" s="81"/>
      <c r="J827" s="81"/>
      <c r="K827" s="98"/>
      <c r="L827" s="98"/>
      <c r="M827" s="79" t="str">
        <f ca="1">IFERROR(IF(K827="","",IF(L827="",MOD(NOW()-K827,1),IF(L827&gt;=K827,L827-K827,L827+1-K827))),"")</f>
        <v/>
      </c>
      <c r="N827" s="105"/>
      <c r="O827" s="47"/>
    </row>
    <row r="828" spans="1:15" ht="15">
      <c r="A828" s="102">
        <v>46234</v>
      </c>
      <c r="B828" s="103">
        <f>B827+TIME(0,60,0)</f>
        <v>0.95833333333333293</v>
      </c>
      <c r="C828" s="81" t="s">
        <v>29</v>
      </c>
      <c r="D828" s="108"/>
      <c r="E828" s="108"/>
      <c r="F828" s="100"/>
      <c r="G828" s="104" t="str">
        <f>IF(F828="","",IF(E828="PC 17",F828*4.2,IF(E828="PC 19",F828*5,"")))</f>
        <v/>
      </c>
      <c r="H828" s="80"/>
      <c r="I828" s="80"/>
      <c r="J828" s="80"/>
      <c r="K828" s="98"/>
      <c r="L828" s="98"/>
      <c r="M828" s="78" t="str">
        <f ca="1">IFERROR(IF(K828="","",IF(L828="",MOD(NOW()-K828,1),IF(L828&gt;=K828,L828-K828,L828+1-K828))),"")</f>
        <v/>
      </c>
      <c r="N828" s="105"/>
      <c r="O828" s="47"/>
    </row>
    <row r="829" spans="1:15" ht="15">
      <c r="A829" s="106">
        <v>46234</v>
      </c>
      <c r="B829" s="107">
        <f>B828+TIME(0,60,0)</f>
        <v>0.99999999999999956</v>
      </c>
      <c r="C829" s="81" t="s">
        <v>29</v>
      </c>
      <c r="D829" s="108"/>
      <c r="E829" s="108"/>
      <c r="F829" s="100"/>
      <c r="G829" s="104" t="str">
        <f>IF(F829="","",IF(E829="PC 17",F829*4.2,IF(E829="PC 19",F829*5,"")))</f>
        <v/>
      </c>
      <c r="H829" s="81"/>
      <c r="I829" s="81"/>
      <c r="J829" s="81"/>
      <c r="K829" s="98"/>
      <c r="L829" s="98"/>
      <c r="M829" s="79" t="str">
        <f ca="1">IFERROR(IF(K829="","",IF(L829="",MOD(NOW()-K829,1),IF(L829&gt;=K829,L829-K829,L829+1-K829))),"")</f>
        <v/>
      </c>
      <c r="N829" s="105"/>
      <c r="O829" s="47"/>
    </row>
    <row r="830" spans="1:15" ht="15">
      <c r="A830" s="102">
        <v>46234</v>
      </c>
      <c r="B830" s="103">
        <f>B829+TIME(0,60,0)</f>
        <v>1.0416666666666663</v>
      </c>
      <c r="C830" s="81" t="s">
        <v>29</v>
      </c>
      <c r="D830" s="108"/>
      <c r="E830" s="108"/>
      <c r="F830" s="100"/>
      <c r="G830" s="104" t="str">
        <f>IF(F830="","",IF(E830="PC 17",F830*4.2,IF(E830="PC 19",F830*5,"")))</f>
        <v/>
      </c>
      <c r="H830" s="80"/>
      <c r="I830" s="80"/>
      <c r="J830" s="80"/>
      <c r="K830" s="98"/>
      <c r="L830" s="98"/>
      <c r="M830" s="78" t="str">
        <f ca="1">IFERROR(IF(K830="","",IF(L830="",MOD(NOW()-K830,1),IF(L830&gt;=K830,L830-K830,L830+1-K830))),"")</f>
        <v/>
      </c>
      <c r="N830" s="105"/>
      <c r="O830" s="47"/>
    </row>
    <row r="831" spans="1:15" ht="15">
      <c r="A831" s="106">
        <v>46234</v>
      </c>
      <c r="B831" s="107">
        <f>B830+TIME(0,60,0)</f>
        <v>1.083333333333333</v>
      </c>
      <c r="C831" s="81" t="s">
        <v>29</v>
      </c>
      <c r="D831" s="108"/>
      <c r="E831" s="108"/>
      <c r="F831" s="100"/>
      <c r="G831" s="104" t="str">
        <f>IF(F831="","",IF(E831="PC 17",F831*4.2,IF(E831="PC 19",F831*5,"")))</f>
        <v/>
      </c>
      <c r="H831" s="81"/>
      <c r="I831" s="81"/>
      <c r="J831" s="81"/>
      <c r="K831" s="98"/>
      <c r="L831" s="98"/>
      <c r="M831" s="79" t="str">
        <f ca="1">IFERROR(IF(K831="","",IF(L831="",MOD(NOW()-K831,1),IF(L831&gt;=K831,L831-K831,L831+1-K831))),"")</f>
        <v/>
      </c>
      <c r="N831" s="105"/>
      <c r="O831" s="47"/>
    </row>
    <row r="832" spans="1:15" ht="15">
      <c r="A832" s="102">
        <v>46234</v>
      </c>
      <c r="B832" s="103">
        <f>B831+TIME(0,60,0)</f>
        <v>1.1249999999999998</v>
      </c>
      <c r="C832" s="81" t="s">
        <v>29</v>
      </c>
      <c r="D832" s="108"/>
      <c r="E832" s="108"/>
      <c r="F832" s="100"/>
      <c r="G832" s="104" t="str">
        <f>IF(F832="","",IF(E832="PC 17",F832*4.2,IF(E832="PC 19",F832*5,"")))</f>
        <v/>
      </c>
      <c r="H832" s="80"/>
      <c r="I832" s="80"/>
      <c r="J832" s="80"/>
      <c r="K832" s="98"/>
      <c r="L832" s="98"/>
      <c r="M832" s="78" t="str">
        <f ca="1">IFERROR(IF(K832="","",IF(L832="",MOD(NOW()-K832,1),IF(L832&gt;=K832,L832-K832,L832+1-K832))),"")</f>
        <v/>
      </c>
      <c r="N832" s="105"/>
      <c r="O832" s="47"/>
    </row>
    <row r="833" spans="1:15" ht="15">
      <c r="A833" s="106">
        <v>46234</v>
      </c>
      <c r="B833" s="107">
        <f>B832+TIME(0,60,0)</f>
        <v>1.1666666666666665</v>
      </c>
      <c r="C833" s="81" t="s">
        <v>29</v>
      </c>
      <c r="D833" s="108"/>
      <c r="E833" s="108"/>
      <c r="F833" s="100"/>
      <c r="G833" s="104" t="str">
        <f>IF(F833="","",IF(E833="PC 17",F833*4.2,IF(E833="PC 19",F833*5,"")))</f>
        <v/>
      </c>
      <c r="H833" s="81"/>
      <c r="I833" s="81"/>
      <c r="J833" s="81"/>
      <c r="K833" s="98"/>
      <c r="L833" s="98"/>
      <c r="M833" s="79" t="str">
        <f ca="1">IFERROR(IF(K833="","",IF(L833="",MOD(NOW()-K833,1),IF(L833&gt;=K833,L833-K833,L833+1-K833))),"")</f>
        <v/>
      </c>
      <c r="N833" s="105"/>
      <c r="O833" s="47"/>
    </row>
    <row r="834" spans="1:15" ht="15">
      <c r="A834" s="102">
        <v>46234</v>
      </c>
      <c r="B834" s="103">
        <f>B833+TIME(0,60,0)</f>
        <v>1.2083333333333333</v>
      </c>
      <c r="C834" s="81" t="s">
        <v>29</v>
      </c>
      <c r="D834" s="108"/>
      <c r="E834" s="108"/>
      <c r="F834" s="100"/>
      <c r="G834" s="104" t="str">
        <f>IF(F834="","",IF(E834="PC 17",F834*4.2,IF(E834="PC 19",F834*5,"")))</f>
        <v/>
      </c>
      <c r="H834" s="80"/>
      <c r="I834" s="80"/>
      <c r="J834" s="80"/>
      <c r="K834" s="98"/>
      <c r="L834" s="98"/>
      <c r="M834" s="78" t="str">
        <f ca="1">IFERROR(IF(K834="","",IF(L834="",MOD(NOW()-K834,1),IF(L834&gt;=K834,L834-K834,L834+1-K834))),"")</f>
        <v/>
      </c>
      <c r="N834" s="105"/>
      <c r="O834" s="47"/>
    </row>
    <row r="835" spans="1:15" ht="15">
      <c r="A835" s="106">
        <v>46234</v>
      </c>
      <c r="B835" s="107">
        <f>B834+TIME(0,60,0)</f>
        <v>1.25</v>
      </c>
      <c r="C835" s="81" t="s">
        <v>29</v>
      </c>
      <c r="D835" s="108"/>
      <c r="E835" s="108"/>
      <c r="F835" s="100"/>
      <c r="G835" s="104" t="str">
        <f>IF(F835="","",IF(E835="PC 17",F835*4.2,IF(E835="PC 19",F835*5,"")))</f>
        <v/>
      </c>
      <c r="H835" s="81"/>
      <c r="I835" s="81"/>
      <c r="J835" s="81"/>
      <c r="K835" s="98"/>
      <c r="L835" s="98"/>
      <c r="M835" s="79" t="str">
        <f ca="1">IFERROR(IF(K835="","",IF(L835="",MOD(NOW()-K835,1),IF(L835&gt;=K835,L835-K835,L835+1-K835))),"")</f>
        <v/>
      </c>
      <c r="N835" s="105"/>
      <c r="O835" s="47"/>
    </row>
    <row r="836" spans="1:15" ht="15">
      <c r="A836" s="102">
        <v>46234</v>
      </c>
      <c r="B836" s="103">
        <f>B835+TIME(0,60,0)</f>
        <v>1.2916666666666667</v>
      </c>
      <c r="C836" s="81" t="s">
        <v>29</v>
      </c>
      <c r="D836" s="108"/>
      <c r="E836" s="108"/>
      <c r="F836" s="100"/>
      <c r="G836" s="104" t="str">
        <f>IF(F836="","",IF(E836="PC 17",F836*4.2,IF(E836="PC 19",F836*5,"")))</f>
        <v/>
      </c>
      <c r="H836" s="80"/>
      <c r="I836" s="80"/>
      <c r="J836" s="80"/>
      <c r="K836" s="98"/>
      <c r="L836" s="98"/>
      <c r="M836" s="78" t="str">
        <f ca="1">IFERROR(IF(K836="","",IF(L836="",MOD(NOW()-K836,1),IF(L836&gt;=K836,L836-K836,L836+1-K836))),"")</f>
        <v/>
      </c>
      <c r="N836" s="105"/>
      <c r="O836" s="47"/>
    </row>
    <row r="837" spans="1:15" ht="15">
      <c r="A837" s="113" t="s">
        <v>238</v>
      </c>
      <c r="B837" s="114"/>
      <c r="C837" s="114"/>
      <c r="D837" s="114"/>
      <c r="E837" s="115">
        <f>SUM(E825:E836)</f>
        <v>0</v>
      </c>
      <c r="F837" s="109">
        <f>SUM(F825:F836)</f>
        <v>0</v>
      </c>
      <c r="G837" s="109">
        <f>SUM(G825:G836)</f>
        <v>0</v>
      </c>
      <c r="H837" s="37"/>
      <c r="I837" s="37"/>
      <c r="J837" s="37"/>
      <c r="K837" s="37"/>
      <c r="L837" s="37"/>
      <c r="M837" s="110">
        <f ca="1">IFERROR(SUM(M825:M836),"")</f>
        <v>0</v>
      </c>
      <c r="N837" s="109" t="s">
        <v>237</v>
      </c>
      <c r="O837" s="77"/>
    </row>
    <row r="838" spans="1:15" ht="15">
      <c r="A838" s="116" t="s">
        <v>239</v>
      </c>
      <c r="B838" s="117"/>
      <c r="C838" s="117"/>
      <c r="D838" s="117"/>
      <c r="E838" s="118">
        <f>E824+E837</f>
        <v>0</v>
      </c>
      <c r="F838" s="111">
        <f>F824+F837</f>
        <v>119</v>
      </c>
      <c r="G838" s="111">
        <f>G824+G837</f>
        <v>499.80000000000007</v>
      </c>
      <c r="H838" s="41"/>
      <c r="I838" s="41"/>
      <c r="J838" s="41"/>
      <c r="K838" s="41"/>
      <c r="L838" s="41"/>
      <c r="M838" s="112">
        <f ca="1">IFERROR(M824+M837,"")</f>
        <v>0.11597222222222214</v>
      </c>
      <c r="N838" s="111" t="s">
        <v>240</v>
      </c>
      <c r="O838" s="82">
        <f>IFERROR(O824+O837,"")</f>
        <v>545810</v>
      </c>
    </row>
  </sheetData>
  <mergeCells count="92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108:E108"/>
    <mergeCell ref="A109:E109"/>
    <mergeCell ref="A122:E122"/>
    <mergeCell ref="A756:E756"/>
    <mergeCell ref="A757:E757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824:E824"/>
    <mergeCell ref="A837:E837"/>
    <mergeCell ref="A838:E838"/>
    <mergeCell ref="A797:E797"/>
    <mergeCell ref="A810:E810"/>
    <mergeCell ref="A811:E81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38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2026-08-01T00:02:57Z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