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38" documentId="13_ncr:1_{0A10D8D4-8450-4366-8075-B53B08E6B7EA}" xr6:coauthVersionLast="47" xr6:coauthVersionMax="47" xr10:uidLastSave="{7F94742D-DE55-4F76-AC07-461BAD3D45FC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1" i="6" l="1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<sst xmlns="http://schemas.openxmlformats.org/spreadsheetml/2006/main" count="7737" uniqueCount="371">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</sst>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F453" sqref="F453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/>
      <c r="G455" s="151" t="s">
        <v>271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182</v>
      </c>
      <c r="G459" s="36">
        <f>SUM(G447:G458)</f>
        <v>910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/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350</v>
      </c>
      <c r="G460" s="40">
        <f>G446+G459</f>
        <v>1750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P450" sqref="P450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0.92552407406765269</v>
      </c>
      <c r="R53" s="46" t="s">
        <v>288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1.0644129629565415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1.1491351851787639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245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/>
      <c r="Q450" s="30">
        <f t="shared" ca="1" si="112"/>
        <v>8.8574074034113437E-3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12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 t="shared" si="111"/>
        <v>50.400000000000006</v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79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342.20000000000005</v>
      </c>
      <c r="L459" s="37"/>
      <c r="M459" s="37"/>
      <c r="N459" s="37"/>
      <c r="O459" s="37"/>
      <c r="P459" s="37"/>
      <c r="Q459" s="38">
        <f ca="1">IFERROR(SUM(Q447:Q458),"")</f>
        <v>3.1774074070077929E-2</v>
      </c>
      <c r="R459" s="36" t="s">
        <v>247</v>
      </c>
      <c r="S459" s="45"/>
      <c r="T459" s="122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191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812.60000000000014</v>
      </c>
      <c r="L460" s="41"/>
      <c r="M460" s="41"/>
      <c r="N460" s="41"/>
      <c r="O460" s="41"/>
      <c r="P460" s="41"/>
      <c r="Q460" s="42">
        <f ca="1">IFERROR(Q446+Q459,"")</f>
        <v>9.9135185181189134E-2</v>
      </c>
      <c r="R460" s="40" t="s">
        <v>251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P450" sqref="P45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329</v>
      </c>
      <c r="Q222" s="30" t="str">
        <f t="shared" ca="1" si="49"/>
        <v/>
      </c>
      <c r="R222" s="27" t="s">
        <v>330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336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336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337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261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08"/>
        <v>0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59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247.79999999999995</v>
      </c>
      <c r="L459" s="37"/>
      <c r="M459" s="37"/>
      <c r="N459" s="37"/>
      <c r="O459" s="37"/>
      <c r="P459" s="37"/>
      <c r="Q459" s="38">
        <f ca="1">IFERROR(SUM(Q447:Q458),"")</f>
        <v>3.9583333333333283E-2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144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604.79999999999995</v>
      </c>
      <c r="L460" s="41"/>
      <c r="M460" s="41"/>
      <c r="N460" s="41"/>
      <c r="O460" s="41"/>
      <c r="P460" s="41"/>
      <c r="Q460" s="42">
        <f ca="1">IFERROR(Q446+Q459,"")</f>
        <v>8.4722222222222171E-2</v>
      </c>
      <c r="R460" s="40" t="s">
        <v>251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33" activePane="bottomLeft" state="frozen"/>
      <selection pane="bottomLeft" activeCell="N450" sqref="N45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361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362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363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364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365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366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367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368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369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370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59" t="s">
        <v>261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/>
      <c r="Q450" s="30">
        <f t="shared" ca="1" si="112"/>
        <v>1.9129629581584595E-3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>IF(G452="","",IF(E453="PC 17",G452*4.2,IF(E453="PC 19",G452*5,"")))</f>
        <v>33.6</v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134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562.79999999999995</v>
      </c>
      <c r="L459" s="37"/>
      <c r="M459" s="37"/>
      <c r="N459" s="37"/>
      <c r="O459" s="61"/>
      <c r="P459" s="61"/>
      <c r="Q459" s="38">
        <f ca="1">IFERROR(SUM(Q447:Q458),"")</f>
        <v>4.5662962958158484E-2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317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1331.4</v>
      </c>
      <c r="L460" s="41"/>
      <c r="M460" s="41"/>
      <c r="N460" s="41"/>
      <c r="O460" s="63"/>
      <c r="P460" s="63"/>
      <c r="Q460" s="42">
        <f ca="1">IFERROR(Q446+Q459,"")</f>
        <v>8.1774074069269578E-2</v>
      </c>
      <c r="R460" s="40" t="s">
        <v>251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2026-08-18T05:08:09Z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