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00" documentId="13_ncr:1_{9DFDFEE8-78F7-4C04-B87C-99924EE6CC37}" xr6:coauthVersionLast="47" xr6:coauthVersionMax="47" xr10:uidLastSave="{CF165376-AB5A-456E-AADC-A265728450A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<sst xmlns="http://schemas.openxmlformats.org/spreadsheetml/2006/main" count="8913" uniqueCount="2874">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</sst>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O73" sqref="O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/>
      <c r="M69" s="86">
        <f t="shared" ref="M69:M80" ca="1" si="16">IFERROR(IF(K69="","",IF(L69="",MOD(NOW()-K69,1),IF(L69&gt;=K69,L69-K69,L69+1-K69))),"")</f>
        <v>1.4456018521741498E-2</v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148</v>
      </c>
      <c r="G81" s="2">
        <f>SUM(G69:G80)</f>
        <v>740</v>
      </c>
      <c r="H81" s="87"/>
      <c r="I81" s="87"/>
      <c r="J81" s="87"/>
      <c r="K81" s="87"/>
      <c r="L81" s="87"/>
      <c r="M81" s="88">
        <f ca="1">IFERROR(SUM(M69:M80),"")</f>
        <v>1.4456018521741498E-2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537</v>
      </c>
      <c r="G82" s="1">
        <f>G68+G81</f>
        <v>2661</v>
      </c>
      <c r="H82" s="91"/>
      <c r="I82" s="91"/>
      <c r="J82" s="91"/>
      <c r="K82" s="91"/>
      <c r="L82" s="91"/>
      <c r="M82" s="92">
        <f ca="1">IFERROR(M68+M81,"")</f>
        <v>1.862268518840815E-2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D75" sqref="D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357</v>
      </c>
      <c r="L81" s="87"/>
      <c r="M81" s="87"/>
      <c r="N81" s="87"/>
      <c r="O81" s="87"/>
      <c r="P81" s="87"/>
      <c r="Q81" s="88">
        <f ca="1">IFERROR(SUM(Q69:Q80),"")</f>
        <v>6.5972222222222363E-2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1079.4000000000001</v>
      </c>
      <c r="L82" s="91"/>
      <c r="M82" s="91"/>
      <c r="N82" s="91"/>
      <c r="O82" s="91"/>
      <c r="P82" s="91"/>
      <c r="Q82" s="92">
        <f ca="1">IFERROR(Q68+Q81,"")</f>
        <v>0.13055555555555581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97</v>
      </c>
      <c r="O70" s="80">
        <v>0.95833333333333337</v>
      </c>
      <c r="P70" s="80"/>
      <c r="Q70" s="81">
        <f t="shared" ca="1" si="22"/>
        <v>8.667824073927477E-2</v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0.10403935185038582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0.13320601851705249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68" activePane="bottomLeft" state="frozen"/>
      <selection pane="bottomLeft" activeCell="D75" sqref="D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94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394.8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291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1222.2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2026-09-04T05:05:20Z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