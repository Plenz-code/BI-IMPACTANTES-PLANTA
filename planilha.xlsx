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02" documentId="8_{C51EB6CB-002B-4D6B-B68F-DDEBDB4460C0}" xr6:coauthVersionLast="47" xr6:coauthVersionMax="47" xr10:uidLastSave="{041666DA-8E02-40E1-A6F4-9CA1872D202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<sst xmlns="http://schemas.openxmlformats.org/spreadsheetml/2006/main" count="5236" uniqueCount="327">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</sst>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3" sqref="L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37</v>
      </c>
      <c r="G284" s="36">
        <f>SUM(G272:G283)</f>
        <v>185</v>
      </c>
      <c r="H284" s="37"/>
      <c r="I284" s="37"/>
      <c r="J284" s="37"/>
      <c r="K284" s="37"/>
      <c r="L284" s="37"/>
      <c r="M284" s="38">
        <f ca="1">IFERROR(SUM(M272:M283),"")</f>
        <v>6.2500000000000333E-3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37</v>
      </c>
      <c r="G298" s="40">
        <f>G284+G297</f>
        <v>185</v>
      </c>
      <c r="H298" s="41"/>
      <c r="I298" s="41"/>
      <c r="J298" s="41"/>
      <c r="K298" s="41"/>
      <c r="L298" s="41"/>
      <c r="M298" s="42">
        <f ca="1">IFERROR(M284+M297,"")</f>
        <v>6.2500000000000333E-3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I273" sqref="I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0.25051874999917345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0.38940763888806235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0.47412986111028466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/>
      <c r="I273" s="33" t="s">
        <v>39</v>
      </c>
      <c r="J273" s="33"/>
      <c r="K273" s="29">
        <v>0.37152777777777779</v>
      </c>
      <c r="L273" s="29"/>
      <c r="M273" s="35">
        <f t="shared" ca="1" si="61"/>
        <v>5.1874999917345122E-4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7</v>
      </c>
      <c r="G284" s="36">
        <f>SUM(G272:G283)</f>
        <v>29.400000000000002</v>
      </c>
      <c r="H284" s="37"/>
      <c r="I284" s="37"/>
      <c r="J284" s="37"/>
      <c r="K284" s="37"/>
      <c r="L284" s="37"/>
      <c r="M284" s="38">
        <f ca="1">IFERROR(SUM(M272:M283),"")</f>
        <v>2.4824305554728976E-2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7</v>
      </c>
      <c r="G298" s="40">
        <f>G284+G297</f>
        <v>29.400000000000002</v>
      </c>
      <c r="H298" s="41"/>
      <c r="I298" s="41"/>
      <c r="J298" s="41"/>
      <c r="K298" s="41"/>
      <c r="L298" s="41"/>
      <c r="M298" s="42">
        <f ca="1">IFERROR(M284+M297,"")</f>
        <v>2.4824305554728976E-2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3" sqref="F2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297</v>
      </c>
      <c r="M222" s="30" t="str">
        <f t="shared" ca="1" si="49"/>
        <v/>
      </c>
      <c r="N222" s="27" t="s">
        <v>298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0.1776020833349321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0.23940763889048766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0.30051875000159883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>
        <v>4</v>
      </c>
      <c r="G272" s="28" t="str">
        <f t="shared" ref="G272:G283" si="60">IF(F272="","",IF(E272="PC 17",F272*4.2,IF(E272="PC 19",F272*5,IF(E272="CB",F272*24,""))))</f>
        <v/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2.7777777777777735E-2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2.7777777777777735E-2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E277" sqref="E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/>
      <c r="G273" s="34" t="str">
        <f t="shared" si="60"/>
        <v/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20</v>
      </c>
      <c r="G284" s="36">
        <f>SUM(G272:G283)</f>
        <v>84</v>
      </c>
      <c r="H284" s="37"/>
      <c r="I284" s="37"/>
      <c r="J284" s="37"/>
      <c r="K284" s="61"/>
      <c r="L284" s="61"/>
      <c r="M284" s="38">
        <f ca="1">IFERROR(SUM(M272:M283),"")</f>
        <v>9.7222222222221877E-3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20</v>
      </c>
      <c r="G298" s="40">
        <f>G284+G297</f>
        <v>84</v>
      </c>
      <c r="H298" s="41"/>
      <c r="I298" s="41"/>
      <c r="J298" s="41"/>
      <c r="K298" s="63"/>
      <c r="L298" s="63"/>
      <c r="M298" s="42">
        <f ca="1">IFERROR(M284+M297,"")</f>
        <v>9.7222222222221877E-3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2026-08-11T12:56:12Z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