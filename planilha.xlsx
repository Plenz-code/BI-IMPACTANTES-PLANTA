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77" documentId="8_{AF585B22-221D-4780-BB9C-493D365A6A02}" xr6:coauthVersionLast="47" xr6:coauthVersionMax="47" xr10:uidLastSave="{625131E5-37F6-46A1-B180-E30ED5DE3CC9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<sst xmlns="http://schemas.openxmlformats.org/spreadsheetml/2006/main" count="3038" uniqueCount="251">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</sst>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1539220</v>
      </c>
      <c r="D9" s="11">
        <f>IFERROR('Linha 1'!O163,"")</f>
        <v>633800</v>
      </c>
      <c r="E9" s="11">
        <f>IFERROR('Linha 2'!O163,"")</f>
        <v>627680</v>
      </c>
      <c r="F9" s="11">
        <f>IFERROR('Linha 3'!O163,"")</f>
        <v>1190340</v>
      </c>
      <c r="G9" s="12">
        <f t="shared" si="0"/>
        <v>2451820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14002990</v>
      </c>
      <c r="D35" s="13">
        <f>IFERROR(SUM(D4:D34),"")</f>
        <v>6398650</v>
      </c>
      <c r="E35" s="13">
        <f>IFERROR(SUM(E4:E34),"")</f>
        <v>3406270</v>
      </c>
      <c r="F35" s="13">
        <f>IFERROR(SUM(F4:F34),"")</f>
        <v>6166270</v>
      </c>
      <c r="G35" s="13">
        <f>IFERROR(SUM(G4:G34),"")</f>
        <v>15971190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35" activePane="bottomLeft" state="frozen"/>
      <selection pane="bottomLeft" activeCell="F152" sqref="F1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>
        <v>1539220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20</v>
      </c>
      <c r="G150" s="28">
        <f t="shared" ref="G150:G161" si="33">IF(F150="","",IF(E150="PC 17",F150*4.2,IF(E150="PC 19",F150*5,"")))</f>
        <v>100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/>
      <c r="F151" s="27">
        <v>10</v>
      </c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100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109</v>
      </c>
      <c r="G163" s="40">
        <f>G149+G162</f>
        <v>495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1539220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8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>
        <v>633800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14</v>
      </c>
      <c r="G150" s="28">
        <f t="shared" ref="G150:G161" si="33">IF(F150="","",IF(E150="PC 17",F150*4.2,IF(E150="PC 19",F150*5,"")))</f>
        <v>70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19</v>
      </c>
      <c r="G151" s="34">
        <f t="shared" si="33"/>
        <v>79.8</v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33</v>
      </c>
      <c r="G162" s="36">
        <f>SUM(G150:G161)</f>
        <v>149.80000000000001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128</v>
      </c>
      <c r="G163" s="40">
        <f>G149+G162</f>
        <v>624.79999999999995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633800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52" sqref="F1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>
        <v>627680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/>
      <c r="E150" s="59" t="s">
        <v>203</v>
      </c>
      <c r="F150" s="27">
        <v>8</v>
      </c>
      <c r="G150" s="28">
        <f t="shared" ref="G150:G161" si="33">IF(F150="","",IF(E150="PC 17",F150*4.2,IF(E150="PC 19",F150*5,"")))</f>
        <v>40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/>
      <c r="E151" s="59" t="s">
        <v>214</v>
      </c>
      <c r="F151" s="27">
        <v>10</v>
      </c>
      <c r="G151" s="34">
        <f t="shared" si="33"/>
        <v>42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18</v>
      </c>
      <c r="G162" s="36">
        <f>SUM(G150:G161)</f>
        <v>82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136</v>
      </c>
      <c r="G163" s="40">
        <f>G149+G162</f>
        <v>672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627680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3" activePane="bottomLeft" state="frozen"/>
      <selection pane="bottomLeft" activeCell="F152" sqref="F1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0.63110393518581986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0.83040949074137549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1.1977706018524865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>
        <v>1190340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214</v>
      </c>
      <c r="F151" s="27">
        <v>14</v>
      </c>
      <c r="G151" s="34">
        <f t="shared" si="33"/>
        <v>58.800000000000004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/>
      <c r="M151" s="35">
        <f t="shared" ca="1" si="34"/>
        <v>8.8817129581002519E-3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30</v>
      </c>
      <c r="G162" s="36">
        <f>SUM(G150:G161)</f>
        <v>138.80000000000001</v>
      </c>
      <c r="H162" s="37"/>
      <c r="I162" s="37"/>
      <c r="J162" s="37"/>
      <c r="K162" s="61"/>
      <c r="L162" s="61"/>
      <c r="M162" s="38">
        <f ca="1">IFERROR(SUM(M150:M161),"")</f>
        <v>1.9992824069211323E-2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251</v>
      </c>
      <c r="G163" s="40">
        <f>G149+G162</f>
        <v>1243.8</v>
      </c>
      <c r="H163" s="41"/>
      <c r="I163" s="41"/>
      <c r="J163" s="41"/>
      <c r="K163" s="63"/>
      <c r="L163" s="63"/>
      <c r="M163" s="42">
        <f ca="1">IFERROR(M149+M162,"")</f>
        <v>8.5270601846989147E-2</v>
      </c>
      <c r="N163" s="40" t="s">
        <v>209</v>
      </c>
      <c r="O163" s="43">
        <f>IFERROR(O149+O162,"")</f>
        <v>1190340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2026-07-07T01:08:02Z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