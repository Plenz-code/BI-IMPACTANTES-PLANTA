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5" documentId="8_{AF585B22-221D-4780-BB9C-493D365A6A02}" xr6:coauthVersionLast="47" xr6:coauthVersionMax="47" xr10:uidLastSave="{F8AF37AD-6911-422A-93B4-C5710965BF0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55" i="5" l="1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<sst xmlns="http://schemas.openxmlformats.org/spreadsheetml/2006/main" count="1437" uniqueCount="203">
  <si>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</si>
  <si>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</si>
  <si>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</si>
  <si>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</si>
  <si>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</si>
  <si>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</si>
  <si>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</si>
  <si>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</si>
  <si>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</si>
  <si>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</si>
  <si>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</si>
  <si>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</si>
  <si>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</si>
  <si>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</si>
  <si>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</si>
  <si>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</si>
  <si>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</si>
  <si>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</si>
  <si>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</si>
  <si>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</si>
  <si>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</si>
  <si>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</si>
  <si>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</si>
  <si>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</si>
  <si>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</si>
  <si>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</si>
  <si>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</si>
  <si>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</si>
  <si>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</si>
  <si>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</si>
  <si>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</si>
  <si>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</si>
  <si>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</si>
  <si>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</si>
  <si>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</si>
  <si>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</si>
  <si>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</si>
  <si>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</si>
  <si>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</si>
  <si>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</si>
  <si>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</si>
  <si>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</si>
  <si>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</si>
  <si>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</si>
  <si>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</si>
  <si>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</si>
  <si>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</si>
  <si>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</si>
  <si>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</si>
  <si>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</si>
  <si>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</si>
  <si>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</si>
  <si>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</si>
  <si>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</si>
  <si>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</si>
  <si>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</si>
  <si>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</si>
  <si>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</si>
  <si>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</si>
  <si>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</si>
  <si>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</si>
  <si>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</si>
  <si>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</si>
  <si>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</si>
  <si>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</si>
  <si>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</si>
  <si>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</si>
  <si>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</si>
  <si>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</si>
  <si>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</si>
  <si>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</si>
  <si>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</si>
  <si>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</si>
  <si>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</si>
  <si>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</si>
  <si>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</si>
  <si>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</si>
  <si>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</si>
  <si>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</si>
  <si>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</si>
  <si>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</si>
  <si>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</si>
  <si>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</si>
  <si>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</si>
  <si>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</si>
  <si>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</si>
  <si>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</si>
  <si>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</si>
  <si>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</si>
  <si>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</si>
  <si>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</si>
  <si>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</si>
  <si>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</si>
  <si>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</si>
  <si>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</si>
  <si>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</si>
  <si>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</si>
  <si>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</si>
  <si>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</si>
  <si>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</si>
  <si>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</si>
  <si>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</si>
  <si>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</si>
  <si>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</si>
  <si>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</si>
  <si>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</si>
  <si>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</si>
  <si>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</si>
  <si>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</si>
  <si>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</si>
  <si>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</si>
  <si>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</si>
  <si>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</si>
  <si>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</si>
  <si>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</si>
  <si>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</si>
  <si>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</si>
  <si>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</si>
  <si>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</si>
  <si>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</si>
  <si>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</si>
  <si>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</si>
  <si>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</si>
  <si>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</si>
  <si>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</si>
  <si>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</si>
  <si>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</si>
  <si>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</si>
  <si>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</si>
  <si>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</si>
  <si>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</si>
  <si>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</si>
  <si>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</si>
  <si>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</si>
  <si>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</si>
  <si>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</si>
  <si>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</si>
  <si>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</si>
  <si>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</si>
  <si>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</si>
  <si>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</si>
  <si>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</si>
  <si>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</si>
  <si>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</si>
  <si>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</si>
  <si>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</si>
  <si>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</si>
  <si>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</si>
  <si>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</si>
  <si>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</si>
  <si>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</si>
  <si>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</si>
  <si>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</si>
  <si>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</si>
  <si>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</si>
  <si>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</si>
  <si>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</si>
  <si>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</si>
  <si>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</si>
  <si>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</si>
  <si>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</si>
  <si>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</si>
  <si>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</si>
  <si>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</si>
  <si>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</si>
  <si>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</si>
  <si>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</si>
  <si>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</si>
  <si>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</si>
  <si>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</si>
  <si>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</si>
  <si>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</si>
  <si>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</si>
  <si>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</si>
  <si>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</si>
  <si>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</si>
  <si>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</si>
  <si>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</si>
  <si>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</si>
  <si>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</si>
  <si>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</si>
  <si>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</si>
  <si>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</si>
  <si>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</si>
  <si>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</si>
  <si>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</si>
  <si>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</si>
  <si>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</si>
  <si>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</si>
  <si>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</si>
  <si>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</si>
  <si>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</si>
  <si>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</si>
  <si>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</si>
  <si>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</si>
  <si>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</si>
  <si>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martelo soltou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</si>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</sst>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E38" sqref="E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/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/>
      <c r="M29" s="35">
        <f t="shared" ref="M29:M40" ca="1" si="7">IFERROR(IF(K29="","",IF(L29="",MOD(NOW()-K29,1),IF(L29&gt;=K29,L29-K29,L29+1-K29))),"")</f>
        <v>3.9939814814715646E-2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3.9939814814715646E-2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3.9939814814715646E-2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1</v>
      </c>
      <c r="G29" s="28" t="str">
        <f t="shared" ref="G29:G40" si="6">IF(F29="","",IF(E29="PC 17",F29*4.2,IF(E29="PC 19",F29*5,"")))</f>
        <v/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5.3134259258513339E-2</v>
      </c>
      <c r="N29" s="46" t="s">
        <v>196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 t="s">
        <v>20</v>
      </c>
      <c r="I30" s="26" t="s">
        <v>133</v>
      </c>
      <c r="J30" s="26"/>
      <c r="K30" s="29">
        <v>0.34027777777777779</v>
      </c>
      <c r="L30" s="29"/>
      <c r="M30" s="30">
        <f t="shared" ca="1" si="7"/>
        <v>2.0495370365097187E-2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1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7.3629629623610526E-2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1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7.3629629623610526E-2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K31" sqref="K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0</v>
      </c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6.9106481481867377E-2</v>
      </c>
      <c r="N29" s="27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>
        <v>0.34027777777777779</v>
      </c>
      <c r="L30" s="29"/>
      <c r="M30" s="30">
        <f t="shared" ca="1" si="7"/>
        <v>2.0495370365097187E-2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8.9601851846964564E-2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8.9601851846964564E-2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K30" sqref="K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>
        <v>7</v>
      </c>
      <c r="G29" s="28" t="str">
        <f t="shared" ref="G29:G40" si="6">IF(F29="","",IF(E29="PC 17",F29*4.2,IF(E29="PC 19",F29*5,"")))</f>
        <v/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2.0495370365097187E-2</v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7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2.0495370365097187E-2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7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2.0495370365097187E-2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2026-07-02T12:39:30Z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