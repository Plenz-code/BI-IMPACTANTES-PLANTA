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62" documentId="8_{AF585B22-221D-4780-BB9C-493D365A6A02}" xr6:coauthVersionLast="47" xr6:coauthVersionMax="47" xr10:uidLastSave="{47FD28AD-E1A6-4213-BE19-43382F87EE2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<sst xmlns="http://schemas.openxmlformats.org/spreadsheetml/2006/main" count="6295" uniqueCount="316">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</sst>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7" sqref="F17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/>
      <c r="L65" s="17"/>
      <c r="M65" s="17"/>
    </row>
    <row r="66" spans="8:13" ht="15" customHeight="1">
      <c r="H66" s="104"/>
      <c r="I66" s="16"/>
      <c r="J66" s="16"/>
      <c r="K66" s="16"/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D390" sqref="D390:D3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219</v>
      </c>
      <c r="O378" s="39">
        <v>1088710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216</v>
      </c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216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216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216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216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216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216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216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216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216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216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216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59" t="s">
        <v>216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K381" sqref="K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6.4607060179696418E-2</v>
      </c>
      <c r="N377" s="46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0.2222459490685853</v>
      </c>
      <c r="N378" s="36" t="s">
        <v>219</v>
      </c>
      <c r="O378" s="78">
        <v>511980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0.33196817129080747</v>
      </c>
      <c r="N379" s="40" t="s">
        <v>222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236</v>
      </c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>
        <v>0.2986111111111111</v>
      </c>
      <c r="L380" s="29"/>
      <c r="M380" s="30">
        <f t="shared" ref="M380:M391" ca="1" si="85">IFERROR(IF(K380="","",IF(L380="",MOD(NOW()-K380,1),IF(L380&gt;=K380,L380-K380,L380+1-K380))),"")</f>
        <v>5.5792824059608392E-3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236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236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236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236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236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236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236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236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236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236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236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5.5792824059608392E-3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5.5792824059608392E-3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0" sqref="F3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219</v>
      </c>
      <c r="O378" s="39">
        <v>473310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236</v>
      </c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20" t="s">
        <v>236</v>
      </c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236</v>
      </c>
      <c r="F382" s="27"/>
      <c r="G382" s="28" t="str">
        <f>IF(F382="","",IF(#REF!="PC 17",F382*4.2,IF(#REF!="PC 19",F382*5,"")))</f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236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236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236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236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236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236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236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236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236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7" activePane="bottomLeft" state="frozen"/>
      <selection pane="bottomLeft" activeCell="C391" sqref="C3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5.4884837962163147E-2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0.25419039351771877</v>
      </c>
      <c r="N135" s="36" t="s">
        <v>219</v>
      </c>
      <c r="O135" s="39">
        <v>729290</v>
      </c>
    </row>
    <row r="136" spans="1:18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0.6215515046288298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218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219</v>
      </c>
      <c r="O378" s="39">
        <v>704750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2026-07-15T11:20:02Z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