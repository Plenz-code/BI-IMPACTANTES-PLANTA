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242" documentId="13_ncr:1_{0A10D8D4-8450-4366-8075-B53B08E6B7EA}" xr6:coauthVersionLast="47" xr6:coauthVersionMax="47" xr10:uidLastSave="{BB61F5A1-9836-47AF-A7FD-6B2EE1821634}"/>
  <bookViews>
    <workbookView xWindow="-120" yWindow="-120" windowWidth="29040" windowHeight="15720" tabRatio="500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Planilha6" sheetId="12" r:id="rId5"/>
    <sheet name="Planilha5" sheetId="11" r:id="rId6"/>
    <sheet name="Planilha4" sheetId="10" r:id="rId7"/>
    <sheet name="Planilha3" sheetId="9" r:id="rId8"/>
    <sheet name="Planilha2" sheetId="8" r:id="rId9"/>
    <sheet name="Planilha1" sheetId="7" r:id="rId10"/>
    <sheet name="Linha 2" sheetId="5" r:id="rId11"/>
    <sheet name="Linha 3" sheetId="6" r:id="rId12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406" i="4" l="1"/>
  <c r="K406" i="5"/>
  <c r="K406" i="6"/>
  <c r="G406" i="6"/>
  <c r="G406" i="5"/>
  <c r="G406" i="4"/>
  <c r="F406" i="3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8" i="5"/>
  <c r="J408" i="5" s="1"/>
  <c r="H409" i="5"/>
  <c r="J409" i="5" s="1"/>
  <c r="H410" i="5"/>
  <c r="J410" i="5" s="1"/>
  <c r="H412" i="5"/>
  <c r="J412" i="5" s="1"/>
  <c r="H413" i="5"/>
  <c r="J413" i="5" s="1"/>
  <c r="H414" i="5"/>
  <c r="J414" i="5" s="1"/>
  <c r="H415" i="5"/>
  <c r="J415" i="5" s="1"/>
  <c r="H416" i="5"/>
  <c r="J416" i="5" s="1"/>
  <c r="H417" i="5"/>
  <c r="J417" i="5" s="1"/>
  <c r="H418" i="5"/>
  <c r="J418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9" i="4"/>
  <c r="J409" i="4" s="1"/>
  <c r="H410" i="4"/>
  <c r="J410" i="4" s="1"/>
  <c r="H411" i="4"/>
  <c r="J411" i="4" s="1"/>
  <c r="H412" i="4"/>
  <c r="J412" i="4" s="1"/>
  <c r="H413" i="4"/>
  <c r="J413" i="4" s="1"/>
  <c r="H414" i="4"/>
  <c r="J414" i="4" s="1"/>
  <c r="H415" i="4"/>
  <c r="J415" i="4" s="1"/>
  <c r="H416" i="4"/>
  <c r="J416" i="4" s="1"/>
  <c r="H417" i="4"/>
  <c r="J417" i="4" s="1"/>
  <c r="H418" i="4"/>
  <c r="J418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621" i="4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473" i="5"/>
  <c r="H581" i="5"/>
  <c r="H621" i="5"/>
  <c r="H648" i="5"/>
  <c r="H459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432" i="4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87" i="5"/>
  <c r="H676" i="5"/>
  <c r="H460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H407" i="6" s="1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07" i="5" l="1"/>
  <c r="H411" i="5"/>
  <c r="J411" i="5" s="1"/>
  <c r="H407" i="4"/>
  <c r="H419" i="4" s="1"/>
  <c r="H433" i="4" s="1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407" i="4" l="1"/>
  <c r="J419" i="4" s="1"/>
  <c r="J433" i="6"/>
  <c r="T433" i="6" s="1"/>
  <c r="T419" i="6"/>
  <c r="T419" i="5"/>
  <c r="J433" i="5"/>
  <c r="T433" i="5" s="1"/>
  <c r="T419" i="4"/>
  <c r="J433" i="4"/>
  <c r="T433" i="4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H19" i="1" l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<sst xmlns="http://schemas.openxmlformats.org/spreadsheetml/2006/main" count="7105" uniqueCount="355">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</sst>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 x14ac:knownFonts="1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o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/>
    </sheetView>
  </sheetViews>
  <sheetFormatPr defaultColWidth="8.5703125" defaultRowHeight="15" x14ac:dyDescent="0.2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  <col min="12" max="12" width="8.5703125" customWidth="1"/>
  </cols>
  <sheetData>
    <row r="1" spans="1:11" ht="31.5" customHeight="1" x14ac:dyDescent="0.25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 x14ac:dyDescent="0.25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 x14ac:dyDescent="0.25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 x14ac:dyDescent="0.25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 x14ac:dyDescent="0.25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 x14ac:dyDescent="0.25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 x14ac:dyDescent="0.25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 x14ac:dyDescent="0.25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 x14ac:dyDescent="0.25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 x14ac:dyDescent="0.25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 x14ac:dyDescent="0.25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 x14ac:dyDescent="0.25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 x14ac:dyDescent="0.25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 x14ac:dyDescent="0.25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 x14ac:dyDescent="0.25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 x14ac:dyDescent="0.25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 x14ac:dyDescent="0.25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 x14ac:dyDescent="0.25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/>
      <c r="J18" s="129">
        <f t="shared" si="1"/>
        <v>0</v>
      </c>
      <c r="K18" s="154"/>
    </row>
    <row r="19" spans="1:11" ht="15.75" customHeight="1" x14ac:dyDescent="0.25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 x14ac:dyDescent="0.25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 x14ac:dyDescent="0.25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 x14ac:dyDescent="0.25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 x14ac:dyDescent="0.25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 x14ac:dyDescent="0.25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 x14ac:dyDescent="0.25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 x14ac:dyDescent="0.25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 x14ac:dyDescent="0.25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 x14ac:dyDescent="0.25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 x14ac:dyDescent="0.25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 x14ac:dyDescent="0.25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 x14ac:dyDescent="0.25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 x14ac:dyDescent="0.25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 x14ac:dyDescent="0.25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 x14ac:dyDescent="0.25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 x14ac:dyDescent="0.25">
      <c r="A35" s="163" t="s">
        <v>14</v>
      </c>
      <c r="B35" s="163"/>
      <c r="C35" s="13">
        <f t="shared" ref="C35:H35" si="2">IFERROR(SUM(C4:C34),"")</f>
        <v>56392520</v>
      </c>
      <c r="D35" s="13">
        <f t="shared" si="2"/>
        <v>18248020</v>
      </c>
      <c r="E35" s="13">
        <f t="shared" si="2"/>
        <v>9434670</v>
      </c>
      <c r="F35" s="13">
        <f t="shared" si="2"/>
        <v>23508930</v>
      </c>
      <c r="G35" s="13">
        <f t="shared" si="2"/>
        <v>51191620</v>
      </c>
      <c r="H35" s="97">
        <f t="shared" si="2"/>
        <v>3210.2952927907322</v>
      </c>
      <c r="I35" s="97">
        <f>IFERROR(SUM(I4:I34),"")</f>
        <v>2403.2399999999998</v>
      </c>
      <c r="J35" s="130">
        <f>IFERROR(AVERAGE(J4:J34),"-")</f>
        <v>0.71867777186346116</v>
      </c>
      <c r="K35" s="157">
        <f>SUM(K4:K34)</f>
        <v>450.78</v>
      </c>
    </row>
  </sheetData>
  <sheetProtection algorithmName="SHA-512" hashValue="IrfNho2feiWZfOO6d9dHLv1JXNgLv5M+T1rWWwVaGz2HqhHIHJyCr705on9TyGr+a1vmAN1YSqQCo1MQUxfY8Q==" saltValue="Q8MYCPwmSrWpCTh6lrtigA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54" zoomScale="85" zoomScaleNormal="85" workbookViewId="0"/>
  </sheetViews>
  <sheetFormatPr defaultColWidth="8.5703125" defaultRowHeight="15" x14ac:dyDescent="0.2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 x14ac:dyDescent="0.25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 x14ac:dyDescent="0.25">
      <c r="M2" s="167"/>
    </row>
    <row r="3" spans="1:18" ht="25.9" customHeight="1" x14ac:dyDescent="0.25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 x14ac:dyDescent="0.25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 x14ac:dyDescent="0.25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 x14ac:dyDescent="0.25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 x14ac:dyDescent="0.25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 x14ac:dyDescent="0.25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 x14ac:dyDescent="0.25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 x14ac:dyDescent="0.25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 x14ac:dyDescent="0.25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 x14ac:dyDescent="0.25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 x14ac:dyDescent="0.25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 x14ac:dyDescent="0.25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 x14ac:dyDescent="0.25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 x14ac:dyDescent="0.25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 x14ac:dyDescent="0.25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 x14ac:dyDescent="0.25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 x14ac:dyDescent="0.25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 x14ac:dyDescent="0.25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 x14ac:dyDescent="0.25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 x14ac:dyDescent="0.25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 x14ac:dyDescent="0.25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 x14ac:dyDescent="0.25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 x14ac:dyDescent="0.25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 x14ac:dyDescent="0.25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 x14ac:dyDescent="0.25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 x14ac:dyDescent="0.25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 x14ac:dyDescent="0.25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 x14ac:dyDescent="0.25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 x14ac:dyDescent="0.25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 x14ac:dyDescent="0.25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 x14ac:dyDescent="0.25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 x14ac:dyDescent="0.25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 x14ac:dyDescent="0.25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 x14ac:dyDescent="0.25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 x14ac:dyDescent="0.25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 x14ac:dyDescent="0.25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 x14ac:dyDescent="0.25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 x14ac:dyDescent="0.25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 x14ac:dyDescent="0.25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 x14ac:dyDescent="0.25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 x14ac:dyDescent="0.25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 x14ac:dyDescent="0.25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 x14ac:dyDescent="0.25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 x14ac:dyDescent="0.25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 x14ac:dyDescent="0.25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 x14ac:dyDescent="0.25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 x14ac:dyDescent="0.25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 x14ac:dyDescent="0.25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 x14ac:dyDescent="0.25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 x14ac:dyDescent="0.25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 x14ac:dyDescent="0.25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 x14ac:dyDescent="0.25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 x14ac:dyDescent="0.25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 x14ac:dyDescent="0.25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 x14ac:dyDescent="0.25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 x14ac:dyDescent="0.25">
      <c r="M58" s="167"/>
      <c r="N58" s="16"/>
      <c r="O58" s="16"/>
      <c r="P58" s="16" t="s">
        <v>216</v>
      </c>
      <c r="Q58" s="16"/>
      <c r="R58" s="16"/>
    </row>
    <row r="59" spans="1:18" ht="15" customHeight="1" x14ac:dyDescent="0.25">
      <c r="M59" s="167"/>
      <c r="N59" s="17"/>
      <c r="O59" s="17"/>
      <c r="P59" s="17" t="s">
        <v>217</v>
      </c>
      <c r="Q59" s="17"/>
      <c r="R59" s="17"/>
    </row>
    <row r="60" spans="1:18" ht="15" customHeight="1" x14ac:dyDescent="0.25">
      <c r="M60" s="167"/>
      <c r="N60" s="16"/>
      <c r="O60" s="16"/>
      <c r="P60" s="77" t="s">
        <v>112</v>
      </c>
      <c r="Q60" s="16"/>
      <c r="R60" s="16"/>
    </row>
    <row r="61" spans="1:18" ht="15" customHeight="1" x14ac:dyDescent="0.25">
      <c r="M61" s="167"/>
      <c r="N61" s="17"/>
      <c r="O61" s="17"/>
      <c r="P61" s="17" t="s">
        <v>218</v>
      </c>
      <c r="Q61" s="17"/>
      <c r="R61" s="17"/>
    </row>
    <row r="62" spans="1:18" ht="15" customHeight="1" x14ac:dyDescent="0.25">
      <c r="M62" s="167"/>
      <c r="N62" s="16"/>
      <c r="O62" s="16"/>
      <c r="P62" s="16" t="s">
        <v>219</v>
      </c>
      <c r="Q62" s="16"/>
      <c r="R62" s="16"/>
    </row>
    <row r="63" spans="1:18" ht="15" customHeight="1" x14ac:dyDescent="0.25">
      <c r="M63" s="167"/>
      <c r="N63" s="17"/>
      <c r="O63" s="17"/>
      <c r="P63" s="17" t="s">
        <v>220</v>
      </c>
      <c r="Q63" s="17"/>
      <c r="R63" s="17"/>
    </row>
    <row r="64" spans="1:18" ht="15" customHeight="1" x14ac:dyDescent="0.25">
      <c r="M64" s="167"/>
      <c r="N64" s="16"/>
      <c r="O64" s="16"/>
      <c r="P64" s="16" t="s">
        <v>221</v>
      </c>
      <c r="Q64" s="16"/>
      <c r="R64" s="16"/>
    </row>
    <row r="65" spans="13:18" ht="15" customHeight="1" x14ac:dyDescent="0.25">
      <c r="M65" s="167"/>
      <c r="N65" s="17"/>
      <c r="O65" s="17"/>
      <c r="P65" s="17" t="s">
        <v>222</v>
      </c>
      <c r="Q65" s="17"/>
      <c r="R65" s="17"/>
    </row>
    <row r="66" spans="13:18" ht="15" customHeight="1" x14ac:dyDescent="0.25">
      <c r="M66" s="167"/>
      <c r="N66" s="16"/>
      <c r="O66" s="16"/>
      <c r="P66" s="16" t="s">
        <v>223</v>
      </c>
      <c r="Q66" s="16"/>
      <c r="R66" s="16"/>
    </row>
    <row r="67" spans="13:18" ht="15" customHeight="1" x14ac:dyDescent="0.25">
      <c r="M67" s="167"/>
      <c r="N67" s="17"/>
      <c r="O67" s="17"/>
      <c r="P67" s="17" t="s">
        <v>224</v>
      </c>
      <c r="Q67" s="17"/>
      <c r="R67" s="17"/>
    </row>
    <row r="68" spans="13:18" ht="15" customHeight="1" x14ac:dyDescent="0.25">
      <c r="M68" s="167"/>
      <c r="N68" s="16"/>
      <c r="O68" s="16"/>
      <c r="P68" s="16" t="s">
        <v>225</v>
      </c>
      <c r="Q68" s="16"/>
      <c r="R68" s="16"/>
    </row>
    <row r="69" spans="13:18" ht="15" customHeight="1" x14ac:dyDescent="0.25">
      <c r="M69" s="167"/>
      <c r="N69" s="17"/>
      <c r="O69" s="17"/>
      <c r="P69" s="17" t="s">
        <v>226</v>
      </c>
      <c r="Q69" s="17"/>
      <c r="R69" s="17"/>
    </row>
    <row r="70" spans="13:18" ht="15" customHeight="1" x14ac:dyDescent="0.25">
      <c r="M70" s="167"/>
      <c r="N70" s="16"/>
      <c r="O70" s="16"/>
      <c r="P70" s="16" t="s">
        <v>227</v>
      </c>
      <c r="Q70" s="16"/>
      <c r="R70" s="16"/>
    </row>
    <row r="71" spans="13:18" ht="15" customHeight="1" x14ac:dyDescent="0.25">
      <c r="M71" s="167"/>
      <c r="N71" s="17"/>
      <c r="O71" s="17"/>
      <c r="P71" s="17" t="s">
        <v>228</v>
      </c>
      <c r="Q71" s="17"/>
      <c r="R71" s="17"/>
    </row>
    <row r="72" spans="13:18" ht="15" customHeight="1" x14ac:dyDescent="0.25">
      <c r="M72" s="167"/>
      <c r="N72" s="16"/>
      <c r="O72" s="16"/>
      <c r="P72" s="16" t="s">
        <v>229</v>
      </c>
      <c r="Q72" s="16"/>
      <c r="R72" s="16"/>
    </row>
    <row r="73" spans="13:18" ht="15" customHeight="1" x14ac:dyDescent="0.25">
      <c r="M73" s="167"/>
      <c r="N73" s="17"/>
      <c r="O73" s="17"/>
      <c r="P73" s="17" t="s">
        <v>230</v>
      </c>
      <c r="Q73" s="17"/>
      <c r="R73" s="17"/>
    </row>
    <row r="74" spans="13:18" ht="15" customHeight="1" x14ac:dyDescent="0.25">
      <c r="M74" s="167"/>
      <c r="N74" s="16"/>
      <c r="O74" s="16"/>
      <c r="P74" s="16" t="s">
        <v>231</v>
      </c>
      <c r="Q74" s="16"/>
      <c r="R74" s="16"/>
    </row>
    <row r="75" spans="13:18" ht="15" customHeight="1" x14ac:dyDescent="0.25">
      <c r="M75" s="167"/>
      <c r="N75" s="17"/>
      <c r="O75" s="17"/>
      <c r="P75" s="17" t="s">
        <v>232</v>
      </c>
      <c r="Q75" s="17"/>
      <c r="R75" s="17"/>
    </row>
    <row r="76" spans="13:18" ht="15" customHeight="1" x14ac:dyDescent="0.25"/>
    <row r="77" spans="13:18" ht="15" customHeight="1" x14ac:dyDescent="0.25"/>
    <row r="78" spans="13:18" ht="15" customHeight="1" x14ac:dyDescent="0.25"/>
    <row r="79" spans="13:18" ht="15" customHeight="1" x14ac:dyDescent="0.25"/>
    <row r="80" spans="13:18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92" activePane="bottomLeft" state="frozen"/>
      <selection sqref="A1:G409"/>
      <selection pane="bottomLeft" sqref="A1:G409"/>
    </sheetView>
  </sheetViews>
  <sheetFormatPr defaultColWidth="8.5703125" defaultRowHeight="15" x14ac:dyDescent="0.2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 x14ac:dyDescent="0.25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 x14ac:dyDescent="0.25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 x14ac:dyDescent="0.25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 x14ac:dyDescent="0.25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 x14ac:dyDescent="0.25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 x14ac:dyDescent="0.25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 x14ac:dyDescent="0.25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 x14ac:dyDescent="0.25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 x14ac:dyDescent="0.25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 x14ac:dyDescent="0.25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 x14ac:dyDescent="0.25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 x14ac:dyDescent="0.25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 x14ac:dyDescent="0.25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 x14ac:dyDescent="0.25">
      <c r="A14" s="160" t="s">
        <v>244</v>
      </c>
      <c r="B14" s="161"/>
      <c r="C14" s="161"/>
      <c r="D14" s="161"/>
      <c r="E14" s="17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 x14ac:dyDescent="0.25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 x14ac:dyDescent="0.25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 x14ac:dyDescent="0.25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 x14ac:dyDescent="0.25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 x14ac:dyDescent="0.25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 x14ac:dyDescent="0.25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 x14ac:dyDescent="0.25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 x14ac:dyDescent="0.25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 x14ac:dyDescent="0.25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 x14ac:dyDescent="0.25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 x14ac:dyDescent="0.25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 x14ac:dyDescent="0.25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 x14ac:dyDescent="0.25">
      <c r="A27" s="160" t="s">
        <v>247</v>
      </c>
      <c r="B27" s="161"/>
      <c r="C27" s="161"/>
      <c r="D27" s="161"/>
      <c r="E27" s="17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 x14ac:dyDescent="0.25">
      <c r="A28" s="158" t="s">
        <v>248</v>
      </c>
      <c r="B28" s="159"/>
      <c r="C28" s="159"/>
      <c r="D28" s="159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 x14ac:dyDescent="0.25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 x14ac:dyDescent="0.25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 x14ac:dyDescent="0.25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 x14ac:dyDescent="0.25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 x14ac:dyDescent="0.25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 x14ac:dyDescent="0.25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 x14ac:dyDescent="0.25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 x14ac:dyDescent="0.25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 x14ac:dyDescent="0.25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 x14ac:dyDescent="0.25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 x14ac:dyDescent="0.25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 x14ac:dyDescent="0.25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 x14ac:dyDescent="0.25">
      <c r="A41" s="160" t="s">
        <v>244</v>
      </c>
      <c r="B41" s="161"/>
      <c r="C41" s="161"/>
      <c r="D41" s="161"/>
      <c r="E41" s="17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 x14ac:dyDescent="0.25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 x14ac:dyDescent="0.25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 x14ac:dyDescent="0.25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 x14ac:dyDescent="0.25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 x14ac:dyDescent="0.25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 x14ac:dyDescent="0.25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 x14ac:dyDescent="0.25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 x14ac:dyDescent="0.25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 x14ac:dyDescent="0.25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 x14ac:dyDescent="0.25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 x14ac:dyDescent="0.25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 x14ac:dyDescent="0.25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 x14ac:dyDescent="0.25">
      <c r="A54" s="160" t="s">
        <v>247</v>
      </c>
      <c r="B54" s="161"/>
      <c r="C54" s="161"/>
      <c r="D54" s="161"/>
      <c r="E54" s="17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 x14ac:dyDescent="0.25">
      <c r="A55" s="158" t="s">
        <v>248</v>
      </c>
      <c r="B55" s="159"/>
      <c r="C55" s="159"/>
      <c r="D55" s="159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 x14ac:dyDescent="0.25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 x14ac:dyDescent="0.25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 x14ac:dyDescent="0.25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 x14ac:dyDescent="0.25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 x14ac:dyDescent="0.25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 x14ac:dyDescent="0.25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 x14ac:dyDescent="0.25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 x14ac:dyDescent="0.25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 x14ac:dyDescent="0.25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 x14ac:dyDescent="0.25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 x14ac:dyDescent="0.25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 x14ac:dyDescent="0.25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 x14ac:dyDescent="0.25">
      <c r="A68" s="160" t="s">
        <v>244</v>
      </c>
      <c r="B68" s="161"/>
      <c r="C68" s="161"/>
      <c r="D68" s="161"/>
      <c r="E68" s="17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 x14ac:dyDescent="0.25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 x14ac:dyDescent="0.25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 x14ac:dyDescent="0.25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 x14ac:dyDescent="0.25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 x14ac:dyDescent="0.25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 x14ac:dyDescent="0.25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 x14ac:dyDescent="0.25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 x14ac:dyDescent="0.25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 x14ac:dyDescent="0.25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 x14ac:dyDescent="0.25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 x14ac:dyDescent="0.25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 x14ac:dyDescent="0.25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 x14ac:dyDescent="0.25">
      <c r="A81" s="160" t="s">
        <v>247</v>
      </c>
      <c r="B81" s="161"/>
      <c r="C81" s="161"/>
      <c r="D81" s="161"/>
      <c r="E81" s="17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 x14ac:dyDescent="0.25">
      <c r="A82" s="158" t="s">
        <v>248</v>
      </c>
      <c r="B82" s="159"/>
      <c r="C82" s="159"/>
      <c r="D82" s="159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 x14ac:dyDescent="0.25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 x14ac:dyDescent="0.25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 x14ac:dyDescent="0.25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 x14ac:dyDescent="0.25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 x14ac:dyDescent="0.25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 x14ac:dyDescent="0.25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 x14ac:dyDescent="0.25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 x14ac:dyDescent="0.25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 x14ac:dyDescent="0.25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 x14ac:dyDescent="0.25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 x14ac:dyDescent="0.25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 x14ac:dyDescent="0.25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 x14ac:dyDescent="0.25">
      <c r="A95" s="160" t="s">
        <v>244</v>
      </c>
      <c r="B95" s="161"/>
      <c r="C95" s="161"/>
      <c r="D95" s="161"/>
      <c r="E95" s="17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 x14ac:dyDescent="0.25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 x14ac:dyDescent="0.25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 x14ac:dyDescent="0.25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 x14ac:dyDescent="0.25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 x14ac:dyDescent="0.25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 x14ac:dyDescent="0.25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 x14ac:dyDescent="0.25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 x14ac:dyDescent="0.25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 x14ac:dyDescent="0.25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 x14ac:dyDescent="0.25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 x14ac:dyDescent="0.25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 x14ac:dyDescent="0.25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 x14ac:dyDescent="0.25">
      <c r="A108" s="160" t="s">
        <v>247</v>
      </c>
      <c r="B108" s="161"/>
      <c r="C108" s="161"/>
      <c r="D108" s="161"/>
      <c r="E108" s="17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 x14ac:dyDescent="0.25">
      <c r="A109" s="158" t="s">
        <v>248</v>
      </c>
      <c r="B109" s="159"/>
      <c r="C109" s="159"/>
      <c r="D109" s="159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 x14ac:dyDescent="0.25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 x14ac:dyDescent="0.25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 x14ac:dyDescent="0.25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 x14ac:dyDescent="0.25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 x14ac:dyDescent="0.25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 x14ac:dyDescent="0.25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 x14ac:dyDescent="0.25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 x14ac:dyDescent="0.25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 x14ac:dyDescent="0.25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 x14ac:dyDescent="0.25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 x14ac:dyDescent="0.25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 x14ac:dyDescent="0.25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 x14ac:dyDescent="0.25">
      <c r="A122" s="160" t="s">
        <v>244</v>
      </c>
      <c r="B122" s="161"/>
      <c r="C122" s="161"/>
      <c r="D122" s="161"/>
      <c r="E122" s="17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 x14ac:dyDescent="0.25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 x14ac:dyDescent="0.25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 x14ac:dyDescent="0.25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 x14ac:dyDescent="0.25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 x14ac:dyDescent="0.25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 x14ac:dyDescent="0.25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 x14ac:dyDescent="0.25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 x14ac:dyDescent="0.25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 x14ac:dyDescent="0.25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 x14ac:dyDescent="0.25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 x14ac:dyDescent="0.25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 x14ac:dyDescent="0.25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 x14ac:dyDescent="0.25">
      <c r="A135" s="160" t="s">
        <v>247</v>
      </c>
      <c r="B135" s="161"/>
      <c r="C135" s="161"/>
      <c r="D135" s="161"/>
      <c r="E135" s="17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 x14ac:dyDescent="0.25">
      <c r="A136" s="158" t="s">
        <v>248</v>
      </c>
      <c r="B136" s="159"/>
      <c r="C136" s="159"/>
      <c r="D136" s="159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 x14ac:dyDescent="0.25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 x14ac:dyDescent="0.25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 x14ac:dyDescent="0.25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 x14ac:dyDescent="0.25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 x14ac:dyDescent="0.25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 x14ac:dyDescent="0.25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25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25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25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25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25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25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3">
      <c r="A149" s="160" t="s">
        <v>244</v>
      </c>
      <c r="B149" s="161"/>
      <c r="C149" s="161"/>
      <c r="D149" s="161"/>
      <c r="E149" s="17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 x14ac:dyDescent="0.25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 x14ac:dyDescent="0.25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 x14ac:dyDescent="0.25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 x14ac:dyDescent="0.25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 x14ac:dyDescent="0.25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 x14ac:dyDescent="0.25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25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25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25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25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25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25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3">
      <c r="A162" s="160" t="s">
        <v>247</v>
      </c>
      <c r="B162" s="161"/>
      <c r="C162" s="161"/>
      <c r="D162" s="161"/>
      <c r="E162" s="17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 x14ac:dyDescent="0.25">
      <c r="A163" s="158" t="s">
        <v>248</v>
      </c>
      <c r="B163" s="159"/>
      <c r="C163" s="159"/>
      <c r="D163" s="159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 x14ac:dyDescent="0.25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 x14ac:dyDescent="0.25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 x14ac:dyDescent="0.25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 x14ac:dyDescent="0.25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 x14ac:dyDescent="0.25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 x14ac:dyDescent="0.25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25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25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25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25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25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25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25">
      <c r="A176" s="160" t="s">
        <v>244</v>
      </c>
      <c r="B176" s="161"/>
      <c r="C176" s="161"/>
      <c r="D176" s="161"/>
      <c r="E176" s="17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 x14ac:dyDescent="0.25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 x14ac:dyDescent="0.25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 x14ac:dyDescent="0.25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25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25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25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25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25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25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25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25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25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25">
      <c r="A189" s="160" t="s">
        <v>247</v>
      </c>
      <c r="B189" s="161"/>
      <c r="C189" s="161"/>
      <c r="D189" s="161"/>
      <c r="E189" s="17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 x14ac:dyDescent="0.25">
      <c r="A190" s="158" t="s">
        <v>248</v>
      </c>
      <c r="B190" s="159"/>
      <c r="C190" s="159"/>
      <c r="D190" s="159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 x14ac:dyDescent="0.25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 x14ac:dyDescent="0.25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 x14ac:dyDescent="0.25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 x14ac:dyDescent="0.25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 x14ac:dyDescent="0.25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25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25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25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25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25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25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25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25">
      <c r="A203" s="160" t="s">
        <v>244</v>
      </c>
      <c r="B203" s="161"/>
      <c r="C203" s="161"/>
      <c r="D203" s="161"/>
      <c r="E203" s="17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 x14ac:dyDescent="0.25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 x14ac:dyDescent="0.25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 x14ac:dyDescent="0.25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 x14ac:dyDescent="0.25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 x14ac:dyDescent="0.25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 x14ac:dyDescent="0.25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 x14ac:dyDescent="0.25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 x14ac:dyDescent="0.25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 x14ac:dyDescent="0.25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 x14ac:dyDescent="0.25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 x14ac:dyDescent="0.25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 x14ac:dyDescent="0.25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 x14ac:dyDescent="0.25">
      <c r="A216" s="160" t="s">
        <v>247</v>
      </c>
      <c r="B216" s="161"/>
      <c r="C216" s="161"/>
      <c r="D216" s="161"/>
      <c r="E216" s="17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 x14ac:dyDescent="0.25">
      <c r="A217" s="158" t="s">
        <v>248</v>
      </c>
      <c r="B217" s="159"/>
      <c r="C217" s="159"/>
      <c r="D217" s="159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 x14ac:dyDescent="0.25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 x14ac:dyDescent="0.25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 x14ac:dyDescent="0.25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 x14ac:dyDescent="0.25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 x14ac:dyDescent="0.25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 x14ac:dyDescent="0.25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 x14ac:dyDescent="0.25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 x14ac:dyDescent="0.25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 x14ac:dyDescent="0.25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 x14ac:dyDescent="0.25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 x14ac:dyDescent="0.25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 x14ac:dyDescent="0.25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 x14ac:dyDescent="0.25">
      <c r="A230" s="169" t="s">
        <v>244</v>
      </c>
      <c r="B230" s="170"/>
      <c r="C230" s="170"/>
      <c r="D230" s="170"/>
      <c r="E230" s="17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 x14ac:dyDescent="0.25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 x14ac:dyDescent="0.25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 x14ac:dyDescent="0.25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 x14ac:dyDescent="0.25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 x14ac:dyDescent="0.25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 x14ac:dyDescent="0.25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 x14ac:dyDescent="0.25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 x14ac:dyDescent="0.25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 x14ac:dyDescent="0.25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 x14ac:dyDescent="0.25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 x14ac:dyDescent="0.25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 x14ac:dyDescent="0.25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 x14ac:dyDescent="0.25">
      <c r="A243" s="160" t="s">
        <v>247</v>
      </c>
      <c r="B243" s="161"/>
      <c r="C243" s="161"/>
      <c r="D243" s="161"/>
      <c r="E243" s="17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 x14ac:dyDescent="0.25">
      <c r="A244" s="158" t="s">
        <v>248</v>
      </c>
      <c r="B244" s="159"/>
      <c r="C244" s="159"/>
      <c r="D244" s="159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 x14ac:dyDescent="0.25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 x14ac:dyDescent="0.25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 x14ac:dyDescent="0.25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 x14ac:dyDescent="0.25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 x14ac:dyDescent="0.25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 x14ac:dyDescent="0.25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 x14ac:dyDescent="0.25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 x14ac:dyDescent="0.25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 x14ac:dyDescent="0.25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 x14ac:dyDescent="0.25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 x14ac:dyDescent="0.25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 x14ac:dyDescent="0.25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 x14ac:dyDescent="0.25">
      <c r="A257" s="160" t="s">
        <v>244</v>
      </c>
      <c r="B257" s="161"/>
      <c r="C257" s="161"/>
      <c r="D257" s="161"/>
      <c r="E257" s="176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 x14ac:dyDescent="0.25">
      <c r="A258" s="68">
        <v>46244</v>
      </c>
      <c r="B258" s="32">
        <v>0.83333333333333304</v>
      </c>
      <c r="C258" s="33" t="s">
        <v>52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 x14ac:dyDescent="0.25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 x14ac:dyDescent="0.25">
      <c r="A260" s="68">
        <v>46244</v>
      </c>
      <c r="B260" s="32">
        <f t="shared" si="58"/>
        <v>0.9166666666666663</v>
      </c>
      <c r="C260" s="33" t="s">
        <v>52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 x14ac:dyDescent="0.25">
      <c r="A261" s="67">
        <v>46244</v>
      </c>
      <c r="B261" s="25">
        <f t="shared" si="58"/>
        <v>0.95833333333333293</v>
      </c>
      <c r="C261" s="33" t="s">
        <v>52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 x14ac:dyDescent="0.25">
      <c r="A262" s="68">
        <v>46244</v>
      </c>
      <c r="B262" s="32">
        <f t="shared" si="58"/>
        <v>0.99999999999999956</v>
      </c>
      <c r="C262" s="33" t="s">
        <v>52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 x14ac:dyDescent="0.25">
      <c r="A263" s="67">
        <v>46244</v>
      </c>
      <c r="B263" s="25">
        <f t="shared" si="58"/>
        <v>1.0416666666666663</v>
      </c>
      <c r="C263" s="33" t="s">
        <v>52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 x14ac:dyDescent="0.25">
      <c r="A264" s="68">
        <v>46244</v>
      </c>
      <c r="B264" s="32">
        <f t="shared" si="58"/>
        <v>1.083333333333333</v>
      </c>
      <c r="C264" s="33" t="s">
        <v>52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 x14ac:dyDescent="0.25">
      <c r="A265" s="67">
        <v>46244</v>
      </c>
      <c r="B265" s="25">
        <f t="shared" si="58"/>
        <v>1.1249999999999998</v>
      </c>
      <c r="C265" s="33" t="s">
        <v>52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 x14ac:dyDescent="0.25">
      <c r="A266" s="68">
        <v>46244</v>
      </c>
      <c r="B266" s="32">
        <f t="shared" si="58"/>
        <v>1.1666666666666665</v>
      </c>
      <c r="C266" s="33" t="s">
        <v>52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 x14ac:dyDescent="0.25">
      <c r="A267" s="67">
        <v>46244</v>
      </c>
      <c r="B267" s="25">
        <f t="shared" si="58"/>
        <v>1.2083333333333333</v>
      </c>
      <c r="C267" s="33" t="s">
        <v>52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 x14ac:dyDescent="0.25">
      <c r="A268" s="68">
        <v>46244</v>
      </c>
      <c r="B268" s="32">
        <f t="shared" si="58"/>
        <v>1.25</v>
      </c>
      <c r="C268" s="33" t="s">
        <v>52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 x14ac:dyDescent="0.25">
      <c r="A269" s="67">
        <v>46244</v>
      </c>
      <c r="B269" s="25">
        <f t="shared" si="58"/>
        <v>1.2916666666666667</v>
      </c>
      <c r="C269" s="33" t="s">
        <v>52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 x14ac:dyDescent="0.25">
      <c r="A270" s="160" t="s">
        <v>247</v>
      </c>
      <c r="B270" s="161"/>
      <c r="C270" s="161"/>
      <c r="D270" s="161"/>
      <c r="E270" s="176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 x14ac:dyDescent="0.25">
      <c r="A271" s="158" t="s">
        <v>248</v>
      </c>
      <c r="B271" s="159"/>
      <c r="C271" s="159"/>
      <c r="D271" s="159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 x14ac:dyDescent="0.25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 x14ac:dyDescent="0.25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 x14ac:dyDescent="0.25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 x14ac:dyDescent="0.25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 x14ac:dyDescent="0.25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 x14ac:dyDescent="0.25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 x14ac:dyDescent="0.25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 x14ac:dyDescent="0.25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 x14ac:dyDescent="0.25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 x14ac:dyDescent="0.25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 x14ac:dyDescent="0.25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 x14ac:dyDescent="0.25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 x14ac:dyDescent="0.25">
      <c r="A284" s="160" t="s">
        <v>244</v>
      </c>
      <c r="B284" s="161"/>
      <c r="C284" s="161"/>
      <c r="D284" s="161"/>
      <c r="E284" s="176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 x14ac:dyDescent="0.25">
      <c r="A285" s="68">
        <v>46245</v>
      </c>
      <c r="B285" s="32">
        <v>0.83333333333333304</v>
      </c>
      <c r="C285" s="33" t="s">
        <v>52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 x14ac:dyDescent="0.25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 x14ac:dyDescent="0.25">
      <c r="A287" s="68">
        <v>46245</v>
      </c>
      <c r="B287" s="32">
        <f t="shared" si="62"/>
        <v>0.9166666666666663</v>
      </c>
      <c r="C287" s="33" t="s">
        <v>52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 x14ac:dyDescent="0.25">
      <c r="A288" s="67">
        <v>46245</v>
      </c>
      <c r="B288" s="25">
        <f t="shared" si="62"/>
        <v>0.95833333333333293</v>
      </c>
      <c r="C288" s="33" t="s">
        <v>52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 x14ac:dyDescent="0.25">
      <c r="A289" s="68">
        <v>46245</v>
      </c>
      <c r="B289" s="32">
        <f t="shared" si="62"/>
        <v>0.99999999999999956</v>
      </c>
      <c r="C289" s="33" t="s">
        <v>52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 x14ac:dyDescent="0.25">
      <c r="A290" s="67">
        <v>46245</v>
      </c>
      <c r="B290" s="25">
        <f t="shared" si="62"/>
        <v>1.0416666666666663</v>
      </c>
      <c r="C290" s="33" t="s">
        <v>52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 x14ac:dyDescent="0.25">
      <c r="A291" s="68">
        <v>46245</v>
      </c>
      <c r="B291" s="32">
        <f t="shared" si="62"/>
        <v>1.083333333333333</v>
      </c>
      <c r="C291" s="33" t="s">
        <v>52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 x14ac:dyDescent="0.25">
      <c r="A292" s="67">
        <v>46245</v>
      </c>
      <c r="B292" s="25">
        <f t="shared" si="62"/>
        <v>1.1249999999999998</v>
      </c>
      <c r="C292" s="33" t="s">
        <v>52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 x14ac:dyDescent="0.25">
      <c r="A293" s="68">
        <v>46245</v>
      </c>
      <c r="B293" s="32">
        <f t="shared" si="62"/>
        <v>1.1666666666666665</v>
      </c>
      <c r="C293" s="33" t="s">
        <v>52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 x14ac:dyDescent="0.25">
      <c r="A294" s="67">
        <v>46245</v>
      </c>
      <c r="B294" s="25">
        <f t="shared" si="62"/>
        <v>1.2083333333333333</v>
      </c>
      <c r="C294" s="33" t="s">
        <v>52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 x14ac:dyDescent="0.25">
      <c r="A295" s="68">
        <v>46245</v>
      </c>
      <c r="B295" s="32">
        <f t="shared" si="62"/>
        <v>1.25</v>
      </c>
      <c r="C295" s="33" t="s">
        <v>52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 x14ac:dyDescent="0.25">
      <c r="A296" s="67">
        <v>46245</v>
      </c>
      <c r="B296" s="25">
        <f t="shared" si="62"/>
        <v>1.2916666666666667</v>
      </c>
      <c r="C296" s="33" t="s">
        <v>52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 x14ac:dyDescent="0.25">
      <c r="A297" s="160" t="s">
        <v>247</v>
      </c>
      <c r="B297" s="161"/>
      <c r="C297" s="161"/>
      <c r="D297" s="161"/>
      <c r="E297" s="176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 x14ac:dyDescent="0.25">
      <c r="A298" s="158" t="s">
        <v>248</v>
      </c>
      <c r="B298" s="159"/>
      <c r="C298" s="159"/>
      <c r="D298" s="159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 x14ac:dyDescent="0.25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 x14ac:dyDescent="0.25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 x14ac:dyDescent="0.25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 x14ac:dyDescent="0.25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 x14ac:dyDescent="0.25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 x14ac:dyDescent="0.25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 x14ac:dyDescent="0.25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 x14ac:dyDescent="0.25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 x14ac:dyDescent="0.25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 x14ac:dyDescent="0.25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 x14ac:dyDescent="0.25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 x14ac:dyDescent="0.25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 x14ac:dyDescent="0.25">
      <c r="A311" s="160" t="s">
        <v>244</v>
      </c>
      <c r="B311" s="161"/>
      <c r="C311" s="161"/>
      <c r="D311" s="161"/>
      <c r="E311" s="176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 x14ac:dyDescent="0.25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 x14ac:dyDescent="0.25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 x14ac:dyDescent="0.25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 x14ac:dyDescent="0.25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 x14ac:dyDescent="0.25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 x14ac:dyDescent="0.25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 x14ac:dyDescent="0.25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 x14ac:dyDescent="0.25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 x14ac:dyDescent="0.25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 x14ac:dyDescent="0.25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 x14ac:dyDescent="0.25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 x14ac:dyDescent="0.25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 x14ac:dyDescent="0.25">
      <c r="A324" s="160" t="s">
        <v>247</v>
      </c>
      <c r="B324" s="161"/>
      <c r="C324" s="161"/>
      <c r="D324" s="161"/>
      <c r="E324" s="176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 x14ac:dyDescent="0.25">
      <c r="A325" s="158" t="s">
        <v>248</v>
      </c>
      <c r="B325" s="159"/>
      <c r="C325" s="159"/>
      <c r="D325" s="159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 x14ac:dyDescent="0.25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 x14ac:dyDescent="0.25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 x14ac:dyDescent="0.25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 x14ac:dyDescent="0.25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 x14ac:dyDescent="0.25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 x14ac:dyDescent="0.25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 x14ac:dyDescent="0.25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 x14ac:dyDescent="0.25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 x14ac:dyDescent="0.25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 x14ac:dyDescent="0.25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 x14ac:dyDescent="0.25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 x14ac:dyDescent="0.25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 x14ac:dyDescent="0.25">
      <c r="A338" s="160" t="s">
        <v>244</v>
      </c>
      <c r="B338" s="161"/>
      <c r="C338" s="161"/>
      <c r="D338" s="161"/>
      <c r="E338" s="176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 x14ac:dyDescent="0.25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 x14ac:dyDescent="0.25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 x14ac:dyDescent="0.25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 x14ac:dyDescent="0.25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 x14ac:dyDescent="0.25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 x14ac:dyDescent="0.25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 x14ac:dyDescent="0.25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 x14ac:dyDescent="0.25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 x14ac:dyDescent="0.25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 x14ac:dyDescent="0.25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 x14ac:dyDescent="0.25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 x14ac:dyDescent="0.25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 x14ac:dyDescent="0.25">
      <c r="A351" s="160" t="s">
        <v>247</v>
      </c>
      <c r="B351" s="161"/>
      <c r="C351" s="161"/>
      <c r="D351" s="161"/>
      <c r="E351" s="176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 x14ac:dyDescent="0.25">
      <c r="A352" s="158" t="s">
        <v>248</v>
      </c>
      <c r="B352" s="159"/>
      <c r="C352" s="159"/>
      <c r="D352" s="159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 x14ac:dyDescent="0.25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 x14ac:dyDescent="0.25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 x14ac:dyDescent="0.25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 x14ac:dyDescent="0.25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 x14ac:dyDescent="0.25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 x14ac:dyDescent="0.25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 x14ac:dyDescent="0.25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 x14ac:dyDescent="0.25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 x14ac:dyDescent="0.25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 x14ac:dyDescent="0.25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 x14ac:dyDescent="0.25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 x14ac:dyDescent="0.25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 x14ac:dyDescent="0.25">
      <c r="A365" s="160" t="s">
        <v>244</v>
      </c>
      <c r="B365" s="161"/>
      <c r="C365" s="161"/>
      <c r="D365" s="161"/>
      <c r="E365" s="176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 x14ac:dyDescent="0.25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 x14ac:dyDescent="0.25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 x14ac:dyDescent="0.25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 x14ac:dyDescent="0.25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 x14ac:dyDescent="0.25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 x14ac:dyDescent="0.25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 x14ac:dyDescent="0.25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 x14ac:dyDescent="0.25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 x14ac:dyDescent="0.25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 x14ac:dyDescent="0.25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 x14ac:dyDescent="0.25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 x14ac:dyDescent="0.25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 x14ac:dyDescent="0.25">
      <c r="A378" s="160" t="s">
        <v>247</v>
      </c>
      <c r="B378" s="161"/>
      <c r="C378" s="161"/>
      <c r="D378" s="161"/>
      <c r="E378" s="176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245</v>
      </c>
      <c r="O378" s="39">
        <v>2614830</v>
      </c>
    </row>
    <row r="379" spans="1:15" ht="18" customHeight="1" x14ac:dyDescent="0.25">
      <c r="A379" s="158" t="s">
        <v>248</v>
      </c>
      <c r="B379" s="159"/>
      <c r="C379" s="159"/>
      <c r="D379" s="159"/>
      <c r="E379" s="175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249</v>
      </c>
      <c r="O379" s="48">
        <f>IFERROR(O365+O378,"")</f>
        <v>4930110</v>
      </c>
    </row>
    <row r="380" spans="1:15" ht="15" customHeight="1" x14ac:dyDescent="0.25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243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 x14ac:dyDescent="0.25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243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 x14ac:dyDescent="0.25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243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 x14ac:dyDescent="0.25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243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 x14ac:dyDescent="0.25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243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 x14ac:dyDescent="0.25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243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 x14ac:dyDescent="0.25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243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 x14ac:dyDescent="0.25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243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 x14ac:dyDescent="0.25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243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 x14ac:dyDescent="0.25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243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 x14ac:dyDescent="0.25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243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 x14ac:dyDescent="0.25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243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 x14ac:dyDescent="0.25">
      <c r="A392" s="160" t="s">
        <v>244</v>
      </c>
      <c r="B392" s="161"/>
      <c r="C392" s="161"/>
      <c r="D392" s="161"/>
      <c r="E392" s="176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>
        <v>2491620</v>
      </c>
    </row>
    <row r="393" spans="1:15" ht="15" customHeight="1" x14ac:dyDescent="0.25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243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269</v>
      </c>
    </row>
    <row r="394" spans="1:15" ht="15" customHeight="1" x14ac:dyDescent="0.25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243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 x14ac:dyDescent="0.25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243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 x14ac:dyDescent="0.25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243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 x14ac:dyDescent="0.25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243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 x14ac:dyDescent="0.25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243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 x14ac:dyDescent="0.25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243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 x14ac:dyDescent="0.25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243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 x14ac:dyDescent="0.25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243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 x14ac:dyDescent="0.25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243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 x14ac:dyDescent="0.25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243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 x14ac:dyDescent="0.25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243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 x14ac:dyDescent="0.25">
      <c r="A405" s="160" t="s">
        <v>247</v>
      </c>
      <c r="B405" s="161"/>
      <c r="C405" s="161"/>
      <c r="D405" s="161"/>
      <c r="E405" s="176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245</v>
      </c>
      <c r="O405" s="39">
        <v>2612000</v>
      </c>
    </row>
    <row r="406" spans="1:15" ht="18" customHeight="1" x14ac:dyDescent="0.25">
      <c r="A406" s="158" t="s">
        <v>248</v>
      </c>
      <c r="B406" s="159"/>
      <c r="C406" s="159"/>
      <c r="D406" s="159"/>
      <c r="E406" s="175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249</v>
      </c>
      <c r="O406" s="48">
        <f>IFERROR(O392+O405,"")</f>
        <v>5103620</v>
      </c>
    </row>
    <row r="407" spans="1:15" ht="15" customHeight="1" x14ac:dyDescent="0.25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243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 x14ac:dyDescent="0.25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243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 x14ac:dyDescent="0.25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243</v>
      </c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 x14ac:dyDescent="0.25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243</v>
      </c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 x14ac:dyDescent="0.25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243</v>
      </c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 x14ac:dyDescent="0.25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243</v>
      </c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 x14ac:dyDescent="0.25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243</v>
      </c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 x14ac:dyDescent="0.25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243</v>
      </c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 x14ac:dyDescent="0.25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243</v>
      </c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 x14ac:dyDescent="0.25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243</v>
      </c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 x14ac:dyDescent="0.25">
      <c r="A417" s="68">
        <v>46250</v>
      </c>
      <c r="B417" s="32">
        <f t="shared" si="87"/>
        <v>0.74999999999999956</v>
      </c>
      <c r="C417" s="33" t="s">
        <v>52</v>
      </c>
      <c r="D417" s="62" t="s">
        <v>29</v>
      </c>
      <c r="E417" s="62" t="s">
        <v>243</v>
      </c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 x14ac:dyDescent="0.25">
      <c r="A418" s="67">
        <v>46250</v>
      </c>
      <c r="B418" s="25">
        <f t="shared" si="87"/>
        <v>0.79166666666666619</v>
      </c>
      <c r="C418" s="33" t="s">
        <v>52</v>
      </c>
      <c r="D418" s="62" t="s">
        <v>29</v>
      </c>
      <c r="E418" s="62" t="s">
        <v>243</v>
      </c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 x14ac:dyDescent="0.25">
      <c r="A419" s="160" t="s">
        <v>244</v>
      </c>
      <c r="B419" s="161"/>
      <c r="C419" s="161"/>
      <c r="D419" s="161"/>
      <c r="E419" s="176">
        <f>SUM(E407:E418)</f>
        <v>0</v>
      </c>
      <c r="F419" s="36">
        <f>SUM(F407:F418)</f>
        <v>45</v>
      </c>
      <c r="G419" s="36">
        <f>SUM(G407:G418)</f>
        <v>225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245</v>
      </c>
      <c r="O419" s="39"/>
    </row>
    <row r="420" spans="1:15" ht="15" customHeight="1" x14ac:dyDescent="0.25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 x14ac:dyDescent="0.25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 x14ac:dyDescent="0.25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 x14ac:dyDescent="0.25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 x14ac:dyDescent="0.25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 x14ac:dyDescent="0.25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 x14ac:dyDescent="0.25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 x14ac:dyDescent="0.25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 x14ac:dyDescent="0.25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 x14ac:dyDescent="0.25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 x14ac:dyDescent="0.25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 x14ac:dyDescent="0.25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 x14ac:dyDescent="0.25">
      <c r="A432" s="160" t="s">
        <v>247</v>
      </c>
      <c r="B432" s="161"/>
      <c r="C432" s="161"/>
      <c r="D432" s="161"/>
      <c r="E432" s="17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245</v>
      </c>
      <c r="O432" s="39"/>
    </row>
    <row r="433" spans="1:15" ht="18" customHeight="1" x14ac:dyDescent="0.25">
      <c r="A433" s="158" t="s">
        <v>248</v>
      </c>
      <c r="B433" s="159"/>
      <c r="C433" s="159"/>
      <c r="D433" s="159"/>
      <c r="E433" s="175">
        <f>E419+E432</f>
        <v>0</v>
      </c>
      <c r="F433" s="40">
        <f>F419+F432</f>
        <v>45</v>
      </c>
      <c r="G433" s="40">
        <f>G419+G432</f>
        <v>225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249</v>
      </c>
      <c r="O433" s="48">
        <f>IFERROR(O419+O432,"")</f>
        <v>0</v>
      </c>
    </row>
    <row r="434" spans="1:15" ht="15" customHeight="1" x14ac:dyDescent="0.25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 x14ac:dyDescent="0.25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 x14ac:dyDescent="0.25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 x14ac:dyDescent="0.25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 x14ac:dyDescent="0.25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 x14ac:dyDescent="0.25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 x14ac:dyDescent="0.25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 x14ac:dyDescent="0.25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 x14ac:dyDescent="0.25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 x14ac:dyDescent="0.25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 x14ac:dyDescent="0.25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 x14ac:dyDescent="0.25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 x14ac:dyDescent="0.25">
      <c r="A446" s="160" t="s">
        <v>244</v>
      </c>
      <c r="B446" s="161"/>
      <c r="C446" s="161"/>
      <c r="D446" s="161"/>
      <c r="E446" s="17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 x14ac:dyDescent="0.25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 x14ac:dyDescent="0.25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 x14ac:dyDescent="0.25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 x14ac:dyDescent="0.25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 x14ac:dyDescent="0.25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 x14ac:dyDescent="0.25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 x14ac:dyDescent="0.25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 x14ac:dyDescent="0.25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 x14ac:dyDescent="0.25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 x14ac:dyDescent="0.25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 x14ac:dyDescent="0.25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 x14ac:dyDescent="0.25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 x14ac:dyDescent="0.25">
      <c r="A459" s="160" t="s">
        <v>247</v>
      </c>
      <c r="B459" s="161"/>
      <c r="C459" s="161"/>
      <c r="D459" s="161"/>
      <c r="E459" s="17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 x14ac:dyDescent="0.25">
      <c r="A460" s="158" t="s">
        <v>248</v>
      </c>
      <c r="B460" s="159"/>
      <c r="C460" s="159"/>
      <c r="D460" s="159"/>
      <c r="E460" s="17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 x14ac:dyDescent="0.25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 x14ac:dyDescent="0.25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 x14ac:dyDescent="0.25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 x14ac:dyDescent="0.25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 x14ac:dyDescent="0.25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 x14ac:dyDescent="0.25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 x14ac:dyDescent="0.25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 x14ac:dyDescent="0.25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 x14ac:dyDescent="0.25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 x14ac:dyDescent="0.25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 x14ac:dyDescent="0.25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 x14ac:dyDescent="0.25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 x14ac:dyDescent="0.25">
      <c r="A473" s="160" t="s">
        <v>244</v>
      </c>
      <c r="B473" s="161"/>
      <c r="C473" s="161"/>
      <c r="D473" s="161"/>
      <c r="E473" s="17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 x14ac:dyDescent="0.25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 x14ac:dyDescent="0.25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 x14ac:dyDescent="0.25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 x14ac:dyDescent="0.25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 x14ac:dyDescent="0.25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 x14ac:dyDescent="0.25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 x14ac:dyDescent="0.25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 x14ac:dyDescent="0.25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 x14ac:dyDescent="0.25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 x14ac:dyDescent="0.25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 x14ac:dyDescent="0.25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 x14ac:dyDescent="0.25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 x14ac:dyDescent="0.25">
      <c r="A486" s="160" t="s">
        <v>247</v>
      </c>
      <c r="B486" s="161"/>
      <c r="C486" s="161"/>
      <c r="D486" s="161"/>
      <c r="E486" s="17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 x14ac:dyDescent="0.25">
      <c r="A487" s="158" t="s">
        <v>248</v>
      </c>
      <c r="B487" s="159"/>
      <c r="C487" s="159"/>
      <c r="D487" s="159"/>
      <c r="E487" s="17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 x14ac:dyDescent="0.25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 x14ac:dyDescent="0.25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 x14ac:dyDescent="0.25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 x14ac:dyDescent="0.25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 x14ac:dyDescent="0.25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 x14ac:dyDescent="0.25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 x14ac:dyDescent="0.25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 x14ac:dyDescent="0.25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 x14ac:dyDescent="0.25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 x14ac:dyDescent="0.25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 x14ac:dyDescent="0.25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 x14ac:dyDescent="0.25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 x14ac:dyDescent="0.25">
      <c r="A500" s="160" t="s">
        <v>244</v>
      </c>
      <c r="B500" s="161"/>
      <c r="C500" s="161"/>
      <c r="D500" s="161"/>
      <c r="E500" s="17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 x14ac:dyDescent="0.25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 x14ac:dyDescent="0.25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 x14ac:dyDescent="0.25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 x14ac:dyDescent="0.25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 x14ac:dyDescent="0.25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 x14ac:dyDescent="0.25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 x14ac:dyDescent="0.25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 x14ac:dyDescent="0.25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 x14ac:dyDescent="0.25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 x14ac:dyDescent="0.25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 x14ac:dyDescent="0.25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 x14ac:dyDescent="0.25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 x14ac:dyDescent="0.25">
      <c r="A513" s="160" t="s">
        <v>247</v>
      </c>
      <c r="B513" s="161"/>
      <c r="C513" s="161"/>
      <c r="D513" s="161"/>
      <c r="E513" s="17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 x14ac:dyDescent="0.25">
      <c r="A514" s="158" t="s">
        <v>248</v>
      </c>
      <c r="B514" s="159"/>
      <c r="C514" s="159"/>
      <c r="D514" s="159"/>
      <c r="E514" s="17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 x14ac:dyDescent="0.25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 x14ac:dyDescent="0.25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 x14ac:dyDescent="0.25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 x14ac:dyDescent="0.25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 x14ac:dyDescent="0.25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 x14ac:dyDescent="0.25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 x14ac:dyDescent="0.25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 x14ac:dyDescent="0.25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 x14ac:dyDescent="0.25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 x14ac:dyDescent="0.25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 x14ac:dyDescent="0.25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 x14ac:dyDescent="0.25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 x14ac:dyDescent="0.25">
      <c r="A527" s="160" t="s">
        <v>244</v>
      </c>
      <c r="B527" s="161"/>
      <c r="C527" s="161"/>
      <c r="D527" s="161"/>
      <c r="E527" s="17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 x14ac:dyDescent="0.25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 x14ac:dyDescent="0.25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 x14ac:dyDescent="0.25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 x14ac:dyDescent="0.25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 x14ac:dyDescent="0.25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 x14ac:dyDescent="0.25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 x14ac:dyDescent="0.25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 x14ac:dyDescent="0.25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 x14ac:dyDescent="0.25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 x14ac:dyDescent="0.25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 x14ac:dyDescent="0.25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 x14ac:dyDescent="0.25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 x14ac:dyDescent="0.25">
      <c r="A540" s="160" t="s">
        <v>247</v>
      </c>
      <c r="B540" s="161"/>
      <c r="C540" s="161"/>
      <c r="D540" s="161"/>
      <c r="E540" s="17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 x14ac:dyDescent="0.25">
      <c r="A541" s="158" t="s">
        <v>248</v>
      </c>
      <c r="B541" s="159"/>
      <c r="C541" s="159"/>
      <c r="D541" s="159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 x14ac:dyDescent="0.25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 x14ac:dyDescent="0.25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 x14ac:dyDescent="0.25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 x14ac:dyDescent="0.25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 x14ac:dyDescent="0.25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 x14ac:dyDescent="0.25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 x14ac:dyDescent="0.25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 x14ac:dyDescent="0.25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 x14ac:dyDescent="0.25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 x14ac:dyDescent="0.25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 x14ac:dyDescent="0.25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 x14ac:dyDescent="0.25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 x14ac:dyDescent="0.25">
      <c r="A554" s="160" t="s">
        <v>244</v>
      </c>
      <c r="B554" s="161"/>
      <c r="C554" s="161"/>
      <c r="D554" s="161"/>
      <c r="E554" s="17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 x14ac:dyDescent="0.25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 x14ac:dyDescent="0.25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 x14ac:dyDescent="0.25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 x14ac:dyDescent="0.25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 x14ac:dyDescent="0.25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 x14ac:dyDescent="0.25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 x14ac:dyDescent="0.25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 x14ac:dyDescent="0.25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 x14ac:dyDescent="0.25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 x14ac:dyDescent="0.25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 x14ac:dyDescent="0.25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 x14ac:dyDescent="0.25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 x14ac:dyDescent="0.25">
      <c r="A567" s="160" t="s">
        <v>247</v>
      </c>
      <c r="B567" s="161"/>
      <c r="C567" s="161"/>
      <c r="D567" s="161"/>
      <c r="E567" s="17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 x14ac:dyDescent="0.25">
      <c r="A568" s="158" t="s">
        <v>248</v>
      </c>
      <c r="B568" s="159"/>
      <c r="C568" s="159"/>
      <c r="D568" s="159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 x14ac:dyDescent="0.25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 x14ac:dyDescent="0.25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 x14ac:dyDescent="0.25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 x14ac:dyDescent="0.25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 x14ac:dyDescent="0.25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 x14ac:dyDescent="0.25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 x14ac:dyDescent="0.25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 x14ac:dyDescent="0.25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 x14ac:dyDescent="0.25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 x14ac:dyDescent="0.25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 x14ac:dyDescent="0.25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 x14ac:dyDescent="0.25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 x14ac:dyDescent="0.25">
      <c r="A581" s="160" t="s">
        <v>244</v>
      </c>
      <c r="B581" s="161"/>
      <c r="C581" s="161"/>
      <c r="D581" s="161"/>
      <c r="E581" s="17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 x14ac:dyDescent="0.25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 x14ac:dyDescent="0.25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 x14ac:dyDescent="0.25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 x14ac:dyDescent="0.25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 x14ac:dyDescent="0.25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 x14ac:dyDescent="0.25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 x14ac:dyDescent="0.25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 x14ac:dyDescent="0.25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 x14ac:dyDescent="0.25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 x14ac:dyDescent="0.25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 x14ac:dyDescent="0.25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 x14ac:dyDescent="0.25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 x14ac:dyDescent="0.25">
      <c r="A594" s="160" t="s">
        <v>247</v>
      </c>
      <c r="B594" s="161"/>
      <c r="C594" s="161"/>
      <c r="D594" s="161"/>
      <c r="E594" s="17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 x14ac:dyDescent="0.25">
      <c r="A595" s="158" t="s">
        <v>248</v>
      </c>
      <c r="B595" s="159"/>
      <c r="C595" s="159"/>
      <c r="D595" s="159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 x14ac:dyDescent="0.25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 x14ac:dyDescent="0.25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 x14ac:dyDescent="0.25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 x14ac:dyDescent="0.25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 x14ac:dyDescent="0.25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 x14ac:dyDescent="0.25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 x14ac:dyDescent="0.25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 x14ac:dyDescent="0.25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 x14ac:dyDescent="0.25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 x14ac:dyDescent="0.25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 x14ac:dyDescent="0.25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 x14ac:dyDescent="0.25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 x14ac:dyDescent="0.25">
      <c r="A608" s="160" t="s">
        <v>244</v>
      </c>
      <c r="B608" s="161"/>
      <c r="C608" s="161"/>
      <c r="D608" s="161"/>
      <c r="E608" s="17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 x14ac:dyDescent="0.25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 x14ac:dyDescent="0.25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 x14ac:dyDescent="0.25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 x14ac:dyDescent="0.25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 x14ac:dyDescent="0.25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 x14ac:dyDescent="0.25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 x14ac:dyDescent="0.25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 x14ac:dyDescent="0.25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 x14ac:dyDescent="0.25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 x14ac:dyDescent="0.25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 x14ac:dyDescent="0.25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 x14ac:dyDescent="0.25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 x14ac:dyDescent="0.25">
      <c r="A621" s="160" t="s">
        <v>247</v>
      </c>
      <c r="B621" s="161"/>
      <c r="C621" s="161"/>
      <c r="D621" s="161"/>
      <c r="E621" s="17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 x14ac:dyDescent="0.25">
      <c r="A622" s="158" t="s">
        <v>248</v>
      </c>
      <c r="B622" s="159"/>
      <c r="C622" s="159"/>
      <c r="D622" s="159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 x14ac:dyDescent="0.25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 x14ac:dyDescent="0.25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 x14ac:dyDescent="0.25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 x14ac:dyDescent="0.25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 x14ac:dyDescent="0.25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 x14ac:dyDescent="0.25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 x14ac:dyDescent="0.25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 x14ac:dyDescent="0.25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 x14ac:dyDescent="0.25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 x14ac:dyDescent="0.25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 x14ac:dyDescent="0.25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 x14ac:dyDescent="0.25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 x14ac:dyDescent="0.25">
      <c r="A635" s="160" t="s">
        <v>244</v>
      </c>
      <c r="B635" s="161"/>
      <c r="C635" s="161"/>
      <c r="D635" s="161"/>
      <c r="E635" s="17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 x14ac:dyDescent="0.25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 x14ac:dyDescent="0.25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 x14ac:dyDescent="0.25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 x14ac:dyDescent="0.25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 x14ac:dyDescent="0.25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 x14ac:dyDescent="0.25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 x14ac:dyDescent="0.25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 x14ac:dyDescent="0.25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 x14ac:dyDescent="0.25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 x14ac:dyDescent="0.25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 x14ac:dyDescent="0.25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 x14ac:dyDescent="0.25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 x14ac:dyDescent="0.25">
      <c r="A648" s="160" t="s">
        <v>247</v>
      </c>
      <c r="B648" s="161"/>
      <c r="C648" s="161"/>
      <c r="D648" s="161"/>
      <c r="E648" s="17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 x14ac:dyDescent="0.25">
      <c r="A649" s="158" t="s">
        <v>248</v>
      </c>
      <c r="B649" s="159"/>
      <c r="C649" s="159"/>
      <c r="D649" s="159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 x14ac:dyDescent="0.25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 x14ac:dyDescent="0.25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 x14ac:dyDescent="0.25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 x14ac:dyDescent="0.25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 x14ac:dyDescent="0.25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 x14ac:dyDescent="0.25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 x14ac:dyDescent="0.25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 x14ac:dyDescent="0.25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 x14ac:dyDescent="0.25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 x14ac:dyDescent="0.25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 x14ac:dyDescent="0.25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 x14ac:dyDescent="0.25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 x14ac:dyDescent="0.25">
      <c r="A662" s="160" t="s">
        <v>244</v>
      </c>
      <c r="B662" s="161"/>
      <c r="C662" s="161"/>
      <c r="D662" s="161"/>
      <c r="E662" s="17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 x14ac:dyDescent="0.25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 x14ac:dyDescent="0.25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 x14ac:dyDescent="0.25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 x14ac:dyDescent="0.25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 x14ac:dyDescent="0.25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 x14ac:dyDescent="0.25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 x14ac:dyDescent="0.25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 x14ac:dyDescent="0.25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 x14ac:dyDescent="0.25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 x14ac:dyDescent="0.25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 x14ac:dyDescent="0.25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 x14ac:dyDescent="0.25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 x14ac:dyDescent="0.25">
      <c r="A675" s="160" t="s">
        <v>247</v>
      </c>
      <c r="B675" s="161"/>
      <c r="C675" s="161"/>
      <c r="D675" s="161"/>
      <c r="E675" s="17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 x14ac:dyDescent="0.25">
      <c r="A676" s="158" t="s">
        <v>248</v>
      </c>
      <c r="B676" s="159"/>
      <c r="C676" s="159"/>
      <c r="D676" s="159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 x14ac:dyDescent="0.25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 x14ac:dyDescent="0.25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 x14ac:dyDescent="0.25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 x14ac:dyDescent="0.25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 x14ac:dyDescent="0.25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 x14ac:dyDescent="0.25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 x14ac:dyDescent="0.25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 x14ac:dyDescent="0.25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 x14ac:dyDescent="0.25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 x14ac:dyDescent="0.25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 x14ac:dyDescent="0.25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 x14ac:dyDescent="0.25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 x14ac:dyDescent="0.25">
      <c r="A689" s="160" t="s">
        <v>244</v>
      </c>
      <c r="B689" s="161"/>
      <c r="C689" s="161"/>
      <c r="D689" s="161"/>
      <c r="E689" s="17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 x14ac:dyDescent="0.25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 x14ac:dyDescent="0.25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 x14ac:dyDescent="0.25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 x14ac:dyDescent="0.25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 x14ac:dyDescent="0.25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 x14ac:dyDescent="0.25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 x14ac:dyDescent="0.25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 x14ac:dyDescent="0.25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 x14ac:dyDescent="0.25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 x14ac:dyDescent="0.25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 x14ac:dyDescent="0.25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 x14ac:dyDescent="0.25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 x14ac:dyDescent="0.25">
      <c r="A702" s="160" t="s">
        <v>247</v>
      </c>
      <c r="B702" s="161"/>
      <c r="C702" s="161"/>
      <c r="D702" s="161"/>
      <c r="E702" s="17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 x14ac:dyDescent="0.25">
      <c r="A703" s="158" t="s">
        <v>248</v>
      </c>
      <c r="B703" s="159"/>
      <c r="C703" s="159"/>
      <c r="D703" s="159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 x14ac:dyDescent="0.25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 x14ac:dyDescent="0.25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 x14ac:dyDescent="0.25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 x14ac:dyDescent="0.25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 x14ac:dyDescent="0.25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 x14ac:dyDescent="0.25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 x14ac:dyDescent="0.25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 x14ac:dyDescent="0.25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 x14ac:dyDescent="0.25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 x14ac:dyDescent="0.25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 x14ac:dyDescent="0.25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 x14ac:dyDescent="0.25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 x14ac:dyDescent="0.25">
      <c r="A716" s="160" t="s">
        <v>244</v>
      </c>
      <c r="B716" s="161"/>
      <c r="C716" s="161"/>
      <c r="D716" s="161"/>
      <c r="E716" s="17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 x14ac:dyDescent="0.25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 x14ac:dyDescent="0.25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 x14ac:dyDescent="0.25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 x14ac:dyDescent="0.25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 x14ac:dyDescent="0.25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 x14ac:dyDescent="0.25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 x14ac:dyDescent="0.25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 x14ac:dyDescent="0.25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 x14ac:dyDescent="0.25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 x14ac:dyDescent="0.25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 x14ac:dyDescent="0.25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 x14ac:dyDescent="0.25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 x14ac:dyDescent="0.25">
      <c r="A729" s="160" t="s">
        <v>247</v>
      </c>
      <c r="B729" s="161"/>
      <c r="C729" s="161"/>
      <c r="D729" s="161"/>
      <c r="E729" s="17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 x14ac:dyDescent="0.25">
      <c r="A730" s="158" t="s">
        <v>248</v>
      </c>
      <c r="B730" s="159"/>
      <c r="C730" s="159"/>
      <c r="D730" s="159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 x14ac:dyDescent="0.25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 x14ac:dyDescent="0.25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 x14ac:dyDescent="0.25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 x14ac:dyDescent="0.25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 x14ac:dyDescent="0.25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 x14ac:dyDescent="0.25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 x14ac:dyDescent="0.25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 x14ac:dyDescent="0.25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 x14ac:dyDescent="0.25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 x14ac:dyDescent="0.25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 x14ac:dyDescent="0.25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 x14ac:dyDescent="0.25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 x14ac:dyDescent="0.25">
      <c r="A743" s="160" t="s">
        <v>244</v>
      </c>
      <c r="B743" s="161"/>
      <c r="C743" s="161"/>
      <c r="D743" s="161"/>
      <c r="E743" s="17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 x14ac:dyDescent="0.25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 x14ac:dyDescent="0.25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 x14ac:dyDescent="0.25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 x14ac:dyDescent="0.25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 x14ac:dyDescent="0.25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 x14ac:dyDescent="0.25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 x14ac:dyDescent="0.25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 x14ac:dyDescent="0.25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 x14ac:dyDescent="0.25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 x14ac:dyDescent="0.25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 x14ac:dyDescent="0.25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 x14ac:dyDescent="0.25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 x14ac:dyDescent="0.25">
      <c r="A756" s="160" t="s">
        <v>247</v>
      </c>
      <c r="B756" s="161"/>
      <c r="C756" s="161"/>
      <c r="D756" s="161"/>
      <c r="E756" s="17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 x14ac:dyDescent="0.25">
      <c r="A757" s="158" t="s">
        <v>248</v>
      </c>
      <c r="B757" s="159"/>
      <c r="C757" s="159"/>
      <c r="D757" s="159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 x14ac:dyDescent="0.25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 x14ac:dyDescent="0.25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 x14ac:dyDescent="0.25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 x14ac:dyDescent="0.25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 x14ac:dyDescent="0.25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 x14ac:dyDescent="0.25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 x14ac:dyDescent="0.25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 x14ac:dyDescent="0.25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 x14ac:dyDescent="0.25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 x14ac:dyDescent="0.25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 x14ac:dyDescent="0.25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 x14ac:dyDescent="0.25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 x14ac:dyDescent="0.25">
      <c r="A770" s="160" t="s">
        <v>244</v>
      </c>
      <c r="B770" s="161"/>
      <c r="C770" s="161"/>
      <c r="D770" s="161"/>
      <c r="E770" s="17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 x14ac:dyDescent="0.25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 x14ac:dyDescent="0.25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 x14ac:dyDescent="0.25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 x14ac:dyDescent="0.25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 x14ac:dyDescent="0.25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 x14ac:dyDescent="0.25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 x14ac:dyDescent="0.25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 x14ac:dyDescent="0.25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 x14ac:dyDescent="0.25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 x14ac:dyDescent="0.25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 x14ac:dyDescent="0.25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 x14ac:dyDescent="0.25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 x14ac:dyDescent="0.25">
      <c r="A783" s="160" t="s">
        <v>247</v>
      </c>
      <c r="B783" s="161"/>
      <c r="C783" s="161"/>
      <c r="D783" s="161"/>
      <c r="E783" s="17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 x14ac:dyDescent="0.25">
      <c r="A784" s="158" t="s">
        <v>248</v>
      </c>
      <c r="B784" s="159"/>
      <c r="C784" s="159"/>
      <c r="D784" s="159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 x14ac:dyDescent="0.25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 x14ac:dyDescent="0.25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 x14ac:dyDescent="0.25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 x14ac:dyDescent="0.25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 x14ac:dyDescent="0.25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 x14ac:dyDescent="0.25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 x14ac:dyDescent="0.25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 x14ac:dyDescent="0.25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 x14ac:dyDescent="0.25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 x14ac:dyDescent="0.25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 x14ac:dyDescent="0.25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 x14ac:dyDescent="0.25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 x14ac:dyDescent="0.25">
      <c r="A797" s="160" t="s">
        <v>244</v>
      </c>
      <c r="B797" s="161"/>
      <c r="C797" s="161"/>
      <c r="D797" s="161"/>
      <c r="E797" s="17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 x14ac:dyDescent="0.25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 x14ac:dyDescent="0.25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 x14ac:dyDescent="0.25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 x14ac:dyDescent="0.25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 x14ac:dyDescent="0.25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 x14ac:dyDescent="0.25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 x14ac:dyDescent="0.25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 x14ac:dyDescent="0.25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 x14ac:dyDescent="0.25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 x14ac:dyDescent="0.25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 x14ac:dyDescent="0.25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 x14ac:dyDescent="0.25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 x14ac:dyDescent="0.25">
      <c r="A810" s="160" t="s">
        <v>247</v>
      </c>
      <c r="B810" s="161"/>
      <c r="C810" s="161"/>
      <c r="D810" s="161"/>
      <c r="E810" s="17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 x14ac:dyDescent="0.25">
      <c r="A811" s="172" t="s">
        <v>248</v>
      </c>
      <c r="B811" s="173"/>
      <c r="C811" s="173"/>
      <c r="D811" s="173"/>
      <c r="E811" s="174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 x14ac:dyDescent="0.25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 x14ac:dyDescent="0.25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 x14ac:dyDescent="0.25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 x14ac:dyDescent="0.25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 x14ac:dyDescent="0.25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 x14ac:dyDescent="0.25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 x14ac:dyDescent="0.25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 x14ac:dyDescent="0.25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 x14ac:dyDescent="0.25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 x14ac:dyDescent="0.25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 x14ac:dyDescent="0.25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 x14ac:dyDescent="0.25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 x14ac:dyDescent="0.25">
      <c r="A824" s="160" t="s">
        <v>244</v>
      </c>
      <c r="B824" s="161"/>
      <c r="C824" s="161"/>
      <c r="D824" s="161"/>
      <c r="E824" s="17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 x14ac:dyDescent="0.25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 x14ac:dyDescent="0.25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 x14ac:dyDescent="0.25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 x14ac:dyDescent="0.25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 x14ac:dyDescent="0.25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 x14ac:dyDescent="0.25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 x14ac:dyDescent="0.25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 x14ac:dyDescent="0.25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 x14ac:dyDescent="0.25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 x14ac:dyDescent="0.25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 x14ac:dyDescent="0.25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 x14ac:dyDescent="0.25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 x14ac:dyDescent="0.25">
      <c r="A837" s="160" t="s">
        <v>247</v>
      </c>
      <c r="B837" s="161"/>
      <c r="C837" s="161"/>
      <c r="D837" s="161"/>
      <c r="E837" s="17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 x14ac:dyDescent="0.25">
      <c r="A838" s="158" t="s">
        <v>248</v>
      </c>
      <c r="B838" s="159"/>
      <c r="C838" s="159"/>
      <c r="D838" s="159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92" activePane="bottomLeft" state="frozen"/>
      <selection sqref="A1:G409"/>
      <selection pane="bottomLeft" sqref="A1:G409"/>
    </sheetView>
  </sheetViews>
  <sheetFormatPr defaultColWidth="8.5703125" defaultRowHeight="15" x14ac:dyDescent="0.2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 x14ac:dyDescent="0.25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 x14ac:dyDescent="0.25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272</v>
      </c>
      <c r="S2" s="31"/>
    </row>
    <row r="3" spans="1:20" ht="15" customHeight="1" x14ac:dyDescent="0.25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 x14ac:dyDescent="0.25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 x14ac:dyDescent="0.25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273</v>
      </c>
      <c r="S5" s="31"/>
    </row>
    <row r="6" spans="1:20" ht="15" customHeight="1" x14ac:dyDescent="0.25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274</v>
      </c>
      <c r="S6" s="31"/>
    </row>
    <row r="7" spans="1:20" ht="15" customHeight="1" x14ac:dyDescent="0.25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 x14ac:dyDescent="0.25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 x14ac:dyDescent="0.25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 x14ac:dyDescent="0.25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 x14ac:dyDescent="0.25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 x14ac:dyDescent="0.25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 x14ac:dyDescent="0.3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 x14ac:dyDescent="0.3">
      <c r="A14" s="160" t="s">
        <v>244</v>
      </c>
      <c r="B14" s="161"/>
      <c r="C14" s="161"/>
      <c r="D14" s="161"/>
      <c r="E14" s="161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 x14ac:dyDescent="0.25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 x14ac:dyDescent="0.25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 x14ac:dyDescent="0.25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 x14ac:dyDescent="0.25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 x14ac:dyDescent="0.25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275</v>
      </c>
      <c r="S19" s="31"/>
    </row>
    <row r="20" spans="1:20" ht="15" customHeight="1" x14ac:dyDescent="0.25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276</v>
      </c>
      <c r="S20" s="31"/>
    </row>
    <row r="21" spans="1:20" ht="15" customHeight="1" x14ac:dyDescent="0.25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 x14ac:dyDescent="0.25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 x14ac:dyDescent="0.25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 x14ac:dyDescent="0.25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 x14ac:dyDescent="0.25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 x14ac:dyDescent="0.3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 x14ac:dyDescent="0.3">
      <c r="A27" s="160" t="s">
        <v>247</v>
      </c>
      <c r="B27" s="161"/>
      <c r="C27" s="161"/>
      <c r="D27" s="161"/>
      <c r="E27" s="161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 x14ac:dyDescent="0.25">
      <c r="A28" s="158" t="s">
        <v>248</v>
      </c>
      <c r="B28" s="159"/>
      <c r="C28" s="159"/>
      <c r="D28" s="159"/>
      <c r="E28" s="159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 x14ac:dyDescent="0.25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 x14ac:dyDescent="0.25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 x14ac:dyDescent="0.25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 x14ac:dyDescent="0.25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 x14ac:dyDescent="0.25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 x14ac:dyDescent="0.25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 x14ac:dyDescent="0.25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 x14ac:dyDescent="0.25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 x14ac:dyDescent="0.25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 x14ac:dyDescent="0.25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 x14ac:dyDescent="0.25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 x14ac:dyDescent="0.3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 x14ac:dyDescent="0.3">
      <c r="A41" s="160" t="s">
        <v>244</v>
      </c>
      <c r="B41" s="161"/>
      <c r="C41" s="161"/>
      <c r="D41" s="161"/>
      <c r="E41" s="161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 x14ac:dyDescent="0.25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 x14ac:dyDescent="0.25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 x14ac:dyDescent="0.25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 x14ac:dyDescent="0.25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 x14ac:dyDescent="0.25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 x14ac:dyDescent="0.25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 x14ac:dyDescent="0.25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277</v>
      </c>
      <c r="S48" s="31"/>
    </row>
    <row r="49" spans="1:20" ht="15" customHeight="1" x14ac:dyDescent="0.25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278</v>
      </c>
      <c r="S49" s="31"/>
    </row>
    <row r="50" spans="1:20" ht="15" customHeight="1" x14ac:dyDescent="0.25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 x14ac:dyDescent="0.25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 x14ac:dyDescent="0.25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279</v>
      </c>
      <c r="S52" s="31"/>
    </row>
    <row r="53" spans="1:20" ht="15" customHeight="1" thickBot="1" x14ac:dyDescent="0.3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0.3092475694429595</v>
      </c>
      <c r="R53" s="46" t="s">
        <v>280</v>
      </c>
      <c r="S53" s="31"/>
    </row>
    <row r="54" spans="1:20" ht="15.75" customHeight="1" thickBot="1" x14ac:dyDescent="0.3">
      <c r="A54" s="160" t="s">
        <v>247</v>
      </c>
      <c r="B54" s="161"/>
      <c r="C54" s="161"/>
      <c r="D54" s="161"/>
      <c r="E54" s="161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0.4481364583318484</v>
      </c>
      <c r="R54" s="36" t="s">
        <v>245</v>
      </c>
      <c r="S54" s="75">
        <v>352430</v>
      </c>
      <c r="T54" s="117"/>
    </row>
    <row r="55" spans="1:20" ht="18" customHeight="1" x14ac:dyDescent="0.25">
      <c r="A55" s="158" t="s">
        <v>248</v>
      </c>
      <c r="B55" s="159"/>
      <c r="C55" s="159"/>
      <c r="D55" s="159"/>
      <c r="E55" s="159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0.53285868055407071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 x14ac:dyDescent="0.25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 x14ac:dyDescent="0.25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 x14ac:dyDescent="0.25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 x14ac:dyDescent="0.25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 x14ac:dyDescent="0.25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 x14ac:dyDescent="0.25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 x14ac:dyDescent="0.25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 x14ac:dyDescent="0.25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272</v>
      </c>
      <c r="S63" s="31"/>
    </row>
    <row r="64" spans="1:20" ht="15" customHeight="1" x14ac:dyDescent="0.25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 x14ac:dyDescent="0.25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 x14ac:dyDescent="0.25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 x14ac:dyDescent="0.25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 x14ac:dyDescent="0.35">
      <c r="A68" s="160" t="s">
        <v>244</v>
      </c>
      <c r="B68" s="161"/>
      <c r="C68" s="161"/>
      <c r="D68" s="161"/>
      <c r="E68" s="161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 x14ac:dyDescent="0.25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 x14ac:dyDescent="0.25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 x14ac:dyDescent="0.25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 x14ac:dyDescent="0.25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 x14ac:dyDescent="0.25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 x14ac:dyDescent="0.25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 x14ac:dyDescent="0.25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 x14ac:dyDescent="0.25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281</v>
      </c>
      <c r="S76" s="31"/>
    </row>
    <row r="77" spans="1:20" ht="15" customHeight="1" x14ac:dyDescent="0.25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 x14ac:dyDescent="0.25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 x14ac:dyDescent="0.25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 x14ac:dyDescent="0.25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 x14ac:dyDescent="0.35">
      <c r="A81" s="160" t="s">
        <v>247</v>
      </c>
      <c r="B81" s="161"/>
      <c r="C81" s="161"/>
      <c r="D81" s="161"/>
      <c r="E81" s="161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 x14ac:dyDescent="0.25">
      <c r="A82" s="158" t="s">
        <v>248</v>
      </c>
      <c r="B82" s="159"/>
      <c r="C82" s="159"/>
      <c r="D82" s="159"/>
      <c r="E82" s="159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 x14ac:dyDescent="0.25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 x14ac:dyDescent="0.25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 x14ac:dyDescent="0.25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 x14ac:dyDescent="0.25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 x14ac:dyDescent="0.25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 x14ac:dyDescent="0.25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 x14ac:dyDescent="0.25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 x14ac:dyDescent="0.25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 x14ac:dyDescent="0.25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 x14ac:dyDescent="0.25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 x14ac:dyDescent="0.25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 x14ac:dyDescent="0.25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 x14ac:dyDescent="0.35">
      <c r="A95" s="160" t="s">
        <v>244</v>
      </c>
      <c r="B95" s="161"/>
      <c r="C95" s="161"/>
      <c r="D95" s="161"/>
      <c r="E95" s="161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 x14ac:dyDescent="0.25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282</v>
      </c>
      <c r="Q96" s="30" t="str">
        <f t="shared" ref="Q96:Q107" ca="1" si="22">IFERROR(IF(O96="","",IF(P96="",MOD(NOW()-O96,1),IF(P96&gt;=O96,P96-O96,P96+1-O96))),"")</f>
        <v/>
      </c>
      <c r="R96" s="46" t="s">
        <v>283</v>
      </c>
      <c r="S96" s="31"/>
    </row>
    <row r="97" spans="1:20" ht="15" customHeight="1" x14ac:dyDescent="0.25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 x14ac:dyDescent="0.25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284</v>
      </c>
      <c r="S98" s="31"/>
    </row>
    <row r="99" spans="1:20" ht="15" customHeight="1" x14ac:dyDescent="0.25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285</v>
      </c>
      <c r="S99" s="31"/>
    </row>
    <row r="100" spans="1:20" ht="15" customHeight="1" x14ac:dyDescent="0.25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 x14ac:dyDescent="0.25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 x14ac:dyDescent="0.25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 x14ac:dyDescent="0.25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 x14ac:dyDescent="0.25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 x14ac:dyDescent="0.25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 x14ac:dyDescent="0.25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 x14ac:dyDescent="0.25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 x14ac:dyDescent="0.35">
      <c r="A108" s="160" t="s">
        <v>247</v>
      </c>
      <c r="B108" s="161"/>
      <c r="C108" s="161"/>
      <c r="D108" s="161"/>
      <c r="E108" s="161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 x14ac:dyDescent="0.25">
      <c r="A109" s="158" t="s">
        <v>248</v>
      </c>
      <c r="B109" s="159"/>
      <c r="C109" s="159"/>
      <c r="D109" s="159"/>
      <c r="E109" s="159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 x14ac:dyDescent="0.25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 x14ac:dyDescent="0.25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286</v>
      </c>
      <c r="S111" s="31"/>
    </row>
    <row r="112" spans="1:20" ht="15" customHeight="1" x14ac:dyDescent="0.25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 x14ac:dyDescent="0.25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 x14ac:dyDescent="0.25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 x14ac:dyDescent="0.25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 x14ac:dyDescent="0.25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 x14ac:dyDescent="0.25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 x14ac:dyDescent="0.25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 x14ac:dyDescent="0.25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 x14ac:dyDescent="0.25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 x14ac:dyDescent="0.25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 x14ac:dyDescent="0.35">
      <c r="A122" s="160" t="s">
        <v>244</v>
      </c>
      <c r="B122" s="161"/>
      <c r="C122" s="161"/>
      <c r="D122" s="161"/>
      <c r="E122" s="161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 x14ac:dyDescent="0.25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 x14ac:dyDescent="0.25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 x14ac:dyDescent="0.25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 x14ac:dyDescent="0.25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 x14ac:dyDescent="0.25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 x14ac:dyDescent="0.25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 x14ac:dyDescent="0.25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 x14ac:dyDescent="0.25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 x14ac:dyDescent="0.25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 x14ac:dyDescent="0.25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 x14ac:dyDescent="0.25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 x14ac:dyDescent="0.25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 x14ac:dyDescent="0.35">
      <c r="A135" s="160" t="s">
        <v>247</v>
      </c>
      <c r="B135" s="161"/>
      <c r="C135" s="161"/>
      <c r="D135" s="161"/>
      <c r="E135" s="161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 x14ac:dyDescent="0.25">
      <c r="A136" s="158" t="s">
        <v>248</v>
      </c>
      <c r="B136" s="159"/>
      <c r="C136" s="159"/>
      <c r="D136" s="159"/>
      <c r="E136" s="159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 x14ac:dyDescent="0.25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 x14ac:dyDescent="0.25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 x14ac:dyDescent="0.25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287</v>
      </c>
      <c r="S139" s="31"/>
    </row>
    <row r="140" spans="1:20" ht="15" customHeight="1" x14ac:dyDescent="0.25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 x14ac:dyDescent="0.25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288</v>
      </c>
      <c r="S141" s="31"/>
    </row>
    <row r="142" spans="1:20" ht="15" customHeight="1" x14ac:dyDescent="0.25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 x14ac:dyDescent="0.25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 x14ac:dyDescent="0.25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 x14ac:dyDescent="0.25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289</v>
      </c>
      <c r="S145" s="31"/>
    </row>
    <row r="146" spans="1:20" ht="15" customHeight="1" x14ac:dyDescent="0.25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 x14ac:dyDescent="0.25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 x14ac:dyDescent="0.25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 x14ac:dyDescent="0.35">
      <c r="A149" s="160" t="s">
        <v>244</v>
      </c>
      <c r="B149" s="161"/>
      <c r="C149" s="161"/>
      <c r="D149" s="161"/>
      <c r="E149" s="161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 x14ac:dyDescent="0.25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 x14ac:dyDescent="0.25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290</v>
      </c>
      <c r="S151" s="31"/>
    </row>
    <row r="152" spans="1:20" ht="15" customHeight="1" x14ac:dyDescent="0.25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 x14ac:dyDescent="0.25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 x14ac:dyDescent="0.25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 x14ac:dyDescent="0.25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 x14ac:dyDescent="0.25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 x14ac:dyDescent="0.25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 x14ac:dyDescent="0.25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 x14ac:dyDescent="0.25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 x14ac:dyDescent="0.25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 x14ac:dyDescent="0.25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 x14ac:dyDescent="0.35">
      <c r="A162" s="160" t="s">
        <v>247</v>
      </c>
      <c r="B162" s="161"/>
      <c r="C162" s="161"/>
      <c r="D162" s="161"/>
      <c r="E162" s="161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 x14ac:dyDescent="0.25">
      <c r="A163" s="158" t="s">
        <v>248</v>
      </c>
      <c r="B163" s="159"/>
      <c r="C163" s="159"/>
      <c r="D163" s="159"/>
      <c r="E163" s="159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 x14ac:dyDescent="0.25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 x14ac:dyDescent="0.25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 x14ac:dyDescent="0.25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 x14ac:dyDescent="0.25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 x14ac:dyDescent="0.25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 x14ac:dyDescent="0.25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 x14ac:dyDescent="0.25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 x14ac:dyDescent="0.25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 x14ac:dyDescent="0.25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 x14ac:dyDescent="0.25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 x14ac:dyDescent="0.25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 x14ac:dyDescent="0.3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 x14ac:dyDescent="0.3">
      <c r="A176" s="160" t="s">
        <v>244</v>
      </c>
      <c r="B176" s="161"/>
      <c r="C176" s="161"/>
      <c r="D176" s="161"/>
      <c r="E176" s="161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 x14ac:dyDescent="0.25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 x14ac:dyDescent="0.25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 x14ac:dyDescent="0.25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 x14ac:dyDescent="0.25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 x14ac:dyDescent="0.25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291</v>
      </c>
      <c r="S181" s="31"/>
    </row>
    <row r="182" spans="1:20" ht="15" customHeight="1" x14ac:dyDescent="0.25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288</v>
      </c>
      <c r="S182" s="31"/>
    </row>
    <row r="183" spans="1:20" ht="15" customHeight="1" x14ac:dyDescent="0.25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292</v>
      </c>
      <c r="S183" s="31"/>
    </row>
    <row r="184" spans="1:20" ht="15" customHeight="1" x14ac:dyDescent="0.25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 x14ac:dyDescent="0.25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 x14ac:dyDescent="0.25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 x14ac:dyDescent="0.25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 x14ac:dyDescent="0.3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 x14ac:dyDescent="0.3">
      <c r="A189" s="160" t="s">
        <v>247</v>
      </c>
      <c r="B189" s="161"/>
      <c r="C189" s="161"/>
      <c r="D189" s="161"/>
      <c r="E189" s="161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 x14ac:dyDescent="0.25">
      <c r="A190" s="158" t="s">
        <v>248</v>
      </c>
      <c r="B190" s="159"/>
      <c r="C190" s="159"/>
      <c r="D190" s="159"/>
      <c r="E190" s="159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 x14ac:dyDescent="0.25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293</v>
      </c>
      <c r="S191" s="31"/>
    </row>
    <row r="192" spans="1:20" ht="15" customHeight="1" x14ac:dyDescent="0.25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 x14ac:dyDescent="0.25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 x14ac:dyDescent="0.25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 x14ac:dyDescent="0.25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286</v>
      </c>
      <c r="S195" s="31"/>
    </row>
    <row r="196" spans="1:20" ht="15" customHeight="1" x14ac:dyDescent="0.25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 x14ac:dyDescent="0.25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 x14ac:dyDescent="0.25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 x14ac:dyDescent="0.25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 x14ac:dyDescent="0.25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 x14ac:dyDescent="0.25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 x14ac:dyDescent="0.3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 x14ac:dyDescent="0.3">
      <c r="A203" s="160" t="s">
        <v>244</v>
      </c>
      <c r="B203" s="161"/>
      <c r="C203" s="161"/>
      <c r="D203" s="161"/>
      <c r="E203" s="161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 x14ac:dyDescent="0.25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 x14ac:dyDescent="0.25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 x14ac:dyDescent="0.25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 x14ac:dyDescent="0.25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 x14ac:dyDescent="0.25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 x14ac:dyDescent="0.25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 x14ac:dyDescent="0.25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 x14ac:dyDescent="0.25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 x14ac:dyDescent="0.25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 x14ac:dyDescent="0.25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 x14ac:dyDescent="0.25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 x14ac:dyDescent="0.3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 x14ac:dyDescent="0.3">
      <c r="A216" s="160" t="s">
        <v>247</v>
      </c>
      <c r="B216" s="161"/>
      <c r="C216" s="161"/>
      <c r="D216" s="161"/>
      <c r="E216" s="161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 x14ac:dyDescent="0.25">
      <c r="A217" s="158" t="s">
        <v>248</v>
      </c>
      <c r="B217" s="159"/>
      <c r="C217" s="159"/>
      <c r="D217" s="159"/>
      <c r="E217" s="159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 x14ac:dyDescent="0.25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281</v>
      </c>
      <c r="S218" s="47"/>
    </row>
    <row r="219" spans="1:20" ht="15" customHeight="1" x14ac:dyDescent="0.25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 x14ac:dyDescent="0.25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 x14ac:dyDescent="0.25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294</v>
      </c>
      <c r="S221" s="47"/>
    </row>
    <row r="222" spans="1:20" ht="15" customHeight="1" x14ac:dyDescent="0.25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 x14ac:dyDescent="0.25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295</v>
      </c>
      <c r="S223" s="47"/>
    </row>
    <row r="224" spans="1:20" ht="15" customHeight="1" x14ac:dyDescent="0.25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296</v>
      </c>
      <c r="S224" s="47"/>
    </row>
    <row r="225" spans="1:20" ht="15" customHeight="1" x14ac:dyDescent="0.25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 x14ac:dyDescent="0.25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 x14ac:dyDescent="0.25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 x14ac:dyDescent="0.25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 x14ac:dyDescent="0.3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 x14ac:dyDescent="0.3">
      <c r="A230" s="169" t="s">
        <v>244</v>
      </c>
      <c r="B230" s="170"/>
      <c r="C230" s="170"/>
      <c r="D230" s="170"/>
      <c r="E230" s="170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 x14ac:dyDescent="0.25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 x14ac:dyDescent="0.25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 x14ac:dyDescent="0.25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 x14ac:dyDescent="0.25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 x14ac:dyDescent="0.25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 x14ac:dyDescent="0.25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 x14ac:dyDescent="0.25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 x14ac:dyDescent="0.25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 x14ac:dyDescent="0.25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 x14ac:dyDescent="0.25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 x14ac:dyDescent="0.25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 x14ac:dyDescent="0.3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 x14ac:dyDescent="0.3">
      <c r="A243" s="160" t="s">
        <v>247</v>
      </c>
      <c r="B243" s="161"/>
      <c r="C243" s="161"/>
      <c r="D243" s="161"/>
      <c r="E243" s="161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 x14ac:dyDescent="0.25">
      <c r="A244" s="158" t="s">
        <v>248</v>
      </c>
      <c r="B244" s="159"/>
      <c r="C244" s="159"/>
      <c r="D244" s="159"/>
      <c r="E244" s="159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 x14ac:dyDescent="0.25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 x14ac:dyDescent="0.25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 x14ac:dyDescent="0.25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 x14ac:dyDescent="0.25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 x14ac:dyDescent="0.25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 x14ac:dyDescent="0.25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 x14ac:dyDescent="0.25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 x14ac:dyDescent="0.25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 x14ac:dyDescent="0.25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 x14ac:dyDescent="0.25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 x14ac:dyDescent="0.25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 x14ac:dyDescent="0.3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 x14ac:dyDescent="0.3">
      <c r="A257" s="160" t="s">
        <v>244</v>
      </c>
      <c r="B257" s="161"/>
      <c r="C257" s="161"/>
      <c r="D257" s="161"/>
      <c r="E257" s="161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 x14ac:dyDescent="0.25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 x14ac:dyDescent="0.25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 x14ac:dyDescent="0.25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 x14ac:dyDescent="0.25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 x14ac:dyDescent="0.25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 x14ac:dyDescent="0.25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 x14ac:dyDescent="0.25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 x14ac:dyDescent="0.25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 x14ac:dyDescent="0.25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 x14ac:dyDescent="0.25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 x14ac:dyDescent="0.25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 x14ac:dyDescent="0.3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 x14ac:dyDescent="0.3">
      <c r="A270" s="160" t="s">
        <v>247</v>
      </c>
      <c r="B270" s="161"/>
      <c r="C270" s="161"/>
      <c r="D270" s="161"/>
      <c r="E270" s="161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 x14ac:dyDescent="0.25">
      <c r="A271" s="158" t="s">
        <v>248</v>
      </c>
      <c r="B271" s="159"/>
      <c r="C271" s="159"/>
      <c r="D271" s="159"/>
      <c r="E271" s="159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 x14ac:dyDescent="0.25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 x14ac:dyDescent="0.25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 x14ac:dyDescent="0.25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 x14ac:dyDescent="0.25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 x14ac:dyDescent="0.25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 x14ac:dyDescent="0.25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 x14ac:dyDescent="0.25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 x14ac:dyDescent="0.25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 x14ac:dyDescent="0.25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 x14ac:dyDescent="0.25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 x14ac:dyDescent="0.25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 x14ac:dyDescent="0.3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 x14ac:dyDescent="0.3">
      <c r="A284" s="160" t="s">
        <v>244</v>
      </c>
      <c r="B284" s="161"/>
      <c r="C284" s="161"/>
      <c r="D284" s="161"/>
      <c r="E284" s="161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 x14ac:dyDescent="0.25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 x14ac:dyDescent="0.25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 x14ac:dyDescent="0.25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 x14ac:dyDescent="0.25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 x14ac:dyDescent="0.25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 x14ac:dyDescent="0.25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 x14ac:dyDescent="0.25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 x14ac:dyDescent="0.25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 x14ac:dyDescent="0.25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 x14ac:dyDescent="0.25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 x14ac:dyDescent="0.25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 x14ac:dyDescent="0.3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 x14ac:dyDescent="0.3">
      <c r="A297" s="160" t="s">
        <v>247</v>
      </c>
      <c r="B297" s="161"/>
      <c r="C297" s="161"/>
      <c r="D297" s="161"/>
      <c r="E297" s="161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 x14ac:dyDescent="0.25">
      <c r="A298" s="158" t="s">
        <v>248</v>
      </c>
      <c r="B298" s="159"/>
      <c r="C298" s="159"/>
      <c r="D298" s="159"/>
      <c r="E298" s="159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 x14ac:dyDescent="0.25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 x14ac:dyDescent="0.25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 x14ac:dyDescent="0.25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 x14ac:dyDescent="0.25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 x14ac:dyDescent="0.25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 x14ac:dyDescent="0.25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 x14ac:dyDescent="0.25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 x14ac:dyDescent="0.25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 x14ac:dyDescent="0.25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 x14ac:dyDescent="0.25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 x14ac:dyDescent="0.25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 x14ac:dyDescent="0.3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 x14ac:dyDescent="0.3">
      <c r="A311" s="160" t="s">
        <v>244</v>
      </c>
      <c r="B311" s="161"/>
      <c r="C311" s="161"/>
      <c r="D311" s="161"/>
      <c r="E311" s="161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129.92697372781066</v>
      </c>
    </row>
    <row r="312" spans="1:20" ht="15" customHeight="1" x14ac:dyDescent="0.25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 x14ac:dyDescent="0.25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 x14ac:dyDescent="0.25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 x14ac:dyDescent="0.25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 x14ac:dyDescent="0.25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 x14ac:dyDescent="0.25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 x14ac:dyDescent="0.25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 x14ac:dyDescent="0.25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 x14ac:dyDescent="0.25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 x14ac:dyDescent="0.25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 x14ac:dyDescent="0.25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 x14ac:dyDescent="0.3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 x14ac:dyDescent="0.3">
      <c r="A324" s="160" t="s">
        <v>247</v>
      </c>
      <c r="B324" s="161"/>
      <c r="C324" s="161"/>
      <c r="D324" s="161"/>
      <c r="E324" s="161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104.40432</v>
      </c>
    </row>
    <row r="325" spans="1:20" ht="18" customHeight="1" x14ac:dyDescent="0.25">
      <c r="A325" s="158" t="s">
        <v>248</v>
      </c>
      <c r="B325" s="159"/>
      <c r="C325" s="159"/>
      <c r="D325" s="159"/>
      <c r="E325" s="159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 x14ac:dyDescent="0.25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297</v>
      </c>
      <c r="S326" s="47"/>
    </row>
    <row r="327" spans="1:20" ht="15" customHeight="1" x14ac:dyDescent="0.25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 x14ac:dyDescent="0.25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298</v>
      </c>
      <c r="S328" s="47"/>
    </row>
    <row r="329" spans="1:20" ht="15" customHeight="1" x14ac:dyDescent="0.25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299</v>
      </c>
      <c r="S329" s="47"/>
    </row>
    <row r="330" spans="1:20" ht="15" customHeight="1" x14ac:dyDescent="0.25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 x14ac:dyDescent="0.25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300</v>
      </c>
      <c r="S331" s="47"/>
    </row>
    <row r="332" spans="1:20" ht="15" customHeight="1" x14ac:dyDescent="0.25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301</v>
      </c>
      <c r="S332" s="47"/>
    </row>
    <row r="333" spans="1:20" ht="15" customHeight="1" x14ac:dyDescent="0.25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 x14ac:dyDescent="0.25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 x14ac:dyDescent="0.25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 x14ac:dyDescent="0.25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 x14ac:dyDescent="0.3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 x14ac:dyDescent="0.3">
      <c r="A338" s="160" t="s">
        <v>244</v>
      </c>
      <c r="B338" s="161"/>
      <c r="C338" s="161"/>
      <c r="D338" s="161"/>
      <c r="E338" s="161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 x14ac:dyDescent="0.25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 x14ac:dyDescent="0.25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 x14ac:dyDescent="0.25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293</v>
      </c>
      <c r="S341" s="47"/>
    </row>
    <row r="342" spans="1:20" ht="15" customHeight="1" x14ac:dyDescent="0.25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 x14ac:dyDescent="0.25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288</v>
      </c>
      <c r="S343" s="47"/>
    </row>
    <row r="344" spans="1:20" ht="15" customHeight="1" x14ac:dyDescent="0.25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 x14ac:dyDescent="0.25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 x14ac:dyDescent="0.25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 x14ac:dyDescent="0.25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 x14ac:dyDescent="0.25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 x14ac:dyDescent="0.25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 x14ac:dyDescent="0.3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 x14ac:dyDescent="0.3">
      <c r="A351" s="160" t="s">
        <v>247</v>
      </c>
      <c r="B351" s="161"/>
      <c r="C351" s="161"/>
      <c r="D351" s="161"/>
      <c r="E351" s="161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 x14ac:dyDescent="0.25">
      <c r="A352" s="158" t="s">
        <v>248</v>
      </c>
      <c r="B352" s="159"/>
      <c r="C352" s="159"/>
      <c r="D352" s="159"/>
      <c r="E352" s="159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 x14ac:dyDescent="0.25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281</v>
      </c>
      <c r="S353" s="47"/>
    </row>
    <row r="354" spans="1:20" ht="15" customHeight="1" x14ac:dyDescent="0.25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 x14ac:dyDescent="0.25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 x14ac:dyDescent="0.25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 x14ac:dyDescent="0.25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 x14ac:dyDescent="0.25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 x14ac:dyDescent="0.25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 x14ac:dyDescent="0.25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 x14ac:dyDescent="0.25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 x14ac:dyDescent="0.25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 x14ac:dyDescent="0.25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 x14ac:dyDescent="0.3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 x14ac:dyDescent="0.3">
      <c r="A365" s="160" t="s">
        <v>244</v>
      </c>
      <c r="B365" s="161"/>
      <c r="C365" s="161"/>
      <c r="D365" s="161"/>
      <c r="E365" s="161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 x14ac:dyDescent="0.25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 x14ac:dyDescent="0.25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302</v>
      </c>
      <c r="S367" s="47"/>
    </row>
    <row r="368" spans="1:20" ht="15" customHeight="1" x14ac:dyDescent="0.25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 x14ac:dyDescent="0.25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 x14ac:dyDescent="0.25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 x14ac:dyDescent="0.25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 x14ac:dyDescent="0.25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 x14ac:dyDescent="0.25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 x14ac:dyDescent="0.25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 x14ac:dyDescent="0.25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 x14ac:dyDescent="0.25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 x14ac:dyDescent="0.3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 x14ac:dyDescent="0.3">
      <c r="A378" s="160" t="s">
        <v>247</v>
      </c>
      <c r="B378" s="161"/>
      <c r="C378" s="161"/>
      <c r="D378" s="161"/>
      <c r="E378" s="161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245</v>
      </c>
      <c r="S378" s="45">
        <v>806300</v>
      </c>
      <c r="T378" s="122">
        <f>IFERROR(J378,"")</f>
        <v>169.32299999999998</v>
      </c>
    </row>
    <row r="379" spans="1:20" ht="18" customHeight="1" x14ac:dyDescent="0.25">
      <c r="A379" s="158" t="s">
        <v>248</v>
      </c>
      <c r="B379" s="159"/>
      <c r="C379" s="159"/>
      <c r="D379" s="159"/>
      <c r="E379" s="159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249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 x14ac:dyDescent="0.25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259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 x14ac:dyDescent="0.25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259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 x14ac:dyDescent="0.25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 x14ac:dyDescent="0.25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 x14ac:dyDescent="0.25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 x14ac:dyDescent="0.25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303</v>
      </c>
      <c r="S385" s="47"/>
    </row>
    <row r="386" spans="1:20" ht="15" customHeight="1" x14ac:dyDescent="0.25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 x14ac:dyDescent="0.25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 x14ac:dyDescent="0.25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 x14ac:dyDescent="0.25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 x14ac:dyDescent="0.25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 x14ac:dyDescent="0.3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 x14ac:dyDescent="0.3">
      <c r="A392" s="160" t="s">
        <v>244</v>
      </c>
      <c r="B392" s="161"/>
      <c r="C392" s="161"/>
      <c r="D392" s="161"/>
      <c r="E392" s="161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245</v>
      </c>
      <c r="S392" s="45">
        <v>820320</v>
      </c>
      <c r="T392" s="122">
        <f>IFERROR(J392,"")</f>
        <v>162.80881156626504</v>
      </c>
    </row>
    <row r="393" spans="1:20" ht="15" customHeight="1" x14ac:dyDescent="0.25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 x14ac:dyDescent="0.25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 x14ac:dyDescent="0.25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 x14ac:dyDescent="0.25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167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304</v>
      </c>
      <c r="S396" s="47"/>
    </row>
    <row r="397" spans="1:20" ht="15" customHeight="1" x14ac:dyDescent="0.25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 x14ac:dyDescent="0.25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165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 x14ac:dyDescent="0.25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175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 x14ac:dyDescent="0.25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165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 x14ac:dyDescent="0.25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 x14ac:dyDescent="0.25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 x14ac:dyDescent="0.25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 x14ac:dyDescent="0.3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 x14ac:dyDescent="0.3">
      <c r="A405" s="160" t="s">
        <v>247</v>
      </c>
      <c r="B405" s="161"/>
      <c r="C405" s="161"/>
      <c r="D405" s="161"/>
      <c r="E405" s="161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245</v>
      </c>
      <c r="S405" s="45">
        <v>774540</v>
      </c>
      <c r="T405" s="122">
        <f>IFERROR(J405,"")</f>
        <v>156.22852721311477</v>
      </c>
    </row>
    <row r="406" spans="1:20" ht="18" customHeight="1" x14ac:dyDescent="0.25">
      <c r="A406" s="158" t="s">
        <v>248</v>
      </c>
      <c r="B406" s="159"/>
      <c r="C406" s="159"/>
      <c r="D406" s="159"/>
      <c r="E406" s="159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249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 x14ac:dyDescent="0.25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0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0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 x14ac:dyDescent="0.25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/>
      <c r="H408" s="134" t="str">
        <f>IFERROR(IF($G408="","",$G408*$S$419/$G$419/Cadastro!$E$33),"")</f>
        <v/>
      </c>
      <c r="I408" s="135">
        <f>IFERROR(IF($D408="","",VLOOKUP($D408,Cadastro!$C$4:$G$7,5,FALSE)),"")</f>
        <v>0.6</v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 x14ac:dyDescent="0.25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/>
      <c r="H409" s="134" t="str">
        <f>IFERROR(IF($G409="","",$G409*$S$419/$G$419/Cadastro!$E$33),"")</f>
        <v/>
      </c>
      <c r="I409" s="135">
        <f>IFERROR(IF($D409="","",VLOOKUP($D409,Cadastro!$C$4:$G$7,5,FALSE)),"")</f>
        <v>0.6</v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 x14ac:dyDescent="0.25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/>
      <c r="H410" s="134" t="str">
        <f>IFERROR(IF($G410="","",$G410*$S$419/$G$419/Cadastro!$E$33),"")</f>
        <v/>
      </c>
      <c r="I410" s="135">
        <f>IFERROR(IF($D410="","",VLOOKUP($D410,Cadastro!$C$4:$G$7,5,FALSE)),"")</f>
        <v>0.6</v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 x14ac:dyDescent="0.25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/>
      <c r="H411" s="134" t="str">
        <f>IFERROR(IF($G411="","",$G411*$S$419/$G$419/Cadastro!$E$33),"")</f>
        <v/>
      </c>
      <c r="I411" s="135">
        <f>IFERROR(IF($D411="","",VLOOKUP($D411,Cadastro!$C$4:$G$7,5,FALSE)),"")</f>
        <v>0.6</v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 x14ac:dyDescent="0.25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/>
      <c r="H412" s="134" t="str">
        <f>IFERROR(IF($G412="","",$G412*$S$419/$G$419/Cadastro!$E$33),"")</f>
        <v/>
      </c>
      <c r="I412" s="135">
        <f>IFERROR(IF($D412="","",VLOOKUP($D412,Cadastro!$C$4:$G$7,5,FALSE)),"")</f>
        <v>0.6</v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 x14ac:dyDescent="0.25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/>
      <c r="H413" s="134" t="str">
        <f>IFERROR(IF($G413="","",$G413*$S$419/$G$419/Cadastro!$E$33),"")</f>
        <v/>
      </c>
      <c r="I413" s="135">
        <f>IFERROR(IF($D413="","",VLOOKUP($D413,Cadastro!$C$4:$G$7,5,FALSE)),"")</f>
        <v>0.6</v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 x14ac:dyDescent="0.25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/>
      <c r="H414" s="134" t="str">
        <f>IFERROR(IF($G414="","",$G414*$S$419/$G$419/Cadastro!$E$33),"")</f>
        <v/>
      </c>
      <c r="I414" s="135">
        <f>IFERROR(IF($D414="","",VLOOKUP($D414,Cadastro!$C$4:$G$7,5,FALSE)),"")</f>
        <v>0.6</v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 x14ac:dyDescent="0.25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/>
      <c r="H415" s="134" t="str">
        <f>IFERROR(IF($G415="","",$G415*$S$419/$G$419/Cadastro!$E$33),"")</f>
        <v/>
      </c>
      <c r="I415" s="135">
        <f>IFERROR(IF($D415="","",VLOOKUP($D415,Cadastro!$C$4:$G$7,5,FALSE)),"")</f>
        <v>0.6</v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 x14ac:dyDescent="0.25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/>
      <c r="H416" s="134" t="str">
        <f>IFERROR(IF($G416="","",$G416*$S$419/$G$419/Cadastro!$E$33),"")</f>
        <v/>
      </c>
      <c r="I416" s="135">
        <f>IFERROR(IF($D416="","",VLOOKUP($D416,Cadastro!$C$4:$G$7,5,FALSE)),"")</f>
        <v>0.6</v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 x14ac:dyDescent="0.25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/>
      <c r="H417" s="134" t="str">
        <f>IFERROR(IF($G417="","",$G417*$S$419/$G$419/Cadastro!$E$33),"")</f>
        <v/>
      </c>
      <c r="I417" s="135">
        <f>IFERROR(IF($D417="","",VLOOKUP($D417,Cadastro!$C$4:$G$7,5,FALSE)),"")</f>
        <v>0.6</v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 x14ac:dyDescent="0.3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/>
      <c r="H418" s="137" t="str">
        <f>IFERROR(IF($G418="","",$G418*$S$419/$G$419/Cadastro!$E$33),"")</f>
        <v/>
      </c>
      <c r="I418" s="138">
        <f>IFERROR(IF($D418="","",VLOOKUP($D418,Cadastro!$C$4:$G$7,5,FALSE)),"")</f>
        <v>0.6</v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 x14ac:dyDescent="0.3">
      <c r="A419" s="160" t="s">
        <v>244</v>
      </c>
      <c r="B419" s="161"/>
      <c r="C419" s="161"/>
      <c r="D419" s="161"/>
      <c r="E419" s="161">
        <f>SUM(E407:E418)</f>
        <v>0</v>
      </c>
      <c r="F419" s="110"/>
      <c r="G419" s="80">
        <f>SUM(G407:G418)</f>
        <v>14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58.800000000000004</v>
      </c>
      <c r="L419" s="37"/>
      <c r="M419" s="37"/>
      <c r="N419" s="37"/>
      <c r="O419" s="37"/>
      <c r="P419" s="37"/>
      <c r="Q419" s="38">
        <f ca="1">IFERROR(SUM(Q407:Q418),"")</f>
        <v>7.6388888888888618E-3</v>
      </c>
      <c r="R419" s="36" t="s">
        <v>245</v>
      </c>
      <c r="S419" s="45"/>
      <c r="T419" s="122">
        <f>IFERROR(J419,"")</f>
        <v>0</v>
      </c>
    </row>
    <row r="420" spans="1:20" ht="15" customHeight="1" x14ac:dyDescent="0.25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 x14ac:dyDescent="0.25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 x14ac:dyDescent="0.25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 x14ac:dyDescent="0.25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 x14ac:dyDescent="0.25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 x14ac:dyDescent="0.25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 x14ac:dyDescent="0.25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 x14ac:dyDescent="0.25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 x14ac:dyDescent="0.25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 x14ac:dyDescent="0.25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 x14ac:dyDescent="0.25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 x14ac:dyDescent="0.3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 x14ac:dyDescent="0.3">
      <c r="A432" s="78" t="s">
        <v>247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45"/>
      <c r="T432" s="122">
        <f>IFERROR(J432,"")</f>
        <v>0</v>
      </c>
    </row>
    <row r="433" spans="1:20" ht="18" customHeight="1" x14ac:dyDescent="0.25">
      <c r="A433" s="83" t="s">
        <v>248</v>
      </c>
      <c r="B433" s="82"/>
      <c r="C433" s="82"/>
      <c r="D433" s="82"/>
      <c r="E433" s="82"/>
      <c r="F433" s="112"/>
      <c r="G433" s="91">
        <f>G419+G432</f>
        <v>14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58.800000000000004</v>
      </c>
      <c r="L433" s="41"/>
      <c r="M433" s="41"/>
      <c r="N433" s="41"/>
      <c r="O433" s="41"/>
      <c r="P433" s="41"/>
      <c r="Q433" s="42">
        <f ca="1">IFERROR(Q419+Q432,"")</f>
        <v>7.6388888888888618E-3</v>
      </c>
      <c r="R433" s="40" t="s">
        <v>249</v>
      </c>
      <c r="S433" s="143">
        <f>IFERROR(S419+S432,"")</f>
        <v>0</v>
      </c>
      <c r="T433" s="144">
        <f>IFERROR(J433,"")</f>
        <v>0</v>
      </c>
    </row>
    <row r="434" spans="1:20" ht="15" customHeight="1" x14ac:dyDescent="0.25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 x14ac:dyDescent="0.25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 x14ac:dyDescent="0.25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 x14ac:dyDescent="0.25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 x14ac:dyDescent="0.25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 x14ac:dyDescent="0.25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 x14ac:dyDescent="0.25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 x14ac:dyDescent="0.25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 x14ac:dyDescent="0.25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 x14ac:dyDescent="0.25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 x14ac:dyDescent="0.25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 x14ac:dyDescent="0.3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 x14ac:dyDescent="0.3">
      <c r="A446" s="160" t="s">
        <v>244</v>
      </c>
      <c r="B446" s="161"/>
      <c r="C446" s="161"/>
      <c r="D446" s="161"/>
      <c r="E446" s="161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45"/>
      <c r="T446" s="122">
        <f>IFERROR(J446,"")</f>
        <v>0</v>
      </c>
    </row>
    <row r="447" spans="1:20" ht="15" customHeight="1" x14ac:dyDescent="0.25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 x14ac:dyDescent="0.25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 x14ac:dyDescent="0.25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 x14ac:dyDescent="0.25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 x14ac:dyDescent="0.25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 x14ac:dyDescent="0.25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 x14ac:dyDescent="0.25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 x14ac:dyDescent="0.25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 x14ac:dyDescent="0.25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 x14ac:dyDescent="0.25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 x14ac:dyDescent="0.25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 x14ac:dyDescent="0.3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 x14ac:dyDescent="0.3">
      <c r="A459" s="160" t="s">
        <v>247</v>
      </c>
      <c r="B459" s="161"/>
      <c r="C459" s="161"/>
      <c r="D459" s="161"/>
      <c r="E459" s="161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 x14ac:dyDescent="0.25">
      <c r="A460" s="158" t="s">
        <v>248</v>
      </c>
      <c r="B460" s="159"/>
      <c r="C460" s="159"/>
      <c r="D460" s="159"/>
      <c r="E460" s="159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 x14ac:dyDescent="0.25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 x14ac:dyDescent="0.25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 x14ac:dyDescent="0.25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 x14ac:dyDescent="0.25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 x14ac:dyDescent="0.25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 x14ac:dyDescent="0.25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 x14ac:dyDescent="0.25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 x14ac:dyDescent="0.25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 x14ac:dyDescent="0.25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 x14ac:dyDescent="0.25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 x14ac:dyDescent="0.25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 x14ac:dyDescent="0.3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 x14ac:dyDescent="0.3">
      <c r="A473" s="160" t="s">
        <v>244</v>
      </c>
      <c r="B473" s="161"/>
      <c r="C473" s="161"/>
      <c r="D473" s="161"/>
      <c r="E473" s="161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 x14ac:dyDescent="0.25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 x14ac:dyDescent="0.25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 x14ac:dyDescent="0.25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 x14ac:dyDescent="0.25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 x14ac:dyDescent="0.25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 x14ac:dyDescent="0.25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 x14ac:dyDescent="0.25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 x14ac:dyDescent="0.25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 x14ac:dyDescent="0.25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 x14ac:dyDescent="0.25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 x14ac:dyDescent="0.25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 x14ac:dyDescent="0.3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 x14ac:dyDescent="0.3">
      <c r="A486" s="160" t="s">
        <v>247</v>
      </c>
      <c r="B486" s="161"/>
      <c r="C486" s="161"/>
      <c r="D486" s="161"/>
      <c r="E486" s="161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 x14ac:dyDescent="0.25">
      <c r="A487" s="158" t="s">
        <v>248</v>
      </c>
      <c r="B487" s="159"/>
      <c r="C487" s="159"/>
      <c r="D487" s="159"/>
      <c r="E487" s="159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 x14ac:dyDescent="0.25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 x14ac:dyDescent="0.25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 x14ac:dyDescent="0.25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 x14ac:dyDescent="0.25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 x14ac:dyDescent="0.25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 x14ac:dyDescent="0.25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 x14ac:dyDescent="0.25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 x14ac:dyDescent="0.25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 x14ac:dyDescent="0.25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 x14ac:dyDescent="0.25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 x14ac:dyDescent="0.25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 x14ac:dyDescent="0.3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 x14ac:dyDescent="0.3">
      <c r="A500" s="160" t="s">
        <v>244</v>
      </c>
      <c r="B500" s="161"/>
      <c r="C500" s="161"/>
      <c r="D500" s="161"/>
      <c r="E500" s="16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 x14ac:dyDescent="0.25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 x14ac:dyDescent="0.25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 x14ac:dyDescent="0.25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 x14ac:dyDescent="0.25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 x14ac:dyDescent="0.25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 x14ac:dyDescent="0.25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 x14ac:dyDescent="0.25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 x14ac:dyDescent="0.25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 x14ac:dyDescent="0.25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 x14ac:dyDescent="0.25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 x14ac:dyDescent="0.25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 x14ac:dyDescent="0.3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 x14ac:dyDescent="0.3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 x14ac:dyDescent="0.25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 x14ac:dyDescent="0.25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 x14ac:dyDescent="0.25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 x14ac:dyDescent="0.25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 x14ac:dyDescent="0.25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 x14ac:dyDescent="0.25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 x14ac:dyDescent="0.25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 x14ac:dyDescent="0.25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 x14ac:dyDescent="0.25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 x14ac:dyDescent="0.25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 x14ac:dyDescent="0.25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 x14ac:dyDescent="0.25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 x14ac:dyDescent="0.3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 x14ac:dyDescent="0.3">
      <c r="A527" s="160" t="s">
        <v>244</v>
      </c>
      <c r="B527" s="161"/>
      <c r="C527" s="161"/>
      <c r="D527" s="161"/>
      <c r="E527" s="16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 x14ac:dyDescent="0.25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 x14ac:dyDescent="0.25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 x14ac:dyDescent="0.25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 x14ac:dyDescent="0.25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 x14ac:dyDescent="0.25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 x14ac:dyDescent="0.25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 x14ac:dyDescent="0.25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 x14ac:dyDescent="0.25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 x14ac:dyDescent="0.25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 x14ac:dyDescent="0.25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 x14ac:dyDescent="0.25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 x14ac:dyDescent="0.3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 x14ac:dyDescent="0.3">
      <c r="A540" s="160" t="s">
        <v>247</v>
      </c>
      <c r="B540" s="161"/>
      <c r="C540" s="161"/>
      <c r="D540" s="161"/>
      <c r="E540" s="16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 x14ac:dyDescent="0.25">
      <c r="A541" s="158" t="s">
        <v>248</v>
      </c>
      <c r="B541" s="159"/>
      <c r="C541" s="159"/>
      <c r="D541" s="159"/>
      <c r="E541" s="159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 x14ac:dyDescent="0.25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 x14ac:dyDescent="0.25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 x14ac:dyDescent="0.25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 x14ac:dyDescent="0.25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 x14ac:dyDescent="0.25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 x14ac:dyDescent="0.25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 x14ac:dyDescent="0.25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 x14ac:dyDescent="0.25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 x14ac:dyDescent="0.25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 x14ac:dyDescent="0.25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 x14ac:dyDescent="0.25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 x14ac:dyDescent="0.3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 x14ac:dyDescent="0.3">
      <c r="A554" s="160" t="s">
        <v>244</v>
      </c>
      <c r="B554" s="161"/>
      <c r="C554" s="161"/>
      <c r="D554" s="161"/>
      <c r="E554" s="16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 x14ac:dyDescent="0.25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 x14ac:dyDescent="0.25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 x14ac:dyDescent="0.25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 x14ac:dyDescent="0.25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 x14ac:dyDescent="0.25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 x14ac:dyDescent="0.25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 x14ac:dyDescent="0.25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 x14ac:dyDescent="0.25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 x14ac:dyDescent="0.25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 x14ac:dyDescent="0.25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 x14ac:dyDescent="0.25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 x14ac:dyDescent="0.3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 x14ac:dyDescent="0.3">
      <c r="A567" s="160" t="s">
        <v>247</v>
      </c>
      <c r="B567" s="161"/>
      <c r="C567" s="161"/>
      <c r="D567" s="161"/>
      <c r="E567" s="16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 x14ac:dyDescent="0.25">
      <c r="A568" s="158" t="s">
        <v>248</v>
      </c>
      <c r="B568" s="159"/>
      <c r="C568" s="159"/>
      <c r="D568" s="159"/>
      <c r="E568" s="159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 x14ac:dyDescent="0.25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 x14ac:dyDescent="0.25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 x14ac:dyDescent="0.25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 x14ac:dyDescent="0.25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 x14ac:dyDescent="0.25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 x14ac:dyDescent="0.25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 x14ac:dyDescent="0.25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 x14ac:dyDescent="0.25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 x14ac:dyDescent="0.25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 x14ac:dyDescent="0.25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 x14ac:dyDescent="0.25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 x14ac:dyDescent="0.3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 x14ac:dyDescent="0.3">
      <c r="A581" s="160" t="s">
        <v>244</v>
      </c>
      <c r="B581" s="161"/>
      <c r="C581" s="161"/>
      <c r="D581" s="161"/>
      <c r="E581" s="16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 x14ac:dyDescent="0.25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 x14ac:dyDescent="0.25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 x14ac:dyDescent="0.25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 x14ac:dyDescent="0.25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 x14ac:dyDescent="0.25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 x14ac:dyDescent="0.25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 x14ac:dyDescent="0.25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 x14ac:dyDescent="0.25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 x14ac:dyDescent="0.25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 x14ac:dyDescent="0.25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 x14ac:dyDescent="0.25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 x14ac:dyDescent="0.3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 x14ac:dyDescent="0.3">
      <c r="A594" s="160" t="s">
        <v>247</v>
      </c>
      <c r="B594" s="161"/>
      <c r="C594" s="161"/>
      <c r="D594" s="161"/>
      <c r="E594" s="16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 x14ac:dyDescent="0.25">
      <c r="A595" s="158" t="s">
        <v>248</v>
      </c>
      <c r="B595" s="159"/>
      <c r="C595" s="159"/>
      <c r="D595" s="159"/>
      <c r="E595" s="159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 x14ac:dyDescent="0.25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 x14ac:dyDescent="0.25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 x14ac:dyDescent="0.25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 x14ac:dyDescent="0.25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 x14ac:dyDescent="0.25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 x14ac:dyDescent="0.25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 x14ac:dyDescent="0.25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 x14ac:dyDescent="0.25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 x14ac:dyDescent="0.25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 x14ac:dyDescent="0.25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 x14ac:dyDescent="0.25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 x14ac:dyDescent="0.3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 x14ac:dyDescent="0.3">
      <c r="A608" s="160" t="s">
        <v>244</v>
      </c>
      <c r="B608" s="161"/>
      <c r="C608" s="161"/>
      <c r="D608" s="161"/>
      <c r="E608" s="16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 x14ac:dyDescent="0.25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 x14ac:dyDescent="0.25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 x14ac:dyDescent="0.25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 x14ac:dyDescent="0.25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 x14ac:dyDescent="0.25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 x14ac:dyDescent="0.25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 x14ac:dyDescent="0.25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 x14ac:dyDescent="0.25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 x14ac:dyDescent="0.25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 x14ac:dyDescent="0.25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 x14ac:dyDescent="0.25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 x14ac:dyDescent="0.3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 x14ac:dyDescent="0.3">
      <c r="A621" s="160" t="s">
        <v>247</v>
      </c>
      <c r="B621" s="161"/>
      <c r="C621" s="161"/>
      <c r="D621" s="161"/>
      <c r="E621" s="16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 x14ac:dyDescent="0.25">
      <c r="A622" s="158" t="s">
        <v>248</v>
      </c>
      <c r="B622" s="159"/>
      <c r="C622" s="159"/>
      <c r="D622" s="159"/>
      <c r="E622" s="159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 x14ac:dyDescent="0.25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 x14ac:dyDescent="0.25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 x14ac:dyDescent="0.25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 x14ac:dyDescent="0.25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 x14ac:dyDescent="0.25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 x14ac:dyDescent="0.25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 x14ac:dyDescent="0.25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 x14ac:dyDescent="0.25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 x14ac:dyDescent="0.25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 x14ac:dyDescent="0.25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 x14ac:dyDescent="0.25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 x14ac:dyDescent="0.3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 x14ac:dyDescent="0.3">
      <c r="A635" s="160" t="s">
        <v>244</v>
      </c>
      <c r="B635" s="161"/>
      <c r="C635" s="161"/>
      <c r="D635" s="161"/>
      <c r="E635" s="16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 x14ac:dyDescent="0.25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 x14ac:dyDescent="0.25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 x14ac:dyDescent="0.25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 x14ac:dyDescent="0.25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 x14ac:dyDescent="0.25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 x14ac:dyDescent="0.25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 x14ac:dyDescent="0.25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 x14ac:dyDescent="0.25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 x14ac:dyDescent="0.25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 x14ac:dyDescent="0.25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 x14ac:dyDescent="0.25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 x14ac:dyDescent="0.3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 x14ac:dyDescent="0.3">
      <c r="A648" s="160" t="s">
        <v>247</v>
      </c>
      <c r="B648" s="161"/>
      <c r="C648" s="161"/>
      <c r="D648" s="161"/>
      <c r="E648" s="16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 x14ac:dyDescent="0.25">
      <c r="A649" s="158" t="s">
        <v>248</v>
      </c>
      <c r="B649" s="159"/>
      <c r="C649" s="159"/>
      <c r="D649" s="159"/>
      <c r="E649" s="159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 x14ac:dyDescent="0.25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 x14ac:dyDescent="0.25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 x14ac:dyDescent="0.25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 x14ac:dyDescent="0.25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 x14ac:dyDescent="0.25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 x14ac:dyDescent="0.25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 x14ac:dyDescent="0.25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 x14ac:dyDescent="0.25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 x14ac:dyDescent="0.25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 x14ac:dyDescent="0.25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 x14ac:dyDescent="0.25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 x14ac:dyDescent="0.3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 x14ac:dyDescent="0.3">
      <c r="A662" s="160" t="s">
        <v>244</v>
      </c>
      <c r="B662" s="161"/>
      <c r="C662" s="161"/>
      <c r="D662" s="161"/>
      <c r="E662" s="16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 x14ac:dyDescent="0.25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 x14ac:dyDescent="0.25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 x14ac:dyDescent="0.25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 x14ac:dyDescent="0.25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 x14ac:dyDescent="0.25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 x14ac:dyDescent="0.25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 x14ac:dyDescent="0.25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 x14ac:dyDescent="0.25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 x14ac:dyDescent="0.25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 x14ac:dyDescent="0.25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 x14ac:dyDescent="0.25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 x14ac:dyDescent="0.3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 x14ac:dyDescent="0.3">
      <c r="A675" s="160" t="s">
        <v>247</v>
      </c>
      <c r="B675" s="161"/>
      <c r="C675" s="161"/>
      <c r="D675" s="161"/>
      <c r="E675" s="16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 x14ac:dyDescent="0.25">
      <c r="A676" s="158" t="s">
        <v>248</v>
      </c>
      <c r="B676" s="159"/>
      <c r="C676" s="159"/>
      <c r="D676" s="159"/>
      <c r="E676" s="159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 x14ac:dyDescent="0.25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 x14ac:dyDescent="0.25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 x14ac:dyDescent="0.25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 x14ac:dyDescent="0.25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 x14ac:dyDescent="0.25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 x14ac:dyDescent="0.25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 x14ac:dyDescent="0.25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 x14ac:dyDescent="0.25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 x14ac:dyDescent="0.25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 x14ac:dyDescent="0.25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 x14ac:dyDescent="0.25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 x14ac:dyDescent="0.3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 x14ac:dyDescent="0.3">
      <c r="A689" s="160" t="s">
        <v>244</v>
      </c>
      <c r="B689" s="161"/>
      <c r="C689" s="161"/>
      <c r="D689" s="161"/>
      <c r="E689" s="16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 x14ac:dyDescent="0.25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 x14ac:dyDescent="0.25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 x14ac:dyDescent="0.25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 x14ac:dyDescent="0.25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 x14ac:dyDescent="0.25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 x14ac:dyDescent="0.25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 x14ac:dyDescent="0.25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 x14ac:dyDescent="0.25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 x14ac:dyDescent="0.25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 x14ac:dyDescent="0.25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 x14ac:dyDescent="0.25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 x14ac:dyDescent="0.3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 x14ac:dyDescent="0.3">
      <c r="A702" s="160" t="s">
        <v>247</v>
      </c>
      <c r="B702" s="161"/>
      <c r="C702" s="161"/>
      <c r="D702" s="161"/>
      <c r="E702" s="16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 x14ac:dyDescent="0.25">
      <c r="A703" s="158" t="s">
        <v>248</v>
      </c>
      <c r="B703" s="159"/>
      <c r="C703" s="159"/>
      <c r="D703" s="159"/>
      <c r="E703" s="159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 x14ac:dyDescent="0.25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 x14ac:dyDescent="0.25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 x14ac:dyDescent="0.25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 x14ac:dyDescent="0.25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 x14ac:dyDescent="0.25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 x14ac:dyDescent="0.25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 x14ac:dyDescent="0.25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 x14ac:dyDescent="0.25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 x14ac:dyDescent="0.25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 x14ac:dyDescent="0.25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 x14ac:dyDescent="0.25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 x14ac:dyDescent="0.3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 x14ac:dyDescent="0.3">
      <c r="A716" s="160" t="s">
        <v>244</v>
      </c>
      <c r="B716" s="161"/>
      <c r="C716" s="161"/>
      <c r="D716" s="161"/>
      <c r="E716" s="16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 x14ac:dyDescent="0.25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 x14ac:dyDescent="0.25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 x14ac:dyDescent="0.25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 x14ac:dyDescent="0.25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 x14ac:dyDescent="0.25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 x14ac:dyDescent="0.25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 x14ac:dyDescent="0.25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 x14ac:dyDescent="0.25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 x14ac:dyDescent="0.25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 x14ac:dyDescent="0.25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 x14ac:dyDescent="0.25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 x14ac:dyDescent="0.3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 x14ac:dyDescent="0.3">
      <c r="A729" s="160" t="s">
        <v>247</v>
      </c>
      <c r="B729" s="161"/>
      <c r="C729" s="161"/>
      <c r="D729" s="161"/>
      <c r="E729" s="16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 x14ac:dyDescent="0.25">
      <c r="A730" s="158" t="s">
        <v>248</v>
      </c>
      <c r="B730" s="159"/>
      <c r="C730" s="159"/>
      <c r="D730" s="159"/>
      <c r="E730" s="159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 x14ac:dyDescent="0.25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 x14ac:dyDescent="0.25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 x14ac:dyDescent="0.25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 x14ac:dyDescent="0.25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 x14ac:dyDescent="0.25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 x14ac:dyDescent="0.25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 x14ac:dyDescent="0.25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 x14ac:dyDescent="0.25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 x14ac:dyDescent="0.25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 x14ac:dyDescent="0.25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 x14ac:dyDescent="0.25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 x14ac:dyDescent="0.3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 x14ac:dyDescent="0.3">
      <c r="A743" s="160" t="s">
        <v>244</v>
      </c>
      <c r="B743" s="161"/>
      <c r="C743" s="161"/>
      <c r="D743" s="161"/>
      <c r="E743" s="16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 x14ac:dyDescent="0.25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 x14ac:dyDescent="0.25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 x14ac:dyDescent="0.25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 x14ac:dyDescent="0.25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 x14ac:dyDescent="0.25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 x14ac:dyDescent="0.25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 x14ac:dyDescent="0.25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 x14ac:dyDescent="0.25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 x14ac:dyDescent="0.25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 x14ac:dyDescent="0.25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 x14ac:dyDescent="0.25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 x14ac:dyDescent="0.3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 x14ac:dyDescent="0.3">
      <c r="A756" s="160" t="s">
        <v>247</v>
      </c>
      <c r="B756" s="161"/>
      <c r="C756" s="161"/>
      <c r="D756" s="161"/>
      <c r="E756" s="16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 x14ac:dyDescent="0.25">
      <c r="A757" s="158" t="s">
        <v>248</v>
      </c>
      <c r="B757" s="159"/>
      <c r="C757" s="159"/>
      <c r="D757" s="159"/>
      <c r="E757" s="159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 x14ac:dyDescent="0.25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 x14ac:dyDescent="0.25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 x14ac:dyDescent="0.25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 x14ac:dyDescent="0.25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 x14ac:dyDescent="0.25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 x14ac:dyDescent="0.25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 x14ac:dyDescent="0.25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 x14ac:dyDescent="0.25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 x14ac:dyDescent="0.25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 x14ac:dyDescent="0.25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 x14ac:dyDescent="0.25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 x14ac:dyDescent="0.3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 x14ac:dyDescent="0.3">
      <c r="A770" s="160" t="s">
        <v>244</v>
      </c>
      <c r="B770" s="161"/>
      <c r="C770" s="161"/>
      <c r="D770" s="161"/>
      <c r="E770" s="16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 x14ac:dyDescent="0.25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 x14ac:dyDescent="0.25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 x14ac:dyDescent="0.25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 x14ac:dyDescent="0.25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 x14ac:dyDescent="0.25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 x14ac:dyDescent="0.25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 x14ac:dyDescent="0.25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 x14ac:dyDescent="0.25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 x14ac:dyDescent="0.25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 x14ac:dyDescent="0.25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 x14ac:dyDescent="0.25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 x14ac:dyDescent="0.3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 x14ac:dyDescent="0.3">
      <c r="A783" s="160" t="s">
        <v>247</v>
      </c>
      <c r="B783" s="161"/>
      <c r="C783" s="161"/>
      <c r="D783" s="161"/>
      <c r="E783" s="16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 x14ac:dyDescent="0.25">
      <c r="A784" s="158" t="s">
        <v>248</v>
      </c>
      <c r="B784" s="159"/>
      <c r="C784" s="159"/>
      <c r="D784" s="159"/>
      <c r="E784" s="159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 x14ac:dyDescent="0.25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 x14ac:dyDescent="0.25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 x14ac:dyDescent="0.25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 x14ac:dyDescent="0.25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 x14ac:dyDescent="0.25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 x14ac:dyDescent="0.25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 x14ac:dyDescent="0.25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 x14ac:dyDescent="0.25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 x14ac:dyDescent="0.25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 x14ac:dyDescent="0.25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 x14ac:dyDescent="0.25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 x14ac:dyDescent="0.3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 x14ac:dyDescent="0.3">
      <c r="A797" s="160" t="s">
        <v>244</v>
      </c>
      <c r="B797" s="161"/>
      <c r="C797" s="161"/>
      <c r="D797" s="161"/>
      <c r="E797" s="16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 x14ac:dyDescent="0.25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 x14ac:dyDescent="0.25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 x14ac:dyDescent="0.25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 x14ac:dyDescent="0.25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 x14ac:dyDescent="0.25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 x14ac:dyDescent="0.25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 x14ac:dyDescent="0.25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 x14ac:dyDescent="0.25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 x14ac:dyDescent="0.25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 x14ac:dyDescent="0.25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 x14ac:dyDescent="0.25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 x14ac:dyDescent="0.3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 x14ac:dyDescent="0.3">
      <c r="A810" s="160" t="s">
        <v>247</v>
      </c>
      <c r="B810" s="161"/>
      <c r="C810" s="161"/>
      <c r="D810" s="161"/>
      <c r="E810" s="16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 x14ac:dyDescent="0.25">
      <c r="A811" s="158" t="s">
        <v>248</v>
      </c>
      <c r="B811" s="159"/>
      <c r="C811" s="159"/>
      <c r="D811" s="159"/>
      <c r="E811" s="159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 x14ac:dyDescent="0.25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 x14ac:dyDescent="0.25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 x14ac:dyDescent="0.25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 x14ac:dyDescent="0.25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 x14ac:dyDescent="0.25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 x14ac:dyDescent="0.25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 x14ac:dyDescent="0.25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 x14ac:dyDescent="0.25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 x14ac:dyDescent="0.25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 x14ac:dyDescent="0.25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 x14ac:dyDescent="0.25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 x14ac:dyDescent="0.3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 x14ac:dyDescent="0.3">
      <c r="A824" s="160" t="s">
        <v>244</v>
      </c>
      <c r="B824" s="161"/>
      <c r="C824" s="161"/>
      <c r="D824" s="161"/>
      <c r="E824" s="16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 x14ac:dyDescent="0.25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 x14ac:dyDescent="0.25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 x14ac:dyDescent="0.25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 x14ac:dyDescent="0.25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 x14ac:dyDescent="0.25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 x14ac:dyDescent="0.25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 x14ac:dyDescent="0.25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 x14ac:dyDescent="0.25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 x14ac:dyDescent="0.25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 x14ac:dyDescent="0.25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 x14ac:dyDescent="0.25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 x14ac:dyDescent="0.3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 x14ac:dyDescent="0.3">
      <c r="A837" s="160" t="s">
        <v>247</v>
      </c>
      <c r="B837" s="161"/>
      <c r="C837" s="161"/>
      <c r="D837" s="161"/>
      <c r="E837" s="16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 x14ac:dyDescent="0.25">
      <c r="A838" s="158" t="s">
        <v>248</v>
      </c>
      <c r="B838" s="159"/>
      <c r="C838" s="159"/>
      <c r="D838" s="159"/>
      <c r="E838" s="159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yGJdA/lqfZVSPgXUXmdYkWK8SERml5tC5o+rbaIKyY+gYt6zszxYCklhyp2snYv5zb26tq21RRk7BTb6BWrjMw==" saltValue="PgeBFLM8fu/4ApGRBj4Sp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BB4AB7-8BB6-4405-886D-F682CD63DFB4}">
  <dimension ref="A1"/>
  <sheetViews>
    <sheetView tabSelected="1" workbookViewId="0"/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A1753-D5C1-47F7-BB27-A648863E4AFF}">
  <dimension ref="A1"/>
  <sheetViews>
    <sheetView workbookViewId="0"/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2FA41-A04C-4F0F-8035-2DF9CC5F2C7E}">
  <dimension ref="A1"/>
  <sheetViews>
    <sheetView workbookViewId="0"/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8FD0C0-7B27-4F5C-830C-DFAE06EA4826}">
  <dimension ref="A1"/>
  <sheetViews>
    <sheetView workbookViewId="0"/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DE695C-1B9C-4409-A938-D9449120C605}">
  <dimension ref="A1"/>
  <sheetViews>
    <sheetView workbookViewId="0"/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B88918-4C13-41F7-9117-295A57DFCFA0}">
  <dimension ref="A1"/>
  <sheetViews>
    <sheetView workbookViewId="0"/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88" activePane="bottomLeft" state="frozen"/>
      <selection pane="bottomLeft" activeCell="M408" sqref="M408:R416"/>
    </sheetView>
  </sheetViews>
  <sheetFormatPr defaultColWidth="8.5703125" defaultRowHeight="15" x14ac:dyDescent="0.2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 x14ac:dyDescent="0.25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 x14ac:dyDescent="0.25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 x14ac:dyDescent="0.25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 x14ac:dyDescent="0.25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 x14ac:dyDescent="0.25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 x14ac:dyDescent="0.25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 x14ac:dyDescent="0.25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 x14ac:dyDescent="0.25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 x14ac:dyDescent="0.25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 x14ac:dyDescent="0.25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 x14ac:dyDescent="0.25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 x14ac:dyDescent="0.25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 x14ac:dyDescent="0.3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 x14ac:dyDescent="0.3">
      <c r="A14" s="160" t="s">
        <v>244</v>
      </c>
      <c r="B14" s="161"/>
      <c r="C14" s="161"/>
      <c r="D14" s="161"/>
      <c r="E14" s="161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 x14ac:dyDescent="0.25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305</v>
      </c>
      <c r="S15" s="31"/>
    </row>
    <row r="16" spans="1:20" ht="15" customHeight="1" x14ac:dyDescent="0.25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 x14ac:dyDescent="0.25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 x14ac:dyDescent="0.25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275</v>
      </c>
      <c r="S18" s="31"/>
    </row>
    <row r="19" spans="1:20" ht="15" customHeight="1" x14ac:dyDescent="0.25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306</v>
      </c>
      <c r="S19" s="31"/>
    </row>
    <row r="20" spans="1:20" ht="15" customHeight="1" x14ac:dyDescent="0.25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 x14ac:dyDescent="0.25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 x14ac:dyDescent="0.25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 x14ac:dyDescent="0.25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 x14ac:dyDescent="0.25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 x14ac:dyDescent="0.25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 x14ac:dyDescent="0.3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 x14ac:dyDescent="0.3">
      <c r="A27" s="160" t="s">
        <v>247</v>
      </c>
      <c r="B27" s="161"/>
      <c r="C27" s="161"/>
      <c r="D27" s="161"/>
      <c r="E27" s="161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 x14ac:dyDescent="0.25">
      <c r="A28" s="158" t="s">
        <v>248</v>
      </c>
      <c r="B28" s="159"/>
      <c r="C28" s="159"/>
      <c r="D28" s="159"/>
      <c r="E28" s="159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 x14ac:dyDescent="0.25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 x14ac:dyDescent="0.25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 x14ac:dyDescent="0.25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 x14ac:dyDescent="0.25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 x14ac:dyDescent="0.25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 x14ac:dyDescent="0.25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 x14ac:dyDescent="0.25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 x14ac:dyDescent="0.25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 x14ac:dyDescent="0.25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 x14ac:dyDescent="0.25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 x14ac:dyDescent="0.25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 x14ac:dyDescent="0.3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 x14ac:dyDescent="0.3">
      <c r="A41" s="160" t="s">
        <v>244</v>
      </c>
      <c r="B41" s="161"/>
      <c r="C41" s="161"/>
      <c r="D41" s="161"/>
      <c r="E41" s="161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 x14ac:dyDescent="0.25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281</v>
      </c>
      <c r="S42" s="31"/>
    </row>
    <row r="43" spans="1:20" ht="15" customHeight="1" x14ac:dyDescent="0.25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305</v>
      </c>
      <c r="S43" s="31"/>
    </row>
    <row r="44" spans="1:20" ht="15" customHeight="1" x14ac:dyDescent="0.25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 x14ac:dyDescent="0.25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 x14ac:dyDescent="0.25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 x14ac:dyDescent="0.25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 x14ac:dyDescent="0.25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 x14ac:dyDescent="0.25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 x14ac:dyDescent="0.25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305</v>
      </c>
      <c r="S50" s="31"/>
    </row>
    <row r="51" spans="1:20" ht="15" customHeight="1" x14ac:dyDescent="0.25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 x14ac:dyDescent="0.25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 x14ac:dyDescent="0.3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 x14ac:dyDescent="0.3">
      <c r="A54" s="160" t="s">
        <v>247</v>
      </c>
      <c r="B54" s="161"/>
      <c r="C54" s="161"/>
      <c r="D54" s="161"/>
      <c r="E54" s="161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 x14ac:dyDescent="0.25">
      <c r="A55" s="158" t="s">
        <v>248</v>
      </c>
      <c r="B55" s="159"/>
      <c r="C55" s="159"/>
      <c r="D55" s="159"/>
      <c r="E55" s="159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 x14ac:dyDescent="0.25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 x14ac:dyDescent="0.25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 x14ac:dyDescent="0.25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 x14ac:dyDescent="0.25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 x14ac:dyDescent="0.25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 x14ac:dyDescent="0.25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 x14ac:dyDescent="0.25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307</v>
      </c>
      <c r="S62" s="31"/>
    </row>
    <row r="63" spans="1:20" ht="15" customHeight="1" x14ac:dyDescent="0.25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 x14ac:dyDescent="0.25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 x14ac:dyDescent="0.25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 x14ac:dyDescent="0.25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 x14ac:dyDescent="0.3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 x14ac:dyDescent="0.3">
      <c r="A68" s="160" t="s">
        <v>244</v>
      </c>
      <c r="B68" s="161"/>
      <c r="C68" s="161"/>
      <c r="D68" s="161"/>
      <c r="E68" s="161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 x14ac:dyDescent="0.25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308</v>
      </c>
      <c r="S69" s="31"/>
    </row>
    <row r="70" spans="1:20" ht="15" customHeight="1" x14ac:dyDescent="0.25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 x14ac:dyDescent="0.25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 x14ac:dyDescent="0.25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 x14ac:dyDescent="0.25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 x14ac:dyDescent="0.25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 x14ac:dyDescent="0.25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 x14ac:dyDescent="0.25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 x14ac:dyDescent="0.25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 x14ac:dyDescent="0.25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 x14ac:dyDescent="0.25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 x14ac:dyDescent="0.3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 x14ac:dyDescent="0.3">
      <c r="A81" s="160" t="s">
        <v>247</v>
      </c>
      <c r="B81" s="161"/>
      <c r="C81" s="161"/>
      <c r="D81" s="161"/>
      <c r="E81" s="161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 x14ac:dyDescent="0.25">
      <c r="A82" s="158" t="s">
        <v>248</v>
      </c>
      <c r="B82" s="159"/>
      <c r="C82" s="159"/>
      <c r="D82" s="159"/>
      <c r="E82" s="159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 x14ac:dyDescent="0.25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309</v>
      </c>
      <c r="S83" s="31"/>
    </row>
    <row r="84" spans="1:20" ht="15" customHeight="1" x14ac:dyDescent="0.25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310</v>
      </c>
      <c r="S84" s="31"/>
    </row>
    <row r="85" spans="1:20" ht="15" customHeight="1" x14ac:dyDescent="0.25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 x14ac:dyDescent="0.25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 x14ac:dyDescent="0.25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 x14ac:dyDescent="0.25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 x14ac:dyDescent="0.25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 x14ac:dyDescent="0.25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 x14ac:dyDescent="0.25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 x14ac:dyDescent="0.25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 x14ac:dyDescent="0.25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 x14ac:dyDescent="0.3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 x14ac:dyDescent="0.3">
      <c r="A95" s="160" t="s">
        <v>244</v>
      </c>
      <c r="B95" s="161"/>
      <c r="C95" s="161"/>
      <c r="D95" s="161"/>
      <c r="E95" s="161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 x14ac:dyDescent="0.25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 x14ac:dyDescent="0.25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311</v>
      </c>
      <c r="S97" s="31"/>
    </row>
    <row r="98" spans="1:20" ht="15" customHeight="1" x14ac:dyDescent="0.25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 x14ac:dyDescent="0.25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 x14ac:dyDescent="0.25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 x14ac:dyDescent="0.25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 x14ac:dyDescent="0.25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 x14ac:dyDescent="0.25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 x14ac:dyDescent="0.25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 x14ac:dyDescent="0.25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 x14ac:dyDescent="0.25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 x14ac:dyDescent="0.3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 x14ac:dyDescent="0.3">
      <c r="A108" s="160" t="s">
        <v>247</v>
      </c>
      <c r="B108" s="161"/>
      <c r="C108" s="161"/>
      <c r="D108" s="161"/>
      <c r="E108" s="161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 x14ac:dyDescent="0.25">
      <c r="A109" s="158" t="s">
        <v>248</v>
      </c>
      <c r="B109" s="159"/>
      <c r="C109" s="159"/>
      <c r="D109" s="159"/>
      <c r="E109" s="159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 x14ac:dyDescent="0.25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 x14ac:dyDescent="0.25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 x14ac:dyDescent="0.25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 x14ac:dyDescent="0.25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 x14ac:dyDescent="0.25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 x14ac:dyDescent="0.25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 x14ac:dyDescent="0.25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 x14ac:dyDescent="0.25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 x14ac:dyDescent="0.25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 x14ac:dyDescent="0.25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 x14ac:dyDescent="0.25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 x14ac:dyDescent="0.3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 x14ac:dyDescent="0.3">
      <c r="A122" s="160" t="s">
        <v>244</v>
      </c>
      <c r="B122" s="161"/>
      <c r="C122" s="161"/>
      <c r="D122" s="161"/>
      <c r="E122" s="161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 x14ac:dyDescent="0.25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 x14ac:dyDescent="0.25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 x14ac:dyDescent="0.25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312</v>
      </c>
      <c r="S125" s="31"/>
    </row>
    <row r="126" spans="1:20" ht="15" customHeight="1" x14ac:dyDescent="0.25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 x14ac:dyDescent="0.25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 x14ac:dyDescent="0.25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 x14ac:dyDescent="0.25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 x14ac:dyDescent="0.25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 x14ac:dyDescent="0.25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 x14ac:dyDescent="0.25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 x14ac:dyDescent="0.25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 x14ac:dyDescent="0.3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 x14ac:dyDescent="0.3">
      <c r="A135" s="160" t="s">
        <v>247</v>
      </c>
      <c r="B135" s="161"/>
      <c r="C135" s="161"/>
      <c r="D135" s="161"/>
      <c r="E135" s="161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 x14ac:dyDescent="0.25">
      <c r="A136" s="158" t="s">
        <v>248</v>
      </c>
      <c r="B136" s="159"/>
      <c r="C136" s="159"/>
      <c r="D136" s="159"/>
      <c r="E136" s="159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 x14ac:dyDescent="0.25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313</v>
      </c>
      <c r="S137" s="31"/>
    </row>
    <row r="138" spans="1:20" ht="15" customHeight="1" x14ac:dyDescent="0.25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 x14ac:dyDescent="0.25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 x14ac:dyDescent="0.25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 x14ac:dyDescent="0.25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 x14ac:dyDescent="0.25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 x14ac:dyDescent="0.25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 x14ac:dyDescent="0.25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289</v>
      </c>
      <c r="S144" s="31"/>
    </row>
    <row r="145" spans="1:20" ht="15" customHeight="1" x14ac:dyDescent="0.25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 x14ac:dyDescent="0.25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 x14ac:dyDescent="0.25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 x14ac:dyDescent="0.3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 x14ac:dyDescent="0.3">
      <c r="A149" s="160" t="s">
        <v>244</v>
      </c>
      <c r="B149" s="161"/>
      <c r="C149" s="161"/>
      <c r="D149" s="161"/>
      <c r="E149" s="161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 x14ac:dyDescent="0.25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 x14ac:dyDescent="0.25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 x14ac:dyDescent="0.25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 x14ac:dyDescent="0.25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281</v>
      </c>
      <c r="S153" s="31"/>
    </row>
    <row r="154" spans="1:20" ht="15" customHeight="1" x14ac:dyDescent="0.25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 x14ac:dyDescent="0.25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 x14ac:dyDescent="0.25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 x14ac:dyDescent="0.25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 x14ac:dyDescent="0.25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 x14ac:dyDescent="0.25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 x14ac:dyDescent="0.25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 x14ac:dyDescent="0.3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 x14ac:dyDescent="0.3">
      <c r="A162" s="160" t="s">
        <v>247</v>
      </c>
      <c r="B162" s="161"/>
      <c r="C162" s="161"/>
      <c r="D162" s="161"/>
      <c r="E162" s="161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 x14ac:dyDescent="0.25">
      <c r="A163" s="158" t="s">
        <v>248</v>
      </c>
      <c r="B163" s="159"/>
      <c r="C163" s="159"/>
      <c r="D163" s="159"/>
      <c r="E163" s="159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 x14ac:dyDescent="0.25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 x14ac:dyDescent="0.25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 x14ac:dyDescent="0.25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314</v>
      </c>
      <c r="S166" s="31"/>
    </row>
    <row r="167" spans="1:20" ht="15" customHeight="1" x14ac:dyDescent="0.25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 x14ac:dyDescent="0.25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 x14ac:dyDescent="0.25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 x14ac:dyDescent="0.25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 x14ac:dyDescent="0.25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 x14ac:dyDescent="0.25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 x14ac:dyDescent="0.25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 x14ac:dyDescent="0.25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 x14ac:dyDescent="0.3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 x14ac:dyDescent="0.3">
      <c r="A176" s="160" t="s">
        <v>244</v>
      </c>
      <c r="B176" s="161"/>
      <c r="C176" s="161"/>
      <c r="D176" s="161"/>
      <c r="E176" s="161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 x14ac:dyDescent="0.25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 x14ac:dyDescent="0.25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 x14ac:dyDescent="0.25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315</v>
      </c>
      <c r="S179" s="31"/>
    </row>
    <row r="180" spans="1:20" ht="15" customHeight="1" x14ac:dyDescent="0.25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 x14ac:dyDescent="0.25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 x14ac:dyDescent="0.25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292</v>
      </c>
      <c r="S182" s="31"/>
    </row>
    <row r="183" spans="1:20" ht="15" customHeight="1" x14ac:dyDescent="0.25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 x14ac:dyDescent="0.25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 x14ac:dyDescent="0.25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292</v>
      </c>
      <c r="S185" s="31"/>
    </row>
    <row r="186" spans="1:20" ht="15" customHeight="1" x14ac:dyDescent="0.25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 x14ac:dyDescent="0.25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 x14ac:dyDescent="0.3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 x14ac:dyDescent="0.3">
      <c r="A189" s="160" t="s">
        <v>247</v>
      </c>
      <c r="B189" s="161"/>
      <c r="C189" s="161"/>
      <c r="D189" s="161"/>
      <c r="E189" s="161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 x14ac:dyDescent="0.25">
      <c r="A190" s="158" t="s">
        <v>248</v>
      </c>
      <c r="B190" s="159"/>
      <c r="C190" s="159"/>
      <c r="D190" s="159"/>
      <c r="E190" s="159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 x14ac:dyDescent="0.25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 x14ac:dyDescent="0.25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 x14ac:dyDescent="0.25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 x14ac:dyDescent="0.25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 x14ac:dyDescent="0.25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 x14ac:dyDescent="0.25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 x14ac:dyDescent="0.25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 x14ac:dyDescent="0.25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 x14ac:dyDescent="0.25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 x14ac:dyDescent="0.25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 x14ac:dyDescent="0.25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 x14ac:dyDescent="0.3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 x14ac:dyDescent="0.3">
      <c r="A203" s="160" t="s">
        <v>244</v>
      </c>
      <c r="B203" s="161"/>
      <c r="C203" s="161"/>
      <c r="D203" s="161"/>
      <c r="E203" s="161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 x14ac:dyDescent="0.25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 x14ac:dyDescent="0.25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316</v>
      </c>
      <c r="S205" s="47"/>
    </row>
    <row r="206" spans="1:20" ht="15" customHeight="1" x14ac:dyDescent="0.25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 x14ac:dyDescent="0.25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 x14ac:dyDescent="0.25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 x14ac:dyDescent="0.25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 x14ac:dyDescent="0.25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 x14ac:dyDescent="0.25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 x14ac:dyDescent="0.25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 x14ac:dyDescent="0.25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 x14ac:dyDescent="0.25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 x14ac:dyDescent="0.3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 x14ac:dyDescent="0.3">
      <c r="A216" s="160" t="s">
        <v>247</v>
      </c>
      <c r="B216" s="161"/>
      <c r="C216" s="161"/>
      <c r="D216" s="161"/>
      <c r="E216" s="161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 x14ac:dyDescent="0.25">
      <c r="A217" s="158" t="s">
        <v>248</v>
      </c>
      <c r="B217" s="159"/>
      <c r="C217" s="159"/>
      <c r="D217" s="159"/>
      <c r="E217" s="159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 x14ac:dyDescent="0.25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 x14ac:dyDescent="0.25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 x14ac:dyDescent="0.25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 x14ac:dyDescent="0.25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317</v>
      </c>
      <c r="S221" s="47"/>
    </row>
    <row r="222" spans="1:20" ht="15" customHeight="1" x14ac:dyDescent="0.25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318</v>
      </c>
      <c r="Q222" s="30" t="str">
        <f t="shared" ca="1" si="49"/>
        <v/>
      </c>
      <c r="R222" s="27" t="s">
        <v>319</v>
      </c>
      <c r="S222" s="47"/>
    </row>
    <row r="223" spans="1:20" ht="15" customHeight="1" x14ac:dyDescent="0.25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 x14ac:dyDescent="0.25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 x14ac:dyDescent="0.25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 x14ac:dyDescent="0.25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 x14ac:dyDescent="0.25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 x14ac:dyDescent="0.25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 x14ac:dyDescent="0.3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 x14ac:dyDescent="0.3">
      <c r="A230" s="160" t="s">
        <v>244</v>
      </c>
      <c r="B230" s="161"/>
      <c r="C230" s="161"/>
      <c r="D230" s="161"/>
      <c r="E230" s="161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 x14ac:dyDescent="0.25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 x14ac:dyDescent="0.25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 x14ac:dyDescent="0.25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 x14ac:dyDescent="0.25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 x14ac:dyDescent="0.25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 x14ac:dyDescent="0.25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 x14ac:dyDescent="0.25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 x14ac:dyDescent="0.25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 x14ac:dyDescent="0.25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 x14ac:dyDescent="0.25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 x14ac:dyDescent="0.25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 x14ac:dyDescent="0.3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 x14ac:dyDescent="0.3">
      <c r="A243" s="160" t="s">
        <v>247</v>
      </c>
      <c r="B243" s="161"/>
      <c r="C243" s="161"/>
      <c r="D243" s="161"/>
      <c r="E243" s="161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 x14ac:dyDescent="0.25">
      <c r="A244" s="158" t="s">
        <v>248</v>
      </c>
      <c r="B244" s="159"/>
      <c r="C244" s="159"/>
      <c r="D244" s="159"/>
      <c r="E244" s="159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 x14ac:dyDescent="0.25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320</v>
      </c>
      <c r="S245" s="47"/>
    </row>
    <row r="246" spans="1:20" ht="15" customHeight="1" x14ac:dyDescent="0.25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 x14ac:dyDescent="0.25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 x14ac:dyDescent="0.25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 x14ac:dyDescent="0.25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 x14ac:dyDescent="0.25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 x14ac:dyDescent="0.25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 x14ac:dyDescent="0.25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 x14ac:dyDescent="0.25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 x14ac:dyDescent="0.25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 x14ac:dyDescent="0.25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 x14ac:dyDescent="0.3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 x14ac:dyDescent="0.3">
      <c r="A257" s="160" t="s">
        <v>244</v>
      </c>
      <c r="B257" s="161"/>
      <c r="C257" s="161"/>
      <c r="D257" s="161"/>
      <c r="E257" s="161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 x14ac:dyDescent="0.25">
      <c r="A258" s="68">
        <v>46244</v>
      </c>
      <c r="B258" s="32">
        <v>0.83333333333333304</v>
      </c>
      <c r="C258" s="33"/>
      <c r="D258" s="62" t="s">
        <v>45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 x14ac:dyDescent="0.25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 x14ac:dyDescent="0.25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 x14ac:dyDescent="0.25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 x14ac:dyDescent="0.25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 x14ac:dyDescent="0.25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 x14ac:dyDescent="0.25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 x14ac:dyDescent="0.25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 x14ac:dyDescent="0.25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 x14ac:dyDescent="0.25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 x14ac:dyDescent="0.25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 x14ac:dyDescent="0.3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 x14ac:dyDescent="0.3">
      <c r="A270" s="160" t="s">
        <v>247</v>
      </c>
      <c r="B270" s="161"/>
      <c r="C270" s="161"/>
      <c r="D270" s="161"/>
      <c r="E270" s="161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 x14ac:dyDescent="0.25">
      <c r="A271" s="158" t="s">
        <v>248</v>
      </c>
      <c r="B271" s="159"/>
      <c r="C271" s="159"/>
      <c r="D271" s="159"/>
      <c r="E271" s="159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 x14ac:dyDescent="0.25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 x14ac:dyDescent="0.25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 x14ac:dyDescent="0.25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 x14ac:dyDescent="0.25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 x14ac:dyDescent="0.25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 x14ac:dyDescent="0.25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 x14ac:dyDescent="0.25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 x14ac:dyDescent="0.25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 x14ac:dyDescent="0.25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 x14ac:dyDescent="0.25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 x14ac:dyDescent="0.25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 x14ac:dyDescent="0.3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 x14ac:dyDescent="0.3">
      <c r="A284" s="160" t="s">
        <v>244</v>
      </c>
      <c r="B284" s="161"/>
      <c r="C284" s="161"/>
      <c r="D284" s="161"/>
      <c r="E284" s="161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 x14ac:dyDescent="0.25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 x14ac:dyDescent="0.25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 x14ac:dyDescent="0.25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 x14ac:dyDescent="0.25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 x14ac:dyDescent="0.25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 x14ac:dyDescent="0.25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 x14ac:dyDescent="0.25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 x14ac:dyDescent="0.25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 x14ac:dyDescent="0.25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 x14ac:dyDescent="0.25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 x14ac:dyDescent="0.25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 x14ac:dyDescent="0.3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 x14ac:dyDescent="0.3">
      <c r="A297" s="160" t="s">
        <v>247</v>
      </c>
      <c r="B297" s="161"/>
      <c r="C297" s="161"/>
      <c r="D297" s="161"/>
      <c r="E297" s="161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 x14ac:dyDescent="0.25">
      <c r="A298" s="158" t="s">
        <v>248</v>
      </c>
      <c r="B298" s="159"/>
      <c r="C298" s="159"/>
      <c r="D298" s="159"/>
      <c r="E298" s="159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 x14ac:dyDescent="0.25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 x14ac:dyDescent="0.25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 x14ac:dyDescent="0.25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 x14ac:dyDescent="0.25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 x14ac:dyDescent="0.25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 x14ac:dyDescent="0.25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 x14ac:dyDescent="0.25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 x14ac:dyDescent="0.25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 x14ac:dyDescent="0.25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 x14ac:dyDescent="0.25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 x14ac:dyDescent="0.25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 x14ac:dyDescent="0.3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 x14ac:dyDescent="0.3">
      <c r="A311" s="160" t="s">
        <v>244</v>
      </c>
      <c r="B311" s="161"/>
      <c r="C311" s="161"/>
      <c r="D311" s="161"/>
      <c r="E311" s="161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96.630879999999991</v>
      </c>
    </row>
    <row r="312" spans="1:20" ht="15" customHeight="1" x14ac:dyDescent="0.25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 x14ac:dyDescent="0.25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 x14ac:dyDescent="0.25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 x14ac:dyDescent="0.25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 x14ac:dyDescent="0.25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 x14ac:dyDescent="0.25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 x14ac:dyDescent="0.25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 x14ac:dyDescent="0.25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 x14ac:dyDescent="0.25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 x14ac:dyDescent="0.25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 x14ac:dyDescent="0.25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 x14ac:dyDescent="0.3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 x14ac:dyDescent="0.3">
      <c r="A324" s="160" t="s">
        <v>247</v>
      </c>
      <c r="B324" s="161"/>
      <c r="C324" s="161"/>
      <c r="D324" s="161"/>
      <c r="E324" s="161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41.68656</v>
      </c>
    </row>
    <row r="325" spans="1:20" ht="18" customHeight="1" x14ac:dyDescent="0.25">
      <c r="A325" s="158" t="s">
        <v>248</v>
      </c>
      <c r="B325" s="159"/>
      <c r="C325" s="159"/>
      <c r="D325" s="159"/>
      <c r="E325" s="159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 x14ac:dyDescent="0.25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299</v>
      </c>
      <c r="S326" s="47"/>
    </row>
    <row r="327" spans="1:20" ht="15" customHeight="1" x14ac:dyDescent="0.25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321</v>
      </c>
      <c r="S327" s="47"/>
    </row>
    <row r="328" spans="1:20" ht="15" customHeight="1" x14ac:dyDescent="0.25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 x14ac:dyDescent="0.25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300</v>
      </c>
      <c r="S329" s="47"/>
    </row>
    <row r="330" spans="1:20" ht="15" customHeight="1" x14ac:dyDescent="0.25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 x14ac:dyDescent="0.25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 x14ac:dyDescent="0.25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 x14ac:dyDescent="0.25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 x14ac:dyDescent="0.25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 x14ac:dyDescent="0.25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 x14ac:dyDescent="0.25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 x14ac:dyDescent="0.3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 x14ac:dyDescent="0.3">
      <c r="A338" s="160" t="s">
        <v>244</v>
      </c>
      <c r="B338" s="161"/>
      <c r="C338" s="161"/>
      <c r="D338" s="161"/>
      <c r="E338" s="161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 x14ac:dyDescent="0.25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 x14ac:dyDescent="0.25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 x14ac:dyDescent="0.25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 x14ac:dyDescent="0.25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 x14ac:dyDescent="0.25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 x14ac:dyDescent="0.25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 x14ac:dyDescent="0.25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 x14ac:dyDescent="0.25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 x14ac:dyDescent="0.25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 x14ac:dyDescent="0.25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 x14ac:dyDescent="0.25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 x14ac:dyDescent="0.3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 x14ac:dyDescent="0.3">
      <c r="A351" s="160" t="s">
        <v>247</v>
      </c>
      <c r="B351" s="161"/>
      <c r="C351" s="161"/>
      <c r="D351" s="161"/>
      <c r="E351" s="161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 x14ac:dyDescent="0.25">
      <c r="A352" s="158" t="s">
        <v>248</v>
      </c>
      <c r="B352" s="159"/>
      <c r="C352" s="159"/>
      <c r="D352" s="159"/>
      <c r="E352" s="159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 x14ac:dyDescent="0.25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 x14ac:dyDescent="0.25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281</v>
      </c>
      <c r="S354" s="47"/>
    </row>
    <row r="355" spans="1:20" ht="15" customHeight="1" x14ac:dyDescent="0.25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 x14ac:dyDescent="0.25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 x14ac:dyDescent="0.25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 x14ac:dyDescent="0.25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 x14ac:dyDescent="0.25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 x14ac:dyDescent="0.25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 x14ac:dyDescent="0.25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 x14ac:dyDescent="0.25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 x14ac:dyDescent="0.25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 x14ac:dyDescent="0.3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 x14ac:dyDescent="0.3">
      <c r="A365" s="160" t="s">
        <v>244</v>
      </c>
      <c r="B365" s="161"/>
      <c r="C365" s="161"/>
      <c r="D365" s="161"/>
      <c r="E365" s="161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 x14ac:dyDescent="0.25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 x14ac:dyDescent="0.25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 x14ac:dyDescent="0.25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 x14ac:dyDescent="0.25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 x14ac:dyDescent="0.25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 x14ac:dyDescent="0.25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 x14ac:dyDescent="0.25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 x14ac:dyDescent="0.25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 x14ac:dyDescent="0.25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 x14ac:dyDescent="0.25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 x14ac:dyDescent="0.25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 x14ac:dyDescent="0.3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 x14ac:dyDescent="0.3">
      <c r="A378" s="160" t="s">
        <v>247</v>
      </c>
      <c r="B378" s="161"/>
      <c r="C378" s="161"/>
      <c r="D378" s="161"/>
      <c r="E378" s="161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245</v>
      </c>
      <c r="S378" s="39">
        <v>360560</v>
      </c>
      <c r="T378" s="119">
        <f>IFERROR(J378,"")</f>
        <v>75.71759999999999</v>
      </c>
    </row>
    <row r="379" spans="1:20" ht="18" customHeight="1" x14ac:dyDescent="0.25">
      <c r="A379" s="158" t="s">
        <v>248</v>
      </c>
      <c r="B379" s="159"/>
      <c r="C379" s="159"/>
      <c r="D379" s="159"/>
      <c r="E379" s="159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249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 x14ac:dyDescent="0.25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 x14ac:dyDescent="0.25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 x14ac:dyDescent="0.25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 x14ac:dyDescent="0.25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322</v>
      </c>
      <c r="S383" s="47"/>
    </row>
    <row r="384" spans="1:20" ht="15" customHeight="1" x14ac:dyDescent="0.25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303</v>
      </c>
      <c r="S384" s="47"/>
    </row>
    <row r="385" spans="1:20" ht="15" customHeight="1" x14ac:dyDescent="0.25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 x14ac:dyDescent="0.25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 x14ac:dyDescent="0.25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 x14ac:dyDescent="0.25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 x14ac:dyDescent="0.25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 x14ac:dyDescent="0.25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 x14ac:dyDescent="0.3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 x14ac:dyDescent="0.3">
      <c r="A392" s="160" t="s">
        <v>244</v>
      </c>
      <c r="B392" s="161"/>
      <c r="C392" s="161"/>
      <c r="D392" s="161"/>
      <c r="E392" s="161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245</v>
      </c>
      <c r="S392" s="39">
        <v>479620</v>
      </c>
      <c r="T392" s="119">
        <f>IFERROR(J392,"")</f>
        <v>100.72019999999998</v>
      </c>
    </row>
    <row r="393" spans="1:20" ht="15" customHeight="1" x14ac:dyDescent="0.25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 x14ac:dyDescent="0.25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 x14ac:dyDescent="0.25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165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 x14ac:dyDescent="0.25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165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 x14ac:dyDescent="0.25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 x14ac:dyDescent="0.25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 x14ac:dyDescent="0.25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 x14ac:dyDescent="0.25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 x14ac:dyDescent="0.25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 x14ac:dyDescent="0.25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 x14ac:dyDescent="0.25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 x14ac:dyDescent="0.3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 x14ac:dyDescent="0.3">
      <c r="A405" s="160" t="s">
        <v>247</v>
      </c>
      <c r="B405" s="161"/>
      <c r="C405" s="161"/>
      <c r="D405" s="161"/>
      <c r="E405" s="161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245</v>
      </c>
      <c r="S405" s="39">
        <v>489360</v>
      </c>
      <c r="T405" s="119">
        <f>IFERROR(J405,"")</f>
        <v>99.305125714285708</v>
      </c>
    </row>
    <row r="406" spans="1:20" ht="18" customHeight="1" x14ac:dyDescent="0.25">
      <c r="A406" s="158" t="s">
        <v>248</v>
      </c>
      <c r="B406" s="159"/>
      <c r="C406" s="159"/>
      <c r="D406" s="159"/>
      <c r="E406" s="159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249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 x14ac:dyDescent="0.25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0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0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/>
      <c r="Q407" s="35">
        <f t="shared" ref="Q407:Q418" ca="1" si="98">IFERROR(IF(O407="","",IF(P407="",MOD(NOW()-O407,1),IF(P407&gt;=O407,P407-O407,P407+1-O407))),"")</f>
        <v>9.0497569442959502E-2</v>
      </c>
      <c r="R407" s="27"/>
      <c r="S407" s="47"/>
    </row>
    <row r="408" spans="1:20" ht="15" customHeight="1" x14ac:dyDescent="0.25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/>
      <c r="H408" s="134" t="str">
        <f>IFERROR(IF($G408="","",$G408*$S$419/$G$419/Cadastro!$E$33),"")</f>
        <v/>
      </c>
      <c r="I408" s="135">
        <f>IFERROR(IF($D408="","",VLOOKUP($D408,Cadastro!$C$4:$G$7,5,FALSE)),"")</f>
        <v>0.6</v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 x14ac:dyDescent="0.25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/>
      <c r="H409" s="134" t="str">
        <f>IFERROR(IF($G409="","",$G409*$S$419/$G$419/Cadastro!$E$33),"")</f>
        <v/>
      </c>
      <c r="I409" s="135">
        <f>IFERROR(IF($D409="","",VLOOKUP($D409,Cadastro!$C$4:$G$7,5,FALSE)),"")</f>
        <v>0.6</v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 x14ac:dyDescent="0.25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/>
      <c r="H410" s="134" t="str">
        <f>IFERROR(IF($G410="","",$G410*$S$419/$G$419/Cadastro!$E$33),"")</f>
        <v/>
      </c>
      <c r="I410" s="135">
        <f>IFERROR(IF($D410="","",VLOOKUP($D410,Cadastro!$C$4:$G$7,5,FALSE)),"")</f>
        <v>0.6</v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 x14ac:dyDescent="0.25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/>
      <c r="H411" s="134" t="str">
        <f>IFERROR(IF($G411="","",$G411*$S$419/$G$419/Cadastro!$E$33),"")</f>
        <v/>
      </c>
      <c r="I411" s="135">
        <f>IFERROR(IF($D411="","",VLOOKUP($D411,Cadastro!$C$4:$G$7,5,FALSE)),"")</f>
        <v>0.6</v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 x14ac:dyDescent="0.25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/>
      <c r="H412" s="134" t="str">
        <f>IFERROR(IF($G412="","",$G412*$S$419/$G$419/Cadastro!$E$33),"")</f>
        <v/>
      </c>
      <c r="I412" s="135">
        <f>IFERROR(IF($D412="","",VLOOKUP($D412,Cadastro!$C$4:$G$7,5,FALSE)),"")</f>
        <v>0.6</v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 x14ac:dyDescent="0.25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/>
      <c r="H413" s="134" t="str">
        <f>IFERROR(IF($G413="","",$G413*$S$419/$G$419/Cadastro!$E$33),"")</f>
        <v/>
      </c>
      <c r="I413" s="135">
        <f>IFERROR(IF($D413="","",VLOOKUP($D413,Cadastro!$C$4:$G$7,5,FALSE)),"")</f>
        <v>0.6</v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 x14ac:dyDescent="0.25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/>
      <c r="H414" s="134" t="str">
        <f>IFERROR(IF($G414="","",$G414*$S$419/$G$419/Cadastro!$E$33),"")</f>
        <v/>
      </c>
      <c r="I414" s="135">
        <f>IFERROR(IF($D414="","",VLOOKUP($D414,Cadastro!$C$4:$G$7,5,FALSE)),"")</f>
        <v>0.6</v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 x14ac:dyDescent="0.25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/>
      <c r="H415" s="134" t="str">
        <f>IFERROR(IF($G415="","",$G415*$S$419/$G$419/Cadastro!$E$33),"")</f>
        <v/>
      </c>
      <c r="I415" s="135">
        <f>IFERROR(IF($D415="","",VLOOKUP($D415,Cadastro!$C$4:$G$7,5,FALSE)),"")</f>
        <v>0.6</v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 x14ac:dyDescent="0.25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/>
      <c r="H416" s="134" t="str">
        <f>IFERROR(IF($G416="","",$G416*$S$419/$G$419/Cadastro!$E$33),"")</f>
        <v/>
      </c>
      <c r="I416" s="135">
        <f>IFERROR(IF($D416="","",VLOOKUP($D416,Cadastro!$C$4:$G$7,5,FALSE)),"")</f>
        <v>0.6</v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 x14ac:dyDescent="0.25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/>
      <c r="H417" s="134" t="str">
        <f>IFERROR(IF($G417="","",$G417*$S$419/$G$419/Cadastro!$E$33),"")</f>
        <v/>
      </c>
      <c r="I417" s="135">
        <f>IFERROR(IF($D417="","",VLOOKUP($D417,Cadastro!$C$4:$G$7,5,FALSE)),"")</f>
        <v>0.6</v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 x14ac:dyDescent="0.3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/>
      <c r="H418" s="137" t="str">
        <f>IFERROR(IF($G418="","",$G418*$S$419/$G$419/Cadastro!$E$33),"")</f>
        <v/>
      </c>
      <c r="I418" s="138">
        <f>IFERROR(IF($D418="","",VLOOKUP($D418,Cadastro!$C$4:$G$7,5,FALSE)),"")</f>
        <v>0.6</v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 x14ac:dyDescent="0.3">
      <c r="A419" s="160" t="s">
        <v>244</v>
      </c>
      <c r="B419" s="161"/>
      <c r="C419" s="161"/>
      <c r="D419" s="161"/>
      <c r="E419" s="161">
        <f>SUM(E407:E418)</f>
        <v>0</v>
      </c>
      <c r="F419" s="110"/>
      <c r="G419" s="80">
        <f>SUM(G407:G418)</f>
        <v>16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67.2</v>
      </c>
      <c r="L419" s="37"/>
      <c r="M419" s="37"/>
      <c r="N419" s="37"/>
      <c r="O419" s="37"/>
      <c r="P419" s="37"/>
      <c r="Q419" s="38">
        <f ca="1">IFERROR(SUM(Q407:Q418),"")</f>
        <v>9.0497569442959502E-2</v>
      </c>
      <c r="R419" s="36" t="s">
        <v>245</v>
      </c>
      <c r="S419" s="39"/>
      <c r="T419" s="119">
        <f>IFERROR(J419,"")</f>
        <v>0</v>
      </c>
    </row>
    <row r="420" spans="1:20" ht="15" customHeight="1" x14ac:dyDescent="0.25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 x14ac:dyDescent="0.25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 x14ac:dyDescent="0.25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 x14ac:dyDescent="0.25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 x14ac:dyDescent="0.25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 x14ac:dyDescent="0.25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 x14ac:dyDescent="0.25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 x14ac:dyDescent="0.25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 x14ac:dyDescent="0.25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 x14ac:dyDescent="0.25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 x14ac:dyDescent="0.25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 x14ac:dyDescent="0.3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 x14ac:dyDescent="0.3">
      <c r="A432" s="160" t="s">
        <v>247</v>
      </c>
      <c r="B432" s="161"/>
      <c r="C432" s="161"/>
      <c r="D432" s="161"/>
      <c r="E432" s="161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0" ht="18" customHeight="1" x14ac:dyDescent="0.25">
      <c r="A433" s="158" t="s">
        <v>248</v>
      </c>
      <c r="B433" s="159"/>
      <c r="C433" s="159"/>
      <c r="D433" s="159"/>
      <c r="E433" s="159">
        <f>E419+E432</f>
        <v>0</v>
      </c>
      <c r="F433" s="112"/>
      <c r="G433" s="91">
        <f>G419+G432</f>
        <v>16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67.2</v>
      </c>
      <c r="L433" s="41"/>
      <c r="M433" s="41"/>
      <c r="N433" s="41"/>
      <c r="O433" s="41"/>
      <c r="P433" s="41"/>
      <c r="Q433" s="42">
        <f ca="1">IFERROR(Q419+Q432,"")</f>
        <v>9.0497569442959502E-2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0" ht="15" customHeight="1" x14ac:dyDescent="0.25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 x14ac:dyDescent="0.25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 x14ac:dyDescent="0.25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 x14ac:dyDescent="0.25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 x14ac:dyDescent="0.25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 x14ac:dyDescent="0.25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 x14ac:dyDescent="0.25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 x14ac:dyDescent="0.25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 x14ac:dyDescent="0.25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 x14ac:dyDescent="0.25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 x14ac:dyDescent="0.25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 x14ac:dyDescent="0.3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 x14ac:dyDescent="0.3">
      <c r="A446" s="160" t="s">
        <v>244</v>
      </c>
      <c r="B446" s="161"/>
      <c r="C446" s="161"/>
      <c r="D446" s="161"/>
      <c r="E446" s="161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0" ht="15" customHeight="1" x14ac:dyDescent="0.25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 x14ac:dyDescent="0.25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 x14ac:dyDescent="0.25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 x14ac:dyDescent="0.25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 x14ac:dyDescent="0.25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 x14ac:dyDescent="0.25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 x14ac:dyDescent="0.25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 x14ac:dyDescent="0.25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 x14ac:dyDescent="0.25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 x14ac:dyDescent="0.25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 x14ac:dyDescent="0.25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 x14ac:dyDescent="0.3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 x14ac:dyDescent="0.3">
      <c r="A459" s="160" t="s">
        <v>247</v>
      </c>
      <c r="B459" s="161"/>
      <c r="C459" s="161"/>
      <c r="D459" s="161"/>
      <c r="E459" s="161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 x14ac:dyDescent="0.25">
      <c r="A460" s="158" t="s">
        <v>248</v>
      </c>
      <c r="B460" s="159"/>
      <c r="C460" s="159"/>
      <c r="D460" s="159"/>
      <c r="E460" s="159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 x14ac:dyDescent="0.25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 x14ac:dyDescent="0.25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 x14ac:dyDescent="0.25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 x14ac:dyDescent="0.25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 x14ac:dyDescent="0.25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 x14ac:dyDescent="0.25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 x14ac:dyDescent="0.25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 x14ac:dyDescent="0.25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 x14ac:dyDescent="0.25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 x14ac:dyDescent="0.25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 x14ac:dyDescent="0.25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 x14ac:dyDescent="0.3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 x14ac:dyDescent="0.3">
      <c r="A473" s="160" t="s">
        <v>244</v>
      </c>
      <c r="B473" s="161"/>
      <c r="C473" s="161"/>
      <c r="D473" s="161"/>
      <c r="E473" s="161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 x14ac:dyDescent="0.25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 x14ac:dyDescent="0.25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 x14ac:dyDescent="0.25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 x14ac:dyDescent="0.25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 x14ac:dyDescent="0.25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 x14ac:dyDescent="0.25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 x14ac:dyDescent="0.25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 x14ac:dyDescent="0.25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 x14ac:dyDescent="0.25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 x14ac:dyDescent="0.25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 x14ac:dyDescent="0.25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 x14ac:dyDescent="0.3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 x14ac:dyDescent="0.3">
      <c r="A486" s="160" t="s">
        <v>247</v>
      </c>
      <c r="B486" s="161"/>
      <c r="C486" s="161"/>
      <c r="D486" s="161"/>
      <c r="E486" s="161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 x14ac:dyDescent="0.25">
      <c r="A487" s="158" t="s">
        <v>248</v>
      </c>
      <c r="B487" s="159"/>
      <c r="C487" s="159"/>
      <c r="D487" s="159"/>
      <c r="E487" s="159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 x14ac:dyDescent="0.25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 x14ac:dyDescent="0.25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 x14ac:dyDescent="0.25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 x14ac:dyDescent="0.25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 x14ac:dyDescent="0.25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 x14ac:dyDescent="0.25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 x14ac:dyDescent="0.25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 x14ac:dyDescent="0.25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 x14ac:dyDescent="0.25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 x14ac:dyDescent="0.25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 x14ac:dyDescent="0.25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 x14ac:dyDescent="0.3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 x14ac:dyDescent="0.3">
      <c r="A500" s="160" t="s">
        <v>244</v>
      </c>
      <c r="B500" s="161"/>
      <c r="C500" s="161"/>
      <c r="D500" s="161"/>
      <c r="E500" s="16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 x14ac:dyDescent="0.25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 x14ac:dyDescent="0.25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 x14ac:dyDescent="0.25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 x14ac:dyDescent="0.25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 x14ac:dyDescent="0.25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 x14ac:dyDescent="0.25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 x14ac:dyDescent="0.25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 x14ac:dyDescent="0.25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 x14ac:dyDescent="0.25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 x14ac:dyDescent="0.25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 x14ac:dyDescent="0.25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 x14ac:dyDescent="0.3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 x14ac:dyDescent="0.3">
      <c r="A513" s="160" t="s">
        <v>247</v>
      </c>
      <c r="B513" s="161"/>
      <c r="C513" s="161"/>
      <c r="D513" s="161"/>
      <c r="E513" s="161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 x14ac:dyDescent="0.25">
      <c r="A514" s="158" t="s">
        <v>248</v>
      </c>
      <c r="B514" s="159"/>
      <c r="C514" s="159"/>
      <c r="D514" s="159"/>
      <c r="E514" s="159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 x14ac:dyDescent="0.25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 x14ac:dyDescent="0.25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 x14ac:dyDescent="0.25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 x14ac:dyDescent="0.25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 x14ac:dyDescent="0.25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 x14ac:dyDescent="0.25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 x14ac:dyDescent="0.25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 x14ac:dyDescent="0.25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 x14ac:dyDescent="0.25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 x14ac:dyDescent="0.25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 x14ac:dyDescent="0.25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 x14ac:dyDescent="0.3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 x14ac:dyDescent="0.3">
      <c r="A527" s="160" t="s">
        <v>244</v>
      </c>
      <c r="B527" s="161"/>
      <c r="C527" s="161"/>
      <c r="D527" s="161"/>
      <c r="E527" s="16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 x14ac:dyDescent="0.25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 x14ac:dyDescent="0.25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 x14ac:dyDescent="0.25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 x14ac:dyDescent="0.25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 x14ac:dyDescent="0.25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 x14ac:dyDescent="0.25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 x14ac:dyDescent="0.25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 x14ac:dyDescent="0.25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 x14ac:dyDescent="0.25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 x14ac:dyDescent="0.25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 x14ac:dyDescent="0.25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 x14ac:dyDescent="0.3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 x14ac:dyDescent="0.3">
      <c r="A540" s="160" t="s">
        <v>247</v>
      </c>
      <c r="B540" s="161"/>
      <c r="C540" s="161"/>
      <c r="D540" s="161"/>
      <c r="E540" s="16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 x14ac:dyDescent="0.25">
      <c r="A541" s="158" t="s">
        <v>248</v>
      </c>
      <c r="B541" s="159"/>
      <c r="C541" s="159"/>
      <c r="D541" s="159"/>
      <c r="E541" s="159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 x14ac:dyDescent="0.25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 x14ac:dyDescent="0.25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 x14ac:dyDescent="0.25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 x14ac:dyDescent="0.25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 x14ac:dyDescent="0.25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 x14ac:dyDescent="0.25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 x14ac:dyDescent="0.25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 x14ac:dyDescent="0.25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 x14ac:dyDescent="0.25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 x14ac:dyDescent="0.25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 x14ac:dyDescent="0.25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 x14ac:dyDescent="0.3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 x14ac:dyDescent="0.3">
      <c r="A554" s="160" t="s">
        <v>244</v>
      </c>
      <c r="B554" s="161"/>
      <c r="C554" s="161"/>
      <c r="D554" s="161"/>
      <c r="E554" s="16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 x14ac:dyDescent="0.25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 x14ac:dyDescent="0.25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 x14ac:dyDescent="0.25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 x14ac:dyDescent="0.25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 x14ac:dyDescent="0.25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 x14ac:dyDescent="0.25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 x14ac:dyDescent="0.25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 x14ac:dyDescent="0.25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 x14ac:dyDescent="0.25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 x14ac:dyDescent="0.25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 x14ac:dyDescent="0.25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 x14ac:dyDescent="0.3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 x14ac:dyDescent="0.3">
      <c r="A567" s="160" t="s">
        <v>247</v>
      </c>
      <c r="B567" s="161"/>
      <c r="C567" s="161"/>
      <c r="D567" s="161"/>
      <c r="E567" s="16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 x14ac:dyDescent="0.25">
      <c r="A568" s="158" t="s">
        <v>248</v>
      </c>
      <c r="B568" s="159"/>
      <c r="C568" s="159"/>
      <c r="D568" s="159"/>
      <c r="E568" s="159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 x14ac:dyDescent="0.25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 x14ac:dyDescent="0.25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 x14ac:dyDescent="0.25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 x14ac:dyDescent="0.25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 x14ac:dyDescent="0.25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 x14ac:dyDescent="0.25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 x14ac:dyDescent="0.25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 x14ac:dyDescent="0.25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 x14ac:dyDescent="0.25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 x14ac:dyDescent="0.25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 x14ac:dyDescent="0.25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 x14ac:dyDescent="0.3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 x14ac:dyDescent="0.3">
      <c r="A581" s="160" t="s">
        <v>244</v>
      </c>
      <c r="B581" s="161"/>
      <c r="C581" s="161"/>
      <c r="D581" s="161"/>
      <c r="E581" s="16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 x14ac:dyDescent="0.25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 x14ac:dyDescent="0.25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 x14ac:dyDescent="0.25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 x14ac:dyDescent="0.25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 x14ac:dyDescent="0.25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 x14ac:dyDescent="0.25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 x14ac:dyDescent="0.25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 x14ac:dyDescent="0.25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 x14ac:dyDescent="0.25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 x14ac:dyDescent="0.25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 x14ac:dyDescent="0.25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 x14ac:dyDescent="0.3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 x14ac:dyDescent="0.3">
      <c r="A594" s="160" t="s">
        <v>247</v>
      </c>
      <c r="B594" s="161"/>
      <c r="C594" s="161"/>
      <c r="D594" s="161"/>
      <c r="E594" s="16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 x14ac:dyDescent="0.25">
      <c r="A595" s="158" t="s">
        <v>248</v>
      </c>
      <c r="B595" s="159"/>
      <c r="C595" s="159"/>
      <c r="D595" s="159"/>
      <c r="E595" s="159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 x14ac:dyDescent="0.25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 x14ac:dyDescent="0.25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 x14ac:dyDescent="0.25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 x14ac:dyDescent="0.25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 x14ac:dyDescent="0.25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 x14ac:dyDescent="0.25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 x14ac:dyDescent="0.25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 x14ac:dyDescent="0.25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 x14ac:dyDescent="0.25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 x14ac:dyDescent="0.25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 x14ac:dyDescent="0.25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 x14ac:dyDescent="0.3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 x14ac:dyDescent="0.3">
      <c r="A608" s="160" t="s">
        <v>244</v>
      </c>
      <c r="B608" s="161"/>
      <c r="C608" s="161"/>
      <c r="D608" s="161"/>
      <c r="E608" s="16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 x14ac:dyDescent="0.25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 x14ac:dyDescent="0.25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 x14ac:dyDescent="0.25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 x14ac:dyDescent="0.25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 x14ac:dyDescent="0.25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 x14ac:dyDescent="0.25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 x14ac:dyDescent="0.25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 x14ac:dyDescent="0.25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 x14ac:dyDescent="0.25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 x14ac:dyDescent="0.25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 x14ac:dyDescent="0.25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 x14ac:dyDescent="0.3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 x14ac:dyDescent="0.3">
      <c r="A621" s="160" t="s">
        <v>247</v>
      </c>
      <c r="B621" s="161"/>
      <c r="C621" s="161"/>
      <c r="D621" s="161"/>
      <c r="E621" s="16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 x14ac:dyDescent="0.25">
      <c r="A622" s="158" t="s">
        <v>248</v>
      </c>
      <c r="B622" s="159"/>
      <c r="C622" s="159"/>
      <c r="D622" s="159"/>
      <c r="E622" s="159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 x14ac:dyDescent="0.25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 x14ac:dyDescent="0.25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 x14ac:dyDescent="0.25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 x14ac:dyDescent="0.25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 x14ac:dyDescent="0.25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 x14ac:dyDescent="0.25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 x14ac:dyDescent="0.25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 x14ac:dyDescent="0.25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 x14ac:dyDescent="0.25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 x14ac:dyDescent="0.25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 x14ac:dyDescent="0.25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 x14ac:dyDescent="0.3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 x14ac:dyDescent="0.3">
      <c r="A635" s="160" t="s">
        <v>244</v>
      </c>
      <c r="B635" s="161"/>
      <c r="C635" s="161"/>
      <c r="D635" s="161"/>
      <c r="E635" s="16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 x14ac:dyDescent="0.25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 x14ac:dyDescent="0.25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 x14ac:dyDescent="0.25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 x14ac:dyDescent="0.25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 x14ac:dyDescent="0.25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 x14ac:dyDescent="0.25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 x14ac:dyDescent="0.25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 x14ac:dyDescent="0.25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 x14ac:dyDescent="0.25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 x14ac:dyDescent="0.25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 x14ac:dyDescent="0.25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 x14ac:dyDescent="0.3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 x14ac:dyDescent="0.3">
      <c r="A648" s="160" t="s">
        <v>247</v>
      </c>
      <c r="B648" s="161"/>
      <c r="C648" s="161"/>
      <c r="D648" s="161"/>
      <c r="E648" s="16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 x14ac:dyDescent="0.25">
      <c r="A649" s="158" t="s">
        <v>248</v>
      </c>
      <c r="B649" s="159"/>
      <c r="C649" s="159"/>
      <c r="D649" s="159"/>
      <c r="E649" s="159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 x14ac:dyDescent="0.25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 x14ac:dyDescent="0.25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 x14ac:dyDescent="0.25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 x14ac:dyDescent="0.25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 x14ac:dyDescent="0.25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 x14ac:dyDescent="0.25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 x14ac:dyDescent="0.25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 x14ac:dyDescent="0.25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 x14ac:dyDescent="0.25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 x14ac:dyDescent="0.25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 x14ac:dyDescent="0.25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 x14ac:dyDescent="0.3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 x14ac:dyDescent="0.3">
      <c r="A662" s="160" t="s">
        <v>244</v>
      </c>
      <c r="B662" s="161"/>
      <c r="C662" s="161"/>
      <c r="D662" s="161"/>
      <c r="E662" s="16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 x14ac:dyDescent="0.25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 x14ac:dyDescent="0.25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 x14ac:dyDescent="0.25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 x14ac:dyDescent="0.25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 x14ac:dyDescent="0.25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 x14ac:dyDescent="0.25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 x14ac:dyDescent="0.25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 x14ac:dyDescent="0.25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 x14ac:dyDescent="0.25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 x14ac:dyDescent="0.25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 x14ac:dyDescent="0.25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 x14ac:dyDescent="0.3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 x14ac:dyDescent="0.3">
      <c r="A675" s="160" t="s">
        <v>247</v>
      </c>
      <c r="B675" s="161"/>
      <c r="C675" s="161"/>
      <c r="D675" s="161"/>
      <c r="E675" s="16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 x14ac:dyDescent="0.25">
      <c r="A676" s="158" t="s">
        <v>248</v>
      </c>
      <c r="B676" s="159"/>
      <c r="C676" s="159"/>
      <c r="D676" s="159"/>
      <c r="E676" s="159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 x14ac:dyDescent="0.25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 x14ac:dyDescent="0.25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 x14ac:dyDescent="0.25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 x14ac:dyDescent="0.25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 x14ac:dyDescent="0.25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 x14ac:dyDescent="0.25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 x14ac:dyDescent="0.25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 x14ac:dyDescent="0.25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 x14ac:dyDescent="0.25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 x14ac:dyDescent="0.25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 x14ac:dyDescent="0.25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 x14ac:dyDescent="0.3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 x14ac:dyDescent="0.3">
      <c r="A689" s="160" t="s">
        <v>244</v>
      </c>
      <c r="B689" s="161"/>
      <c r="C689" s="161"/>
      <c r="D689" s="161"/>
      <c r="E689" s="16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 x14ac:dyDescent="0.25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 x14ac:dyDescent="0.25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 x14ac:dyDescent="0.25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 x14ac:dyDescent="0.25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 x14ac:dyDescent="0.25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 x14ac:dyDescent="0.25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 x14ac:dyDescent="0.25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 x14ac:dyDescent="0.25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 x14ac:dyDescent="0.25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 x14ac:dyDescent="0.25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 x14ac:dyDescent="0.25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 x14ac:dyDescent="0.3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 x14ac:dyDescent="0.3">
      <c r="A702" s="160" t="s">
        <v>247</v>
      </c>
      <c r="B702" s="161"/>
      <c r="C702" s="161"/>
      <c r="D702" s="161"/>
      <c r="E702" s="16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 x14ac:dyDescent="0.25">
      <c r="A703" s="158" t="s">
        <v>248</v>
      </c>
      <c r="B703" s="159"/>
      <c r="C703" s="159"/>
      <c r="D703" s="159"/>
      <c r="E703" s="159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 x14ac:dyDescent="0.25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 x14ac:dyDescent="0.25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 x14ac:dyDescent="0.25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 x14ac:dyDescent="0.25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 x14ac:dyDescent="0.25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 x14ac:dyDescent="0.25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 x14ac:dyDescent="0.25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 x14ac:dyDescent="0.25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 x14ac:dyDescent="0.25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 x14ac:dyDescent="0.25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 x14ac:dyDescent="0.25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 x14ac:dyDescent="0.3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 x14ac:dyDescent="0.3">
      <c r="A716" s="160" t="s">
        <v>244</v>
      </c>
      <c r="B716" s="161"/>
      <c r="C716" s="161"/>
      <c r="D716" s="161"/>
      <c r="E716" s="16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 x14ac:dyDescent="0.25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 x14ac:dyDescent="0.25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 x14ac:dyDescent="0.25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 x14ac:dyDescent="0.25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 x14ac:dyDescent="0.25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 x14ac:dyDescent="0.25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 x14ac:dyDescent="0.25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 x14ac:dyDescent="0.25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 x14ac:dyDescent="0.25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 x14ac:dyDescent="0.25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 x14ac:dyDescent="0.25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 x14ac:dyDescent="0.3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 x14ac:dyDescent="0.3">
      <c r="A729" s="160" t="s">
        <v>247</v>
      </c>
      <c r="B729" s="161"/>
      <c r="C729" s="161"/>
      <c r="D729" s="161"/>
      <c r="E729" s="16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 x14ac:dyDescent="0.25">
      <c r="A730" s="158" t="s">
        <v>248</v>
      </c>
      <c r="B730" s="159"/>
      <c r="C730" s="159"/>
      <c r="D730" s="159"/>
      <c r="E730" s="159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 x14ac:dyDescent="0.25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 x14ac:dyDescent="0.25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 x14ac:dyDescent="0.25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 x14ac:dyDescent="0.25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 x14ac:dyDescent="0.25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 x14ac:dyDescent="0.25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 x14ac:dyDescent="0.25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 x14ac:dyDescent="0.25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 x14ac:dyDescent="0.25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 x14ac:dyDescent="0.25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 x14ac:dyDescent="0.25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 x14ac:dyDescent="0.3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 x14ac:dyDescent="0.3">
      <c r="A743" s="160" t="s">
        <v>244</v>
      </c>
      <c r="B743" s="161"/>
      <c r="C743" s="161"/>
      <c r="D743" s="161"/>
      <c r="E743" s="16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 x14ac:dyDescent="0.25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 x14ac:dyDescent="0.25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 x14ac:dyDescent="0.25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 x14ac:dyDescent="0.25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 x14ac:dyDescent="0.25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 x14ac:dyDescent="0.25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 x14ac:dyDescent="0.25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 x14ac:dyDescent="0.25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 x14ac:dyDescent="0.25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 x14ac:dyDescent="0.25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 x14ac:dyDescent="0.25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 x14ac:dyDescent="0.3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 x14ac:dyDescent="0.3">
      <c r="A756" s="160" t="s">
        <v>247</v>
      </c>
      <c r="B756" s="161"/>
      <c r="C756" s="161"/>
      <c r="D756" s="161"/>
      <c r="E756" s="16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 x14ac:dyDescent="0.25">
      <c r="A757" s="158" t="s">
        <v>248</v>
      </c>
      <c r="B757" s="159"/>
      <c r="C757" s="159"/>
      <c r="D757" s="159"/>
      <c r="E757" s="159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 x14ac:dyDescent="0.25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 x14ac:dyDescent="0.25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 x14ac:dyDescent="0.25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 x14ac:dyDescent="0.25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 x14ac:dyDescent="0.25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 x14ac:dyDescent="0.25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 x14ac:dyDescent="0.25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 x14ac:dyDescent="0.25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 x14ac:dyDescent="0.25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 x14ac:dyDescent="0.25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 x14ac:dyDescent="0.25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 x14ac:dyDescent="0.3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 x14ac:dyDescent="0.3">
      <c r="A770" s="160" t="s">
        <v>244</v>
      </c>
      <c r="B770" s="161"/>
      <c r="C770" s="161"/>
      <c r="D770" s="161"/>
      <c r="E770" s="16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 x14ac:dyDescent="0.25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 x14ac:dyDescent="0.25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 x14ac:dyDescent="0.25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 x14ac:dyDescent="0.25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 x14ac:dyDescent="0.25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 x14ac:dyDescent="0.25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 x14ac:dyDescent="0.25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 x14ac:dyDescent="0.25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 x14ac:dyDescent="0.25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 x14ac:dyDescent="0.25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 x14ac:dyDescent="0.25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 x14ac:dyDescent="0.3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 x14ac:dyDescent="0.3">
      <c r="A783" s="160" t="s">
        <v>247</v>
      </c>
      <c r="B783" s="161"/>
      <c r="C783" s="161"/>
      <c r="D783" s="161"/>
      <c r="E783" s="16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 x14ac:dyDescent="0.25">
      <c r="A784" s="158" t="s">
        <v>248</v>
      </c>
      <c r="B784" s="159"/>
      <c r="C784" s="159"/>
      <c r="D784" s="159"/>
      <c r="E784" s="159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 x14ac:dyDescent="0.25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 x14ac:dyDescent="0.25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 x14ac:dyDescent="0.25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 x14ac:dyDescent="0.25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 x14ac:dyDescent="0.25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 x14ac:dyDescent="0.25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 x14ac:dyDescent="0.25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 x14ac:dyDescent="0.25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 x14ac:dyDescent="0.25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 x14ac:dyDescent="0.25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 x14ac:dyDescent="0.25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 x14ac:dyDescent="0.3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 x14ac:dyDescent="0.3">
      <c r="A797" s="160" t="s">
        <v>244</v>
      </c>
      <c r="B797" s="161"/>
      <c r="C797" s="161"/>
      <c r="D797" s="161"/>
      <c r="E797" s="16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 x14ac:dyDescent="0.25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 x14ac:dyDescent="0.25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 x14ac:dyDescent="0.25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 x14ac:dyDescent="0.25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 x14ac:dyDescent="0.25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 x14ac:dyDescent="0.25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 x14ac:dyDescent="0.25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 x14ac:dyDescent="0.25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 x14ac:dyDescent="0.25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 x14ac:dyDescent="0.25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 x14ac:dyDescent="0.25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 x14ac:dyDescent="0.3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 x14ac:dyDescent="0.3">
      <c r="A810" s="160" t="s">
        <v>247</v>
      </c>
      <c r="B810" s="161"/>
      <c r="C810" s="161"/>
      <c r="D810" s="161"/>
      <c r="E810" s="16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 x14ac:dyDescent="0.25">
      <c r="A811" s="158" t="s">
        <v>248</v>
      </c>
      <c r="B811" s="159"/>
      <c r="C811" s="159"/>
      <c r="D811" s="159"/>
      <c r="E811" s="159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 x14ac:dyDescent="0.25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 x14ac:dyDescent="0.25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 x14ac:dyDescent="0.25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 x14ac:dyDescent="0.25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 x14ac:dyDescent="0.25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 x14ac:dyDescent="0.25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 x14ac:dyDescent="0.25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 x14ac:dyDescent="0.25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 x14ac:dyDescent="0.25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 x14ac:dyDescent="0.25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 x14ac:dyDescent="0.25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 x14ac:dyDescent="0.3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 x14ac:dyDescent="0.3">
      <c r="A824" s="160" t="s">
        <v>244</v>
      </c>
      <c r="B824" s="161"/>
      <c r="C824" s="161"/>
      <c r="D824" s="161"/>
      <c r="E824" s="16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 x14ac:dyDescent="0.25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 x14ac:dyDescent="0.25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 x14ac:dyDescent="0.25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 x14ac:dyDescent="0.25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 x14ac:dyDescent="0.25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 x14ac:dyDescent="0.25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 x14ac:dyDescent="0.25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 x14ac:dyDescent="0.25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 x14ac:dyDescent="0.25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 x14ac:dyDescent="0.25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 x14ac:dyDescent="0.25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 x14ac:dyDescent="0.3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 x14ac:dyDescent="0.3">
      <c r="A837" s="160" t="s">
        <v>247</v>
      </c>
      <c r="B837" s="161"/>
      <c r="C837" s="161"/>
      <c r="D837" s="161"/>
      <c r="E837" s="16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 x14ac:dyDescent="0.25">
      <c r="A838" s="158" t="s">
        <v>248</v>
      </c>
      <c r="B838" s="159"/>
      <c r="C838" s="159"/>
      <c r="D838" s="159"/>
      <c r="E838" s="159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94" activePane="bottomLeft" state="frozen"/>
      <selection pane="bottomLeft"/>
    </sheetView>
  </sheetViews>
  <sheetFormatPr defaultColWidth="8.5703125" defaultRowHeight="15" x14ac:dyDescent="0.2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 x14ac:dyDescent="0.25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 x14ac:dyDescent="0.25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 x14ac:dyDescent="0.25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 x14ac:dyDescent="0.25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 x14ac:dyDescent="0.25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 x14ac:dyDescent="0.25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 x14ac:dyDescent="0.25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 x14ac:dyDescent="0.25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 x14ac:dyDescent="0.25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 x14ac:dyDescent="0.25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 x14ac:dyDescent="0.25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 x14ac:dyDescent="0.25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 x14ac:dyDescent="0.3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 x14ac:dyDescent="0.3">
      <c r="A14" s="160" t="s">
        <v>244</v>
      </c>
      <c r="B14" s="161"/>
      <c r="C14" s="161"/>
      <c r="D14" s="161"/>
      <c r="E14" s="161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 x14ac:dyDescent="0.25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 x14ac:dyDescent="0.25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323</v>
      </c>
      <c r="S16" s="60"/>
    </row>
    <row r="17" spans="1:20" ht="15" customHeight="1" x14ac:dyDescent="0.25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278</v>
      </c>
      <c r="S17" s="60"/>
    </row>
    <row r="18" spans="1:20" ht="15" customHeight="1" x14ac:dyDescent="0.25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305</v>
      </c>
      <c r="S18" s="60"/>
    </row>
    <row r="19" spans="1:20" ht="15" customHeight="1" x14ac:dyDescent="0.25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324</v>
      </c>
      <c r="S19" s="60"/>
    </row>
    <row r="20" spans="1:20" ht="15" customHeight="1" x14ac:dyDescent="0.25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 x14ac:dyDescent="0.25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 x14ac:dyDescent="0.25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325</v>
      </c>
      <c r="S22" s="60"/>
    </row>
    <row r="23" spans="1:20" ht="15" customHeight="1" x14ac:dyDescent="0.25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 x14ac:dyDescent="0.25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 x14ac:dyDescent="0.25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 x14ac:dyDescent="0.3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 x14ac:dyDescent="0.3">
      <c r="A27" s="160" t="s">
        <v>247</v>
      </c>
      <c r="B27" s="161"/>
      <c r="C27" s="161"/>
      <c r="D27" s="161"/>
      <c r="E27" s="161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 x14ac:dyDescent="0.25">
      <c r="A28" s="158" t="s">
        <v>248</v>
      </c>
      <c r="B28" s="159"/>
      <c r="C28" s="159"/>
      <c r="D28" s="159"/>
      <c r="E28" s="159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 x14ac:dyDescent="0.25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 x14ac:dyDescent="0.25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 x14ac:dyDescent="0.25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 x14ac:dyDescent="0.25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 x14ac:dyDescent="0.25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 x14ac:dyDescent="0.25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 x14ac:dyDescent="0.25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 x14ac:dyDescent="0.25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 x14ac:dyDescent="0.25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 x14ac:dyDescent="0.25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 x14ac:dyDescent="0.25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 x14ac:dyDescent="0.3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 x14ac:dyDescent="0.3">
      <c r="A41" s="160" t="s">
        <v>244</v>
      </c>
      <c r="B41" s="161"/>
      <c r="C41" s="161"/>
      <c r="D41" s="161"/>
      <c r="E41" s="161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 x14ac:dyDescent="0.25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 x14ac:dyDescent="0.25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 x14ac:dyDescent="0.25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 x14ac:dyDescent="0.25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326</v>
      </c>
      <c r="S45" s="60"/>
    </row>
    <row r="46" spans="1:20" ht="15" customHeight="1" x14ac:dyDescent="0.25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 x14ac:dyDescent="0.25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 x14ac:dyDescent="0.25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 x14ac:dyDescent="0.25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 x14ac:dyDescent="0.25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 x14ac:dyDescent="0.25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 x14ac:dyDescent="0.25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 x14ac:dyDescent="0.3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 x14ac:dyDescent="0.3">
      <c r="A54" s="160" t="s">
        <v>247</v>
      </c>
      <c r="B54" s="161"/>
      <c r="C54" s="161"/>
      <c r="D54" s="161"/>
      <c r="E54" s="161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 x14ac:dyDescent="0.25">
      <c r="A55" s="158" t="s">
        <v>248</v>
      </c>
      <c r="B55" s="159"/>
      <c r="C55" s="159"/>
      <c r="D55" s="159"/>
      <c r="E55" s="159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 x14ac:dyDescent="0.25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 x14ac:dyDescent="0.25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 x14ac:dyDescent="0.25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 x14ac:dyDescent="0.25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327</v>
      </c>
      <c r="S59" s="60"/>
    </row>
    <row r="60" spans="1:20" ht="15" customHeight="1" x14ac:dyDescent="0.25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328</v>
      </c>
      <c r="S60" s="60"/>
    </row>
    <row r="61" spans="1:20" ht="15" customHeight="1" x14ac:dyDescent="0.25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 x14ac:dyDescent="0.25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 x14ac:dyDescent="0.25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 x14ac:dyDescent="0.25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 x14ac:dyDescent="0.25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 x14ac:dyDescent="0.25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 x14ac:dyDescent="0.3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 x14ac:dyDescent="0.3">
      <c r="A68" s="160" t="s">
        <v>244</v>
      </c>
      <c r="B68" s="161"/>
      <c r="C68" s="161"/>
      <c r="D68" s="161"/>
      <c r="E68" s="161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 x14ac:dyDescent="0.25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329</v>
      </c>
      <c r="S69" s="60"/>
    </row>
    <row r="70" spans="1:20" ht="15" customHeight="1" x14ac:dyDescent="0.25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 x14ac:dyDescent="0.25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 x14ac:dyDescent="0.25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305</v>
      </c>
      <c r="S72" s="60"/>
    </row>
    <row r="73" spans="1:20" ht="15" customHeight="1" x14ac:dyDescent="0.25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 x14ac:dyDescent="0.25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 x14ac:dyDescent="0.25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 x14ac:dyDescent="0.25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 x14ac:dyDescent="0.25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 x14ac:dyDescent="0.25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 x14ac:dyDescent="0.25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 x14ac:dyDescent="0.3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 x14ac:dyDescent="0.3">
      <c r="A81" s="160" t="s">
        <v>247</v>
      </c>
      <c r="B81" s="161"/>
      <c r="C81" s="161"/>
      <c r="D81" s="161"/>
      <c r="E81" s="161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 x14ac:dyDescent="0.25">
      <c r="A82" s="158" t="s">
        <v>248</v>
      </c>
      <c r="B82" s="159"/>
      <c r="C82" s="159"/>
      <c r="D82" s="159"/>
      <c r="E82" s="159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 x14ac:dyDescent="0.25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 x14ac:dyDescent="0.25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 x14ac:dyDescent="0.25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 x14ac:dyDescent="0.25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 x14ac:dyDescent="0.25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 x14ac:dyDescent="0.25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 x14ac:dyDescent="0.25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 x14ac:dyDescent="0.25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 x14ac:dyDescent="0.25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 x14ac:dyDescent="0.25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 x14ac:dyDescent="0.25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 x14ac:dyDescent="0.3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 x14ac:dyDescent="0.3">
      <c r="A95" s="160" t="s">
        <v>244</v>
      </c>
      <c r="B95" s="161"/>
      <c r="C95" s="161"/>
      <c r="D95" s="161"/>
      <c r="E95" s="161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 x14ac:dyDescent="0.25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 x14ac:dyDescent="0.25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305</v>
      </c>
      <c r="S97" s="60"/>
    </row>
    <row r="98" spans="1:20" ht="15" customHeight="1" x14ac:dyDescent="0.25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 x14ac:dyDescent="0.25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 x14ac:dyDescent="0.25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 x14ac:dyDescent="0.25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 x14ac:dyDescent="0.25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 x14ac:dyDescent="0.25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 x14ac:dyDescent="0.25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 x14ac:dyDescent="0.25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 x14ac:dyDescent="0.25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 x14ac:dyDescent="0.3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 x14ac:dyDescent="0.3">
      <c r="A108" s="160" t="s">
        <v>247</v>
      </c>
      <c r="B108" s="161"/>
      <c r="C108" s="161"/>
      <c r="D108" s="161"/>
      <c r="E108" s="161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 x14ac:dyDescent="0.25">
      <c r="A109" s="158" t="s">
        <v>248</v>
      </c>
      <c r="B109" s="159"/>
      <c r="C109" s="159"/>
      <c r="D109" s="159"/>
      <c r="E109" s="159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 x14ac:dyDescent="0.25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 x14ac:dyDescent="0.25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 x14ac:dyDescent="0.25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 x14ac:dyDescent="0.25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 x14ac:dyDescent="0.25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330</v>
      </c>
      <c r="S114" s="60"/>
    </row>
    <row r="115" spans="1:20" ht="15" customHeight="1" x14ac:dyDescent="0.25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 x14ac:dyDescent="0.25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 x14ac:dyDescent="0.25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 x14ac:dyDescent="0.25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 x14ac:dyDescent="0.25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 x14ac:dyDescent="0.25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 x14ac:dyDescent="0.3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 x14ac:dyDescent="0.3">
      <c r="A122" s="160" t="s">
        <v>244</v>
      </c>
      <c r="B122" s="161"/>
      <c r="C122" s="161"/>
      <c r="D122" s="161"/>
      <c r="E122" s="161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 x14ac:dyDescent="0.25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 x14ac:dyDescent="0.25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331</v>
      </c>
      <c r="S124" s="60"/>
    </row>
    <row r="125" spans="1:20" ht="15" customHeight="1" x14ac:dyDescent="0.25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 x14ac:dyDescent="0.25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 x14ac:dyDescent="0.25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281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 x14ac:dyDescent="0.25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 x14ac:dyDescent="0.25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305</v>
      </c>
      <c r="S129" s="60"/>
    </row>
    <row r="130" spans="1:22" ht="15" customHeight="1" x14ac:dyDescent="0.25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 x14ac:dyDescent="0.25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 x14ac:dyDescent="0.25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 x14ac:dyDescent="0.25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 x14ac:dyDescent="0.3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 x14ac:dyDescent="0.3">
      <c r="A135" s="160" t="s">
        <v>247</v>
      </c>
      <c r="B135" s="161"/>
      <c r="C135" s="161"/>
      <c r="D135" s="161"/>
      <c r="E135" s="161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 x14ac:dyDescent="0.25">
      <c r="A136" s="158" t="s">
        <v>248</v>
      </c>
      <c r="B136" s="159"/>
      <c r="C136" s="159"/>
      <c r="D136" s="159"/>
      <c r="E136" s="159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 x14ac:dyDescent="0.25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 x14ac:dyDescent="0.25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332</v>
      </c>
      <c r="S138" s="31"/>
    </row>
    <row r="139" spans="1:22" ht="15" customHeight="1" x14ac:dyDescent="0.25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333</v>
      </c>
      <c r="S139" s="31"/>
    </row>
    <row r="140" spans="1:22" ht="15" customHeight="1" x14ac:dyDescent="0.25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 x14ac:dyDescent="0.25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 x14ac:dyDescent="0.25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 x14ac:dyDescent="0.25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 x14ac:dyDescent="0.25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 x14ac:dyDescent="0.25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 x14ac:dyDescent="0.25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289</v>
      </c>
      <c r="S146" s="31"/>
    </row>
    <row r="147" spans="1:20" ht="15" customHeight="1" x14ac:dyDescent="0.25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 x14ac:dyDescent="0.3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 x14ac:dyDescent="0.3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 x14ac:dyDescent="0.25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334</v>
      </c>
      <c r="S150" s="31"/>
    </row>
    <row r="151" spans="1:20" ht="15" customHeight="1" x14ac:dyDescent="0.25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335</v>
      </c>
      <c r="S151" s="31"/>
    </row>
    <row r="152" spans="1:20" ht="15" customHeight="1" x14ac:dyDescent="0.25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 x14ac:dyDescent="0.25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 x14ac:dyDescent="0.25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 x14ac:dyDescent="0.25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 x14ac:dyDescent="0.25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 x14ac:dyDescent="0.25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 x14ac:dyDescent="0.25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 x14ac:dyDescent="0.25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 x14ac:dyDescent="0.25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 x14ac:dyDescent="0.3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 x14ac:dyDescent="0.3">
      <c r="A162" s="160" t="s">
        <v>247</v>
      </c>
      <c r="B162" s="161"/>
      <c r="C162" s="161"/>
      <c r="D162" s="161"/>
      <c r="E162" s="161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 x14ac:dyDescent="0.25">
      <c r="A163" s="158" t="s">
        <v>248</v>
      </c>
      <c r="B163" s="159"/>
      <c r="C163" s="159"/>
      <c r="D163" s="159"/>
      <c r="E163" s="159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 x14ac:dyDescent="0.25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 x14ac:dyDescent="0.25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 x14ac:dyDescent="0.25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 x14ac:dyDescent="0.25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 x14ac:dyDescent="0.25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 x14ac:dyDescent="0.25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 x14ac:dyDescent="0.25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336</v>
      </c>
      <c r="S170" s="31"/>
    </row>
    <row r="171" spans="1:20" ht="15" customHeight="1" x14ac:dyDescent="0.25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 x14ac:dyDescent="0.25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 x14ac:dyDescent="0.25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 x14ac:dyDescent="0.25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 x14ac:dyDescent="0.3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 x14ac:dyDescent="0.3">
      <c r="A176" s="160" t="s">
        <v>244</v>
      </c>
      <c r="B176" s="161"/>
      <c r="C176" s="161"/>
      <c r="D176" s="161"/>
      <c r="E176" s="161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 x14ac:dyDescent="0.25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337</v>
      </c>
      <c r="S177" s="31"/>
    </row>
    <row r="178" spans="1:20" ht="15" customHeight="1" x14ac:dyDescent="0.25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 x14ac:dyDescent="0.25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 x14ac:dyDescent="0.25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 x14ac:dyDescent="0.25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 x14ac:dyDescent="0.25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 x14ac:dyDescent="0.25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 x14ac:dyDescent="0.25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 x14ac:dyDescent="0.25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 x14ac:dyDescent="0.25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 x14ac:dyDescent="0.25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 x14ac:dyDescent="0.3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 x14ac:dyDescent="0.3">
      <c r="A189" s="160" t="s">
        <v>247</v>
      </c>
      <c r="B189" s="161"/>
      <c r="C189" s="161"/>
      <c r="D189" s="161"/>
      <c r="E189" s="161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 x14ac:dyDescent="0.25">
      <c r="A190" s="158" t="s">
        <v>248</v>
      </c>
      <c r="B190" s="159"/>
      <c r="C190" s="159"/>
      <c r="D190" s="159"/>
      <c r="E190" s="159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 x14ac:dyDescent="0.25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 x14ac:dyDescent="0.25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338</v>
      </c>
      <c r="S192" s="31"/>
    </row>
    <row r="193" spans="1:20" ht="15" customHeight="1" x14ac:dyDescent="0.25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 x14ac:dyDescent="0.25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 x14ac:dyDescent="0.25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 x14ac:dyDescent="0.25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 x14ac:dyDescent="0.25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 x14ac:dyDescent="0.25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 x14ac:dyDescent="0.25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 x14ac:dyDescent="0.25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 x14ac:dyDescent="0.25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 x14ac:dyDescent="0.3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 x14ac:dyDescent="0.3">
      <c r="A203" s="160" t="s">
        <v>244</v>
      </c>
      <c r="B203" s="161"/>
      <c r="C203" s="161"/>
      <c r="D203" s="161"/>
      <c r="E203" s="161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 x14ac:dyDescent="0.25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339</v>
      </c>
      <c r="S204" s="60"/>
    </row>
    <row r="205" spans="1:20" ht="15" customHeight="1" x14ac:dyDescent="0.25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340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 x14ac:dyDescent="0.25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341</v>
      </c>
      <c r="S206" s="60"/>
    </row>
    <row r="207" spans="1:20" ht="15" customHeight="1" x14ac:dyDescent="0.25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 x14ac:dyDescent="0.25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 x14ac:dyDescent="0.25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 x14ac:dyDescent="0.25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 x14ac:dyDescent="0.25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 x14ac:dyDescent="0.25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 x14ac:dyDescent="0.25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 x14ac:dyDescent="0.25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 x14ac:dyDescent="0.3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 x14ac:dyDescent="0.3">
      <c r="A216" s="160" t="s">
        <v>247</v>
      </c>
      <c r="B216" s="161"/>
      <c r="C216" s="161"/>
      <c r="D216" s="161"/>
      <c r="E216" s="161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 x14ac:dyDescent="0.25">
      <c r="A217" s="158" t="s">
        <v>248</v>
      </c>
      <c r="B217" s="159"/>
      <c r="C217" s="159"/>
      <c r="D217" s="159"/>
      <c r="E217" s="159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 x14ac:dyDescent="0.25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 x14ac:dyDescent="0.25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 x14ac:dyDescent="0.25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342</v>
      </c>
      <c r="S220" s="60"/>
    </row>
    <row r="221" spans="1:20" ht="15" customHeight="1" x14ac:dyDescent="0.25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343</v>
      </c>
      <c r="S221" s="60"/>
    </row>
    <row r="222" spans="1:20" ht="15" customHeight="1" x14ac:dyDescent="0.25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 x14ac:dyDescent="0.25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 x14ac:dyDescent="0.25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 x14ac:dyDescent="0.25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 x14ac:dyDescent="0.25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 x14ac:dyDescent="0.25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 x14ac:dyDescent="0.25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 x14ac:dyDescent="0.3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 x14ac:dyDescent="0.3">
      <c r="A230" s="160" t="s">
        <v>244</v>
      </c>
      <c r="B230" s="161"/>
      <c r="C230" s="161"/>
      <c r="D230" s="161"/>
      <c r="E230" s="161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 x14ac:dyDescent="0.25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344</v>
      </c>
      <c r="S231" s="60"/>
    </row>
    <row r="232" spans="1:20" ht="15" customHeight="1" x14ac:dyDescent="0.25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345</v>
      </c>
      <c r="S232" s="60"/>
    </row>
    <row r="233" spans="1:20" ht="15" customHeight="1" x14ac:dyDescent="0.25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 x14ac:dyDescent="0.25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 x14ac:dyDescent="0.25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 x14ac:dyDescent="0.25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 x14ac:dyDescent="0.25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 x14ac:dyDescent="0.25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 x14ac:dyDescent="0.25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 x14ac:dyDescent="0.25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 x14ac:dyDescent="0.25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 x14ac:dyDescent="0.3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 x14ac:dyDescent="0.3">
      <c r="A243" s="160" t="s">
        <v>247</v>
      </c>
      <c r="B243" s="161"/>
      <c r="C243" s="161"/>
      <c r="D243" s="161"/>
      <c r="E243" s="161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 x14ac:dyDescent="0.25">
      <c r="A244" s="158" t="s">
        <v>248</v>
      </c>
      <c r="B244" s="159"/>
      <c r="C244" s="159"/>
      <c r="D244" s="159"/>
      <c r="E244" s="159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 x14ac:dyDescent="0.25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 x14ac:dyDescent="0.25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 t="s">
        <v>269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 x14ac:dyDescent="0.25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 x14ac:dyDescent="0.25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 x14ac:dyDescent="0.25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346</v>
      </c>
      <c r="S249" s="60"/>
    </row>
    <row r="250" spans="1:20" ht="15" customHeight="1" x14ac:dyDescent="0.25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 x14ac:dyDescent="0.25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 x14ac:dyDescent="0.25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 x14ac:dyDescent="0.25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 x14ac:dyDescent="0.25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 x14ac:dyDescent="0.25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 x14ac:dyDescent="0.3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 x14ac:dyDescent="0.3">
      <c r="A257" s="160" t="s">
        <v>244</v>
      </c>
      <c r="B257" s="161"/>
      <c r="C257" s="161"/>
      <c r="D257" s="161"/>
      <c r="E257" s="161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 x14ac:dyDescent="0.25">
      <c r="A258" s="68">
        <v>46244</v>
      </c>
      <c r="B258" s="32">
        <v>0.83333333333333304</v>
      </c>
      <c r="C258" s="33"/>
      <c r="D258" s="62" t="s">
        <v>45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 x14ac:dyDescent="0.25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 x14ac:dyDescent="0.25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 x14ac:dyDescent="0.25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 x14ac:dyDescent="0.25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 x14ac:dyDescent="0.25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 x14ac:dyDescent="0.25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 x14ac:dyDescent="0.25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 x14ac:dyDescent="0.25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 x14ac:dyDescent="0.25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 x14ac:dyDescent="0.25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 x14ac:dyDescent="0.3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 x14ac:dyDescent="0.3">
      <c r="A270" s="160" t="s">
        <v>247</v>
      </c>
      <c r="B270" s="161"/>
      <c r="C270" s="161"/>
      <c r="D270" s="161"/>
      <c r="E270" s="161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 x14ac:dyDescent="0.25">
      <c r="A271" s="158" t="s">
        <v>248</v>
      </c>
      <c r="B271" s="159"/>
      <c r="C271" s="159"/>
      <c r="D271" s="159"/>
      <c r="E271" s="159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 x14ac:dyDescent="0.25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 x14ac:dyDescent="0.25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 x14ac:dyDescent="0.25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 x14ac:dyDescent="0.25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 x14ac:dyDescent="0.25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 x14ac:dyDescent="0.25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 x14ac:dyDescent="0.25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 x14ac:dyDescent="0.25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 x14ac:dyDescent="0.25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 x14ac:dyDescent="0.25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 x14ac:dyDescent="0.25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 x14ac:dyDescent="0.3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 x14ac:dyDescent="0.3">
      <c r="A284" s="160" t="s">
        <v>244</v>
      </c>
      <c r="B284" s="161"/>
      <c r="C284" s="161"/>
      <c r="D284" s="161"/>
      <c r="E284" s="161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 x14ac:dyDescent="0.25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 x14ac:dyDescent="0.25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 x14ac:dyDescent="0.25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 x14ac:dyDescent="0.25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 x14ac:dyDescent="0.25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 x14ac:dyDescent="0.25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 x14ac:dyDescent="0.25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 x14ac:dyDescent="0.25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 x14ac:dyDescent="0.25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 x14ac:dyDescent="0.25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 x14ac:dyDescent="0.25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 x14ac:dyDescent="0.3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 x14ac:dyDescent="0.3">
      <c r="A297" s="160" t="s">
        <v>247</v>
      </c>
      <c r="B297" s="161"/>
      <c r="C297" s="161"/>
      <c r="D297" s="161"/>
      <c r="E297" s="161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 x14ac:dyDescent="0.25">
      <c r="A298" s="158" t="s">
        <v>248</v>
      </c>
      <c r="B298" s="159"/>
      <c r="C298" s="159"/>
      <c r="D298" s="159"/>
      <c r="E298" s="159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 x14ac:dyDescent="0.25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 x14ac:dyDescent="0.25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 x14ac:dyDescent="0.25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 x14ac:dyDescent="0.25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 x14ac:dyDescent="0.25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 x14ac:dyDescent="0.25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 x14ac:dyDescent="0.25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 x14ac:dyDescent="0.25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 x14ac:dyDescent="0.25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 x14ac:dyDescent="0.25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 x14ac:dyDescent="0.25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 x14ac:dyDescent="0.3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 x14ac:dyDescent="0.3">
      <c r="A311" s="160" t="s">
        <v>244</v>
      </c>
      <c r="B311" s="161"/>
      <c r="C311" s="161"/>
      <c r="D311" s="161"/>
      <c r="E311" s="161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159.15670781249997</v>
      </c>
    </row>
    <row r="312" spans="1:20" ht="15" customHeight="1" x14ac:dyDescent="0.25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 x14ac:dyDescent="0.25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 x14ac:dyDescent="0.25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 x14ac:dyDescent="0.25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 x14ac:dyDescent="0.25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 x14ac:dyDescent="0.25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 x14ac:dyDescent="0.25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 x14ac:dyDescent="0.25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 x14ac:dyDescent="0.25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 x14ac:dyDescent="0.25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 x14ac:dyDescent="0.25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 x14ac:dyDescent="0.3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 x14ac:dyDescent="0.3">
      <c r="A324" s="160" t="s">
        <v>247</v>
      </c>
      <c r="B324" s="161"/>
      <c r="C324" s="161"/>
      <c r="D324" s="161"/>
      <c r="E324" s="161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151.15967999999998</v>
      </c>
    </row>
    <row r="325" spans="1:20" ht="18" customHeight="1" x14ac:dyDescent="0.25">
      <c r="A325" s="158" t="s">
        <v>248</v>
      </c>
      <c r="B325" s="159"/>
      <c r="C325" s="159"/>
      <c r="D325" s="159"/>
      <c r="E325" s="159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 x14ac:dyDescent="0.25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 x14ac:dyDescent="0.25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 x14ac:dyDescent="0.25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 x14ac:dyDescent="0.25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 x14ac:dyDescent="0.25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 x14ac:dyDescent="0.25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 x14ac:dyDescent="0.25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 x14ac:dyDescent="0.25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 x14ac:dyDescent="0.25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 x14ac:dyDescent="0.25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 x14ac:dyDescent="0.25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 x14ac:dyDescent="0.3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 x14ac:dyDescent="0.3">
      <c r="A338" s="160" t="s">
        <v>244</v>
      </c>
      <c r="B338" s="161"/>
      <c r="C338" s="161"/>
      <c r="D338" s="161"/>
      <c r="E338" s="161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 x14ac:dyDescent="0.25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 x14ac:dyDescent="0.25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 x14ac:dyDescent="0.25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 x14ac:dyDescent="0.25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 x14ac:dyDescent="0.25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 x14ac:dyDescent="0.25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 x14ac:dyDescent="0.25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 x14ac:dyDescent="0.25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347</v>
      </c>
      <c r="S346" s="60"/>
    </row>
    <row r="347" spans="1:20" ht="15" customHeight="1" x14ac:dyDescent="0.25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348</v>
      </c>
      <c r="S347" s="60"/>
    </row>
    <row r="348" spans="1:20" ht="15" customHeight="1" x14ac:dyDescent="0.25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 x14ac:dyDescent="0.25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 x14ac:dyDescent="0.3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 x14ac:dyDescent="0.3">
      <c r="A351" s="160" t="s">
        <v>247</v>
      </c>
      <c r="B351" s="161"/>
      <c r="C351" s="161"/>
      <c r="D351" s="161"/>
      <c r="E351" s="161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 x14ac:dyDescent="0.25">
      <c r="A352" s="158" t="s">
        <v>248</v>
      </c>
      <c r="B352" s="159"/>
      <c r="C352" s="159"/>
      <c r="D352" s="159"/>
      <c r="E352" s="159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 x14ac:dyDescent="0.25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 x14ac:dyDescent="0.25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 x14ac:dyDescent="0.25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 x14ac:dyDescent="0.25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349</v>
      </c>
      <c r="S356" s="60"/>
    </row>
    <row r="357" spans="1:20" ht="15" customHeight="1" x14ac:dyDescent="0.25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 x14ac:dyDescent="0.25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350</v>
      </c>
      <c r="S358" s="60"/>
    </row>
    <row r="359" spans="1:20" ht="15" customHeight="1" x14ac:dyDescent="0.25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 x14ac:dyDescent="0.25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 x14ac:dyDescent="0.25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 x14ac:dyDescent="0.25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 x14ac:dyDescent="0.25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 x14ac:dyDescent="0.3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 x14ac:dyDescent="0.3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 x14ac:dyDescent="0.25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 x14ac:dyDescent="0.25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 x14ac:dyDescent="0.25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 x14ac:dyDescent="0.25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 x14ac:dyDescent="0.25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 x14ac:dyDescent="0.25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 x14ac:dyDescent="0.25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351</v>
      </c>
      <c r="S372" s="60"/>
    </row>
    <row r="373" spans="1:20" ht="15" customHeight="1" x14ac:dyDescent="0.25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 x14ac:dyDescent="0.25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 x14ac:dyDescent="0.25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 x14ac:dyDescent="0.25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 x14ac:dyDescent="0.3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 x14ac:dyDescent="0.3">
      <c r="A378" s="160" t="s">
        <v>247</v>
      </c>
      <c r="B378" s="161"/>
      <c r="C378" s="161"/>
      <c r="D378" s="161"/>
      <c r="E378" s="161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245</v>
      </c>
      <c r="S378" s="39">
        <v>1137080</v>
      </c>
      <c r="T378" s="119">
        <f>IFERROR(J378,"")</f>
        <v>238.78679999999994</v>
      </c>
    </row>
    <row r="379" spans="1:20" ht="18" customHeight="1" x14ac:dyDescent="0.25">
      <c r="A379" s="158" t="s">
        <v>248</v>
      </c>
      <c r="B379" s="159"/>
      <c r="C379" s="159"/>
      <c r="D379" s="159"/>
      <c r="E379" s="159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249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 x14ac:dyDescent="0.25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 x14ac:dyDescent="0.25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259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 x14ac:dyDescent="0.25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 x14ac:dyDescent="0.25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 x14ac:dyDescent="0.25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303</v>
      </c>
      <c r="S384" s="60"/>
    </row>
    <row r="385" spans="1:20" ht="15" customHeight="1" x14ac:dyDescent="0.25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/>
      <c r="Q385" s="35">
        <f t="shared" ca="1" si="92"/>
        <v>0.80299756944441469</v>
      </c>
      <c r="R385" s="27" t="s">
        <v>352</v>
      </c>
      <c r="S385" s="60"/>
    </row>
    <row r="386" spans="1:20" ht="15" customHeight="1" x14ac:dyDescent="0.25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 x14ac:dyDescent="0.25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 x14ac:dyDescent="0.25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 x14ac:dyDescent="0.25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 x14ac:dyDescent="0.25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 x14ac:dyDescent="0.3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 x14ac:dyDescent="0.3">
      <c r="A392" s="160" t="s">
        <v>244</v>
      </c>
      <c r="B392" s="161"/>
      <c r="C392" s="161"/>
      <c r="D392" s="161"/>
      <c r="E392" s="161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0.86758090277774791</v>
      </c>
      <c r="R392" s="36" t="s">
        <v>245</v>
      </c>
      <c r="S392" s="39">
        <v>675670</v>
      </c>
      <c r="T392" s="119">
        <f>IFERROR(J392,"")</f>
        <v>141.89069999999998</v>
      </c>
    </row>
    <row r="393" spans="1:20" ht="15" customHeight="1" x14ac:dyDescent="0.25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225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 x14ac:dyDescent="0.25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170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353</v>
      </c>
      <c r="S394" s="60"/>
    </row>
    <row r="395" spans="1:20" ht="15" customHeight="1" x14ac:dyDescent="0.25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 x14ac:dyDescent="0.25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 x14ac:dyDescent="0.25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 x14ac:dyDescent="0.25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 x14ac:dyDescent="0.25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 x14ac:dyDescent="0.25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 x14ac:dyDescent="0.25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 x14ac:dyDescent="0.25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 x14ac:dyDescent="0.25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 x14ac:dyDescent="0.3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 x14ac:dyDescent="0.3">
      <c r="A405" s="160" t="s">
        <v>247</v>
      </c>
      <c r="B405" s="161"/>
      <c r="C405" s="161"/>
      <c r="D405" s="161"/>
      <c r="E405" s="161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245</v>
      </c>
      <c r="S405" s="39">
        <v>989450</v>
      </c>
      <c r="T405" s="119">
        <f>IFERROR(J405,"")</f>
        <v>195.72390675675675</v>
      </c>
    </row>
    <row r="406" spans="1:20" ht="18" customHeight="1" x14ac:dyDescent="0.25">
      <c r="A406" s="158" t="s">
        <v>248</v>
      </c>
      <c r="B406" s="159"/>
      <c r="C406" s="159"/>
      <c r="D406" s="159"/>
      <c r="E406" s="159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0.92730312499997014</v>
      </c>
      <c r="R406" s="40" t="s">
        <v>249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 x14ac:dyDescent="0.25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0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0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232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354</v>
      </c>
      <c r="S407" s="60"/>
    </row>
    <row r="408" spans="1:20" ht="15" customHeight="1" x14ac:dyDescent="0.25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/>
      <c r="H408" s="134" t="str">
        <f>IFERROR(IF($G408="","",$G408*$S$419/$G$419/Cadastro!$E$33),"")</f>
        <v/>
      </c>
      <c r="I408" s="135">
        <f>IFERROR(IF($D408="","",VLOOKUP($D408,Cadastro!$C$4:$G$7,5,FALSE)),"")</f>
        <v>0.6</v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 x14ac:dyDescent="0.25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/>
      <c r="H409" s="134" t="str">
        <f>IFERROR(IF($G409="","",$G409*$S$419/$G$419/Cadastro!$E$33),"")</f>
        <v/>
      </c>
      <c r="I409" s="135">
        <f>IFERROR(IF($D409="","",VLOOKUP($D409,Cadastro!$C$4:$G$7,5,FALSE)),"")</f>
        <v>0.6</v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 x14ac:dyDescent="0.25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/>
      <c r="H410" s="134" t="str">
        <f>IFERROR(IF($G410="","",$G410*$S$419/$G$419/Cadastro!$E$33),"")</f>
        <v/>
      </c>
      <c r="I410" s="135">
        <f>IFERROR(IF($D410="","",VLOOKUP($D410,Cadastro!$C$4:$G$7,5,FALSE)),"")</f>
        <v>0.6</v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 x14ac:dyDescent="0.25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/>
      <c r="H411" s="134" t="str">
        <f>IFERROR(IF($G411="","",$G411*$S$419/$G$419/Cadastro!$E$33),"")</f>
        <v/>
      </c>
      <c r="I411" s="135">
        <f>IFERROR(IF($D411="","",VLOOKUP($D411,Cadastro!$C$4:$G$7,5,FALSE)),"")</f>
        <v>0.6</v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 x14ac:dyDescent="0.25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/>
      <c r="H412" s="134" t="str">
        <f>IFERROR(IF($G412="","",$G412*$S$419/$G$419/Cadastro!$E$33),"")</f>
        <v/>
      </c>
      <c r="I412" s="135">
        <f>IFERROR(IF($D412="","",VLOOKUP($D412,Cadastro!$C$4:$G$7,5,FALSE)),"")</f>
        <v>0.6</v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 x14ac:dyDescent="0.25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/>
      <c r="H413" s="134" t="str">
        <f>IFERROR(IF($G413="","",$G413*$S$419/$G$419/Cadastro!$E$33),"")</f>
        <v/>
      </c>
      <c r="I413" s="135">
        <f>IFERROR(IF($D413="","",VLOOKUP($D413,Cadastro!$C$4:$G$7,5,FALSE)),"")</f>
        <v>0.6</v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 x14ac:dyDescent="0.25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/>
      <c r="H414" s="134" t="str">
        <f>IFERROR(IF($G414="","",$G414*$S$419/$G$419/Cadastro!$E$33),"")</f>
        <v/>
      </c>
      <c r="I414" s="135">
        <f>IFERROR(IF($D414="","",VLOOKUP($D414,Cadastro!$C$4:$G$7,5,FALSE)),"")</f>
        <v>0.6</v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 x14ac:dyDescent="0.25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/>
      <c r="H415" s="134" t="str">
        <f>IFERROR(IF($G415="","",$G415*$S$419/$G$419/Cadastro!$E$33),"")</f>
        <v/>
      </c>
      <c r="I415" s="135">
        <f>IFERROR(IF($D415="","",VLOOKUP($D415,Cadastro!$C$4:$G$7,5,FALSE)),"")</f>
        <v>0.6</v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 x14ac:dyDescent="0.25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/>
      <c r="H416" s="134" t="str">
        <f>IFERROR(IF($G416="","",$G416*$S$419/$G$419/Cadastro!$E$33),"")</f>
        <v/>
      </c>
      <c r="I416" s="135">
        <f>IFERROR(IF($D416="","",VLOOKUP($D416,Cadastro!$C$4:$G$7,5,FALSE)),"")</f>
        <v>0.6</v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 x14ac:dyDescent="0.25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/>
      <c r="H417" s="134" t="str">
        <f>IFERROR(IF($G417="","",$G417*$S$419/$G$419/Cadastro!$E$33),"")</f>
        <v/>
      </c>
      <c r="I417" s="135">
        <f>IFERROR(IF($D417="","",VLOOKUP($D417,Cadastro!$C$4:$G$7,5,FALSE)),"")</f>
        <v>0.6</v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 x14ac:dyDescent="0.3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/>
      <c r="H418" s="137" t="str">
        <f>IFERROR(IF($G418="","",$G418*$S$419/$G$419/Cadastro!$E$33),"")</f>
        <v/>
      </c>
      <c r="I418" s="138">
        <f>IFERROR(IF($D418="","",VLOOKUP($D418,Cadastro!$C$4:$G$7,5,FALSE)),"")</f>
        <v>0.6</v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 x14ac:dyDescent="0.3">
      <c r="A419" s="160" t="s">
        <v>244</v>
      </c>
      <c r="B419" s="161"/>
      <c r="C419" s="161"/>
      <c r="D419" s="161"/>
      <c r="E419" s="161">
        <f>SUM(E407:E418)</f>
        <v>0</v>
      </c>
      <c r="F419" s="110"/>
      <c r="G419" s="80">
        <f>SUM(G407:G418)</f>
        <v>10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42</v>
      </c>
      <c r="L419" s="37"/>
      <c r="M419" s="37"/>
      <c r="N419" s="37"/>
      <c r="O419" s="61"/>
      <c r="P419" s="61"/>
      <c r="Q419" s="38">
        <f ca="1">IFERROR(SUM(Q407:Q418),"")</f>
        <v>1.2500000000000011E-2</v>
      </c>
      <c r="R419" s="36" t="s">
        <v>245</v>
      </c>
      <c r="S419" s="39"/>
      <c r="T419" s="119">
        <f>IFERROR(J419,"")</f>
        <v>0</v>
      </c>
    </row>
    <row r="420" spans="1:20" ht="15" customHeight="1" x14ac:dyDescent="0.25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 x14ac:dyDescent="0.25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 x14ac:dyDescent="0.25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 x14ac:dyDescent="0.25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 x14ac:dyDescent="0.25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 x14ac:dyDescent="0.25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 x14ac:dyDescent="0.25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 x14ac:dyDescent="0.25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 x14ac:dyDescent="0.25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 x14ac:dyDescent="0.25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 x14ac:dyDescent="0.25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 x14ac:dyDescent="0.3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 x14ac:dyDescent="0.3">
      <c r="A432" s="160" t="s">
        <v>247</v>
      </c>
      <c r="B432" s="161"/>
      <c r="C432" s="161"/>
      <c r="D432" s="161"/>
      <c r="E432" s="161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1" ht="18" customHeight="1" x14ac:dyDescent="0.25">
      <c r="A433" s="158" t="s">
        <v>248</v>
      </c>
      <c r="B433" s="159"/>
      <c r="C433" s="159"/>
      <c r="D433" s="159"/>
      <c r="E433" s="159">
        <f>E419+E432</f>
        <v>0</v>
      </c>
      <c r="F433" s="112"/>
      <c r="G433" s="91">
        <f>G419+G432</f>
        <v>10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42</v>
      </c>
      <c r="L433" s="41"/>
      <c r="M433" s="41"/>
      <c r="N433" s="41"/>
      <c r="O433" s="63"/>
      <c r="P433" s="63"/>
      <c r="Q433" s="42">
        <f ca="1">IFERROR(Q419+Q432,"")</f>
        <v>1.2500000000000011E-2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1" ht="15" customHeight="1" x14ac:dyDescent="0.25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 x14ac:dyDescent="0.25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 x14ac:dyDescent="0.25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 x14ac:dyDescent="0.25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 x14ac:dyDescent="0.25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 x14ac:dyDescent="0.25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 x14ac:dyDescent="0.25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 x14ac:dyDescent="0.25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 x14ac:dyDescent="0.25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 x14ac:dyDescent="0.25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 x14ac:dyDescent="0.25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 x14ac:dyDescent="0.3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 x14ac:dyDescent="0.3">
      <c r="A446" s="160" t="s">
        <v>244</v>
      </c>
      <c r="B446" s="161"/>
      <c r="C446" s="161"/>
      <c r="D446" s="161"/>
      <c r="E446" s="161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 x14ac:dyDescent="0.25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 x14ac:dyDescent="0.25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 x14ac:dyDescent="0.25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 x14ac:dyDescent="0.25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 x14ac:dyDescent="0.25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 x14ac:dyDescent="0.25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 x14ac:dyDescent="0.25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 x14ac:dyDescent="0.25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 x14ac:dyDescent="0.25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 x14ac:dyDescent="0.25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 x14ac:dyDescent="0.25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 x14ac:dyDescent="0.3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 x14ac:dyDescent="0.3">
      <c r="A459" s="160" t="s">
        <v>247</v>
      </c>
      <c r="B459" s="161"/>
      <c r="C459" s="161"/>
      <c r="D459" s="161"/>
      <c r="E459" s="161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 x14ac:dyDescent="0.25">
      <c r="A460" s="158" t="s">
        <v>248</v>
      </c>
      <c r="B460" s="159"/>
      <c r="C460" s="159"/>
      <c r="D460" s="159"/>
      <c r="E460" s="159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 x14ac:dyDescent="0.25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 x14ac:dyDescent="0.25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 x14ac:dyDescent="0.25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 x14ac:dyDescent="0.25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 x14ac:dyDescent="0.25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 x14ac:dyDescent="0.25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 x14ac:dyDescent="0.25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 x14ac:dyDescent="0.25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 x14ac:dyDescent="0.25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 x14ac:dyDescent="0.25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 x14ac:dyDescent="0.25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 x14ac:dyDescent="0.3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 x14ac:dyDescent="0.3">
      <c r="A473" s="160" t="s">
        <v>244</v>
      </c>
      <c r="B473" s="161"/>
      <c r="C473" s="161"/>
      <c r="D473" s="161"/>
      <c r="E473" s="161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 x14ac:dyDescent="0.25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 x14ac:dyDescent="0.25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 x14ac:dyDescent="0.25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 x14ac:dyDescent="0.25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 x14ac:dyDescent="0.25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 x14ac:dyDescent="0.25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 x14ac:dyDescent="0.25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 x14ac:dyDescent="0.25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 x14ac:dyDescent="0.25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 x14ac:dyDescent="0.25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 x14ac:dyDescent="0.25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 x14ac:dyDescent="0.3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 x14ac:dyDescent="0.3">
      <c r="A486" s="160" t="s">
        <v>247</v>
      </c>
      <c r="B486" s="161"/>
      <c r="C486" s="161"/>
      <c r="D486" s="161"/>
      <c r="E486" s="161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 x14ac:dyDescent="0.25">
      <c r="A487" s="158" t="s">
        <v>248</v>
      </c>
      <c r="B487" s="159"/>
      <c r="C487" s="159"/>
      <c r="D487" s="159"/>
      <c r="E487" s="159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 x14ac:dyDescent="0.25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 x14ac:dyDescent="0.25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 x14ac:dyDescent="0.25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 x14ac:dyDescent="0.25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 x14ac:dyDescent="0.25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 x14ac:dyDescent="0.25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 x14ac:dyDescent="0.25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 x14ac:dyDescent="0.25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 x14ac:dyDescent="0.25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 x14ac:dyDescent="0.25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 x14ac:dyDescent="0.25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 x14ac:dyDescent="0.3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 x14ac:dyDescent="0.3">
      <c r="A500" s="160" t="s">
        <v>244</v>
      </c>
      <c r="B500" s="161"/>
      <c r="C500" s="161"/>
      <c r="D500" s="161"/>
      <c r="E500" s="16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 x14ac:dyDescent="0.25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 x14ac:dyDescent="0.25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 x14ac:dyDescent="0.25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 x14ac:dyDescent="0.25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 x14ac:dyDescent="0.25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 x14ac:dyDescent="0.25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 x14ac:dyDescent="0.25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 x14ac:dyDescent="0.25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 x14ac:dyDescent="0.25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 x14ac:dyDescent="0.25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 x14ac:dyDescent="0.25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 x14ac:dyDescent="0.3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 x14ac:dyDescent="0.3">
      <c r="A513" s="160" t="s">
        <v>247</v>
      </c>
      <c r="B513" s="161"/>
      <c r="C513" s="161"/>
      <c r="D513" s="161"/>
      <c r="E513" s="161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 x14ac:dyDescent="0.25">
      <c r="A514" s="158" t="s">
        <v>248</v>
      </c>
      <c r="B514" s="159"/>
      <c r="C514" s="159"/>
      <c r="D514" s="159"/>
      <c r="E514" s="159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 x14ac:dyDescent="0.25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 x14ac:dyDescent="0.25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 x14ac:dyDescent="0.25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 x14ac:dyDescent="0.25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 x14ac:dyDescent="0.25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 x14ac:dyDescent="0.25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 x14ac:dyDescent="0.25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 x14ac:dyDescent="0.25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 x14ac:dyDescent="0.25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 x14ac:dyDescent="0.25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 x14ac:dyDescent="0.25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 x14ac:dyDescent="0.3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 x14ac:dyDescent="0.3">
      <c r="A527" s="160" t="s">
        <v>244</v>
      </c>
      <c r="B527" s="161"/>
      <c r="C527" s="161"/>
      <c r="D527" s="161"/>
      <c r="E527" s="16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 x14ac:dyDescent="0.25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 x14ac:dyDescent="0.25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 x14ac:dyDescent="0.25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 x14ac:dyDescent="0.25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 x14ac:dyDescent="0.25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 x14ac:dyDescent="0.25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 x14ac:dyDescent="0.25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 x14ac:dyDescent="0.25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 x14ac:dyDescent="0.25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 x14ac:dyDescent="0.25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 x14ac:dyDescent="0.25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 x14ac:dyDescent="0.3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 x14ac:dyDescent="0.3">
      <c r="A540" s="160" t="s">
        <v>247</v>
      </c>
      <c r="B540" s="161"/>
      <c r="C540" s="161"/>
      <c r="D540" s="161"/>
      <c r="E540" s="16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 x14ac:dyDescent="0.25">
      <c r="A541" s="158" t="s">
        <v>248</v>
      </c>
      <c r="B541" s="159"/>
      <c r="C541" s="159"/>
      <c r="D541" s="159"/>
      <c r="E541" s="159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 x14ac:dyDescent="0.25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 x14ac:dyDescent="0.25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 x14ac:dyDescent="0.25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 x14ac:dyDescent="0.25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 x14ac:dyDescent="0.25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 x14ac:dyDescent="0.25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 x14ac:dyDescent="0.25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 x14ac:dyDescent="0.25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 x14ac:dyDescent="0.25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 x14ac:dyDescent="0.25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 x14ac:dyDescent="0.25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 x14ac:dyDescent="0.3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 x14ac:dyDescent="0.3">
      <c r="A554" s="160" t="s">
        <v>244</v>
      </c>
      <c r="B554" s="161"/>
      <c r="C554" s="161"/>
      <c r="D554" s="161"/>
      <c r="E554" s="16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 x14ac:dyDescent="0.25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 x14ac:dyDescent="0.25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 x14ac:dyDescent="0.25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 x14ac:dyDescent="0.25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 x14ac:dyDescent="0.25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 x14ac:dyDescent="0.25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 x14ac:dyDescent="0.25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 x14ac:dyDescent="0.25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 x14ac:dyDescent="0.25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 x14ac:dyDescent="0.25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 x14ac:dyDescent="0.25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 x14ac:dyDescent="0.3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 x14ac:dyDescent="0.3">
      <c r="A567" s="160" t="s">
        <v>247</v>
      </c>
      <c r="B567" s="161"/>
      <c r="C567" s="161"/>
      <c r="D567" s="161"/>
      <c r="E567" s="16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 x14ac:dyDescent="0.25">
      <c r="A568" s="158" t="s">
        <v>248</v>
      </c>
      <c r="B568" s="159"/>
      <c r="C568" s="159"/>
      <c r="D568" s="159"/>
      <c r="E568" s="159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 x14ac:dyDescent="0.25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 x14ac:dyDescent="0.25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 x14ac:dyDescent="0.25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 x14ac:dyDescent="0.25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 x14ac:dyDescent="0.25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 x14ac:dyDescent="0.25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 x14ac:dyDescent="0.25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 x14ac:dyDescent="0.25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 x14ac:dyDescent="0.25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 x14ac:dyDescent="0.25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 x14ac:dyDescent="0.25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 x14ac:dyDescent="0.3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 x14ac:dyDescent="0.3">
      <c r="A581" s="160" t="s">
        <v>244</v>
      </c>
      <c r="B581" s="161"/>
      <c r="C581" s="161"/>
      <c r="D581" s="161"/>
      <c r="E581" s="16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 x14ac:dyDescent="0.25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 x14ac:dyDescent="0.25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 x14ac:dyDescent="0.25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 x14ac:dyDescent="0.25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 x14ac:dyDescent="0.25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 x14ac:dyDescent="0.25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 x14ac:dyDescent="0.25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 x14ac:dyDescent="0.25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 x14ac:dyDescent="0.25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 x14ac:dyDescent="0.25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 x14ac:dyDescent="0.25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 x14ac:dyDescent="0.3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 x14ac:dyDescent="0.3">
      <c r="A594" s="160" t="s">
        <v>247</v>
      </c>
      <c r="B594" s="161"/>
      <c r="C594" s="161"/>
      <c r="D594" s="161"/>
      <c r="E594" s="16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 x14ac:dyDescent="0.25">
      <c r="A595" s="158" t="s">
        <v>248</v>
      </c>
      <c r="B595" s="159"/>
      <c r="C595" s="159"/>
      <c r="D595" s="159"/>
      <c r="E595" s="159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 x14ac:dyDescent="0.25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 x14ac:dyDescent="0.25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 x14ac:dyDescent="0.25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 x14ac:dyDescent="0.25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 x14ac:dyDescent="0.25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 x14ac:dyDescent="0.25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 x14ac:dyDescent="0.25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 x14ac:dyDescent="0.25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 x14ac:dyDescent="0.25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 x14ac:dyDescent="0.25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 x14ac:dyDescent="0.25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 x14ac:dyDescent="0.3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 x14ac:dyDescent="0.3">
      <c r="A608" s="160" t="s">
        <v>244</v>
      </c>
      <c r="B608" s="161"/>
      <c r="C608" s="161"/>
      <c r="D608" s="161"/>
      <c r="E608" s="16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 x14ac:dyDescent="0.25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 x14ac:dyDescent="0.25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 x14ac:dyDescent="0.25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 x14ac:dyDescent="0.25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 x14ac:dyDescent="0.25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 x14ac:dyDescent="0.25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 x14ac:dyDescent="0.25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 x14ac:dyDescent="0.25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 x14ac:dyDescent="0.25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 x14ac:dyDescent="0.25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 x14ac:dyDescent="0.25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 x14ac:dyDescent="0.3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 x14ac:dyDescent="0.3">
      <c r="A621" s="160" t="s">
        <v>247</v>
      </c>
      <c r="B621" s="161"/>
      <c r="C621" s="161"/>
      <c r="D621" s="161"/>
      <c r="E621" s="16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 x14ac:dyDescent="0.25">
      <c r="A622" s="158" t="s">
        <v>248</v>
      </c>
      <c r="B622" s="159"/>
      <c r="C622" s="159"/>
      <c r="D622" s="159"/>
      <c r="E622" s="159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 x14ac:dyDescent="0.25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 x14ac:dyDescent="0.25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 x14ac:dyDescent="0.25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 x14ac:dyDescent="0.25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 x14ac:dyDescent="0.25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 x14ac:dyDescent="0.25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 x14ac:dyDescent="0.25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 x14ac:dyDescent="0.25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 x14ac:dyDescent="0.25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 x14ac:dyDescent="0.25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 x14ac:dyDescent="0.25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 x14ac:dyDescent="0.3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 x14ac:dyDescent="0.3">
      <c r="A635" s="160" t="s">
        <v>244</v>
      </c>
      <c r="B635" s="161"/>
      <c r="C635" s="161"/>
      <c r="D635" s="161"/>
      <c r="E635" s="16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 x14ac:dyDescent="0.25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 x14ac:dyDescent="0.25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 x14ac:dyDescent="0.25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 x14ac:dyDescent="0.25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 x14ac:dyDescent="0.25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 x14ac:dyDescent="0.25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 x14ac:dyDescent="0.25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 x14ac:dyDescent="0.25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 x14ac:dyDescent="0.25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 x14ac:dyDescent="0.25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 x14ac:dyDescent="0.25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 x14ac:dyDescent="0.3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 x14ac:dyDescent="0.3">
      <c r="A648" s="160" t="s">
        <v>247</v>
      </c>
      <c r="B648" s="161"/>
      <c r="C648" s="161"/>
      <c r="D648" s="161"/>
      <c r="E648" s="16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 x14ac:dyDescent="0.25">
      <c r="A649" s="158" t="s">
        <v>248</v>
      </c>
      <c r="B649" s="159"/>
      <c r="C649" s="159"/>
      <c r="D649" s="159"/>
      <c r="E649" s="159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 x14ac:dyDescent="0.25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 x14ac:dyDescent="0.25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 x14ac:dyDescent="0.25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 x14ac:dyDescent="0.25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 x14ac:dyDescent="0.25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 x14ac:dyDescent="0.25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 x14ac:dyDescent="0.25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 x14ac:dyDescent="0.25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 x14ac:dyDescent="0.25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 x14ac:dyDescent="0.25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 x14ac:dyDescent="0.25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 x14ac:dyDescent="0.3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 x14ac:dyDescent="0.3">
      <c r="A662" s="160" t="s">
        <v>244</v>
      </c>
      <c r="B662" s="161"/>
      <c r="C662" s="161"/>
      <c r="D662" s="161"/>
      <c r="E662" s="16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 x14ac:dyDescent="0.25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 x14ac:dyDescent="0.25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 x14ac:dyDescent="0.25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 x14ac:dyDescent="0.25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 x14ac:dyDescent="0.25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 x14ac:dyDescent="0.25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 x14ac:dyDescent="0.25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 x14ac:dyDescent="0.25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 x14ac:dyDescent="0.25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 x14ac:dyDescent="0.25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 x14ac:dyDescent="0.25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 x14ac:dyDescent="0.3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 x14ac:dyDescent="0.3">
      <c r="A675" s="160" t="s">
        <v>247</v>
      </c>
      <c r="B675" s="161"/>
      <c r="C675" s="161"/>
      <c r="D675" s="161"/>
      <c r="E675" s="16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 x14ac:dyDescent="0.25">
      <c r="A676" s="158" t="s">
        <v>248</v>
      </c>
      <c r="B676" s="159"/>
      <c r="C676" s="159"/>
      <c r="D676" s="159"/>
      <c r="E676" s="159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 x14ac:dyDescent="0.25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 x14ac:dyDescent="0.25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 x14ac:dyDescent="0.25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 x14ac:dyDescent="0.25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 x14ac:dyDescent="0.25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 x14ac:dyDescent="0.25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 x14ac:dyDescent="0.25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 x14ac:dyDescent="0.25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 x14ac:dyDescent="0.25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 x14ac:dyDescent="0.25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 x14ac:dyDescent="0.25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 x14ac:dyDescent="0.3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 x14ac:dyDescent="0.3">
      <c r="A689" s="160" t="s">
        <v>244</v>
      </c>
      <c r="B689" s="161"/>
      <c r="C689" s="161"/>
      <c r="D689" s="161"/>
      <c r="E689" s="16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 x14ac:dyDescent="0.25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 x14ac:dyDescent="0.25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 x14ac:dyDescent="0.25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 x14ac:dyDescent="0.25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 x14ac:dyDescent="0.25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 x14ac:dyDescent="0.25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 x14ac:dyDescent="0.25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 x14ac:dyDescent="0.25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 x14ac:dyDescent="0.25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 x14ac:dyDescent="0.25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 x14ac:dyDescent="0.25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 x14ac:dyDescent="0.3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 x14ac:dyDescent="0.3">
      <c r="A702" s="160" t="s">
        <v>247</v>
      </c>
      <c r="B702" s="161"/>
      <c r="C702" s="161"/>
      <c r="D702" s="161"/>
      <c r="E702" s="16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 x14ac:dyDescent="0.25">
      <c r="A703" s="158" t="s">
        <v>248</v>
      </c>
      <c r="B703" s="159"/>
      <c r="C703" s="159"/>
      <c r="D703" s="159"/>
      <c r="E703" s="159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 x14ac:dyDescent="0.25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 x14ac:dyDescent="0.25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 x14ac:dyDescent="0.25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 x14ac:dyDescent="0.25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 x14ac:dyDescent="0.25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 x14ac:dyDescent="0.25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 x14ac:dyDescent="0.25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 x14ac:dyDescent="0.25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 x14ac:dyDescent="0.25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 x14ac:dyDescent="0.25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 x14ac:dyDescent="0.25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 x14ac:dyDescent="0.3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 x14ac:dyDescent="0.3">
      <c r="A716" s="160" t="s">
        <v>244</v>
      </c>
      <c r="B716" s="161"/>
      <c r="C716" s="161"/>
      <c r="D716" s="161"/>
      <c r="E716" s="16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 x14ac:dyDescent="0.25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 x14ac:dyDescent="0.25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 x14ac:dyDescent="0.25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 x14ac:dyDescent="0.25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 x14ac:dyDescent="0.25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 x14ac:dyDescent="0.25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 x14ac:dyDescent="0.25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 x14ac:dyDescent="0.25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 x14ac:dyDescent="0.25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 x14ac:dyDescent="0.25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 x14ac:dyDescent="0.25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 x14ac:dyDescent="0.3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 x14ac:dyDescent="0.3">
      <c r="A729" s="160" t="s">
        <v>247</v>
      </c>
      <c r="B729" s="161"/>
      <c r="C729" s="161"/>
      <c r="D729" s="161"/>
      <c r="E729" s="16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 x14ac:dyDescent="0.25">
      <c r="A730" s="158" t="s">
        <v>248</v>
      </c>
      <c r="B730" s="159"/>
      <c r="C730" s="159"/>
      <c r="D730" s="159"/>
      <c r="E730" s="159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 x14ac:dyDescent="0.25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 x14ac:dyDescent="0.25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 x14ac:dyDescent="0.25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 x14ac:dyDescent="0.25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 x14ac:dyDescent="0.25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 x14ac:dyDescent="0.25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 x14ac:dyDescent="0.25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 x14ac:dyDescent="0.25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 x14ac:dyDescent="0.25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 x14ac:dyDescent="0.25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 x14ac:dyDescent="0.25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 x14ac:dyDescent="0.3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 x14ac:dyDescent="0.3">
      <c r="A743" s="160" t="s">
        <v>244</v>
      </c>
      <c r="B743" s="161"/>
      <c r="C743" s="161"/>
      <c r="D743" s="161"/>
      <c r="E743" s="16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 x14ac:dyDescent="0.25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 x14ac:dyDescent="0.25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 x14ac:dyDescent="0.25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 x14ac:dyDescent="0.25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 x14ac:dyDescent="0.25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 x14ac:dyDescent="0.25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 x14ac:dyDescent="0.25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 x14ac:dyDescent="0.25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 x14ac:dyDescent="0.25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 x14ac:dyDescent="0.25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 x14ac:dyDescent="0.25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 x14ac:dyDescent="0.3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 x14ac:dyDescent="0.3">
      <c r="A756" s="160" t="s">
        <v>247</v>
      </c>
      <c r="B756" s="161"/>
      <c r="C756" s="161"/>
      <c r="D756" s="161"/>
      <c r="E756" s="16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 x14ac:dyDescent="0.25">
      <c r="A757" s="158" t="s">
        <v>248</v>
      </c>
      <c r="B757" s="159"/>
      <c r="C757" s="159"/>
      <c r="D757" s="159"/>
      <c r="E757" s="159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 x14ac:dyDescent="0.25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 x14ac:dyDescent="0.25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 x14ac:dyDescent="0.25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 x14ac:dyDescent="0.25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 x14ac:dyDescent="0.25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 x14ac:dyDescent="0.25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 x14ac:dyDescent="0.25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 x14ac:dyDescent="0.25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 x14ac:dyDescent="0.25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 x14ac:dyDescent="0.25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 x14ac:dyDescent="0.25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 x14ac:dyDescent="0.3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 x14ac:dyDescent="0.3">
      <c r="A770" s="160" t="s">
        <v>244</v>
      </c>
      <c r="B770" s="161"/>
      <c r="C770" s="161"/>
      <c r="D770" s="161"/>
      <c r="E770" s="16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 x14ac:dyDescent="0.25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 x14ac:dyDescent="0.25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 x14ac:dyDescent="0.25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 x14ac:dyDescent="0.25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 x14ac:dyDescent="0.25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 x14ac:dyDescent="0.25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 x14ac:dyDescent="0.25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 x14ac:dyDescent="0.25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 x14ac:dyDescent="0.25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 x14ac:dyDescent="0.25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 x14ac:dyDescent="0.25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 x14ac:dyDescent="0.3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 x14ac:dyDescent="0.3">
      <c r="A783" s="160" t="s">
        <v>247</v>
      </c>
      <c r="B783" s="161"/>
      <c r="C783" s="161"/>
      <c r="D783" s="161"/>
      <c r="E783" s="16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 x14ac:dyDescent="0.25">
      <c r="A784" s="158" t="s">
        <v>248</v>
      </c>
      <c r="B784" s="159"/>
      <c r="C784" s="159"/>
      <c r="D784" s="159"/>
      <c r="E784" s="159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 x14ac:dyDescent="0.25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 x14ac:dyDescent="0.25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 x14ac:dyDescent="0.25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 x14ac:dyDescent="0.25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 x14ac:dyDescent="0.25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 x14ac:dyDescent="0.25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 x14ac:dyDescent="0.25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 x14ac:dyDescent="0.25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 x14ac:dyDescent="0.25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 x14ac:dyDescent="0.25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 x14ac:dyDescent="0.25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 x14ac:dyDescent="0.3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 x14ac:dyDescent="0.3">
      <c r="A797" s="160" t="s">
        <v>244</v>
      </c>
      <c r="B797" s="161"/>
      <c r="C797" s="161"/>
      <c r="D797" s="161"/>
      <c r="E797" s="16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 x14ac:dyDescent="0.25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 x14ac:dyDescent="0.25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 x14ac:dyDescent="0.25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 x14ac:dyDescent="0.25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 x14ac:dyDescent="0.25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 x14ac:dyDescent="0.25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 x14ac:dyDescent="0.25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 x14ac:dyDescent="0.25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 x14ac:dyDescent="0.25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 x14ac:dyDescent="0.25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 x14ac:dyDescent="0.25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 x14ac:dyDescent="0.3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 x14ac:dyDescent="0.3">
      <c r="A810" s="160" t="s">
        <v>247</v>
      </c>
      <c r="B810" s="161"/>
      <c r="C810" s="161"/>
      <c r="D810" s="161"/>
      <c r="E810" s="16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 x14ac:dyDescent="0.25">
      <c r="A811" s="158" t="s">
        <v>248</v>
      </c>
      <c r="B811" s="159"/>
      <c r="C811" s="159"/>
      <c r="D811" s="159"/>
      <c r="E811" s="159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 x14ac:dyDescent="0.25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 x14ac:dyDescent="0.25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 x14ac:dyDescent="0.25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 x14ac:dyDescent="0.25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 x14ac:dyDescent="0.25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 x14ac:dyDescent="0.25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 x14ac:dyDescent="0.25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 x14ac:dyDescent="0.25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 x14ac:dyDescent="0.25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 x14ac:dyDescent="0.25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 x14ac:dyDescent="0.25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 x14ac:dyDescent="0.3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 x14ac:dyDescent="0.3">
      <c r="A824" s="160" t="s">
        <v>244</v>
      </c>
      <c r="B824" s="161"/>
      <c r="C824" s="161"/>
      <c r="D824" s="161"/>
      <c r="E824" s="16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 x14ac:dyDescent="0.25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 x14ac:dyDescent="0.25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 x14ac:dyDescent="0.25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 x14ac:dyDescent="0.25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 x14ac:dyDescent="0.25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 x14ac:dyDescent="0.25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 x14ac:dyDescent="0.25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 x14ac:dyDescent="0.25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 x14ac:dyDescent="0.25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 x14ac:dyDescent="0.25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 x14ac:dyDescent="0.25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 x14ac:dyDescent="0.3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 x14ac:dyDescent="0.3">
      <c r="A837" s="160" t="s">
        <v>247</v>
      </c>
      <c r="B837" s="161"/>
      <c r="C837" s="161"/>
      <c r="D837" s="161"/>
      <c r="E837" s="16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 x14ac:dyDescent="0.25">
      <c r="A838" s="158" t="s">
        <v>248</v>
      </c>
      <c r="B838" s="159"/>
      <c r="C838" s="159"/>
      <c r="D838" s="159"/>
      <c r="E838" s="159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bvw+RGYaUQuFq9Nz3KeyxCGoE7oj3kds1lTfP/UkR9+s3IwCE9QDw5zVVtvRw8iwUwoh3tcyVO+EuOGXUPyC4A==" saltValue="MBjXyA7K/JEGpLssZ3ih0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0A38338-7112-4F45-BCE1-49C5EC8DDAF1}">
  <ds:schemaRefs>
    <ds:schemaRef ds:uri="http://purl.org/dc/dcmitype/"/>
    <ds:schemaRef ds:uri="http://schemas.microsoft.com/office/2006/metadata/properties"/>
    <ds:schemaRef ds:uri="http://schemas.openxmlformats.org/package/2006/metadata/core-properties"/>
    <ds:schemaRef ds:uri="http://www.w3.org/XML/1998/namespace"/>
    <ds:schemaRef ds:uri="http://purl.org/dc/elements/1.1/"/>
    <ds:schemaRef ds:uri="771c9ca5-affe-4166-ad8c-7e4536f98f4b"/>
    <ds:schemaRef ds:uri="http://schemas.microsoft.com/office/2006/documentManagement/types"/>
    <ds:schemaRef ds:uri="http://purl.org/dc/terms/"/>
    <ds:schemaRef ds:uri="http://schemas.microsoft.com/office/infopath/2007/PartnerControls"/>
    <ds:schemaRef ds:uri="96dcb152-1051-46f1-b38f-17beadf9ed92"/>
  </ds:schemaRefs>
</ds:datastoreItem>
</file>

<file path=customXml/itemProps3.xml><?xml version="1.0" encoding="utf-8"?>
<ds:datastoreItem xmlns:ds="http://schemas.openxmlformats.org/officeDocument/2006/customXml" ds:itemID="{2878EAE7-5404-4D83-90A8-98DF7BC2EF4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12</vt:i4>
      </vt:variant>
      <vt:variant>
        <vt:lpstr>Intervalos Nomeados</vt:lpstr>
      </vt:variant>
      <vt:variant>
        <vt:i4>6</vt:i4>
      </vt:variant>
    </vt:vector>
  </HeadingPairs>
  <TitlesOfParts>
    <vt:vector size="18" baseType="lpstr">
      <vt:lpstr>Resumo</vt:lpstr>
      <vt:lpstr>Cadastro</vt:lpstr>
      <vt:lpstr>Britador</vt:lpstr>
      <vt:lpstr>Linha 1</vt:lpstr>
      <vt:lpstr>Planilha6</vt:lpstr>
      <vt:lpstr>Planilha5</vt:lpstr>
      <vt:lpstr>Planilha4</vt:lpstr>
      <vt:lpstr>Planilha3</vt:lpstr>
      <vt:lpstr>Planilha2</vt:lpstr>
      <vt:lpstr>Planilha1</vt:lpstr>
      <vt:lpstr>Linha 2</vt:lpstr>
      <vt:lpstr>Linha 3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2026-08-16T14:21:00Z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