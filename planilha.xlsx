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915" documentId="8_{AF585B22-221D-4780-BB9C-493D365A6A02}" xr6:coauthVersionLast="47" xr6:coauthVersionMax="47" xr10:uidLastSave="{8A602D57-AECE-49CC-B629-D00DD8348B23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I680" i="4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<sst xmlns="http://schemas.openxmlformats.org/spreadsheetml/2006/main" count="10319" uniqueCount="394">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</sst>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0" sqref="G3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76555748</v>
      </c>
      <c r="D35" s="13">
        <f>IFERROR(SUM(D4:D34),"")</f>
        <v>30759010</v>
      </c>
      <c r="E35" s="13">
        <f>IFERROR(SUM(E4:E34),"")</f>
        <v>17834230</v>
      </c>
      <c r="F35" s="13">
        <f>IFERROR(SUM(F4:F34),"")</f>
        <v>31529630</v>
      </c>
      <c r="G35" s="13">
        <f>IFERROR(SUM(G4:G34),"")</f>
        <v>80122870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71" activePane="bottomLeft" state="frozen"/>
      <selection pane="bottomLeft" activeCell="G683" sqref="G68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230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233</v>
      </c>
      <c r="O675" s="39">
        <v>471180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236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230</v>
      </c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230</v>
      </c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230</v>
      </c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230</v>
      </c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230</v>
      </c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230</v>
      </c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230</v>
      </c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230</v>
      </c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230</v>
      </c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230</v>
      </c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230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230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659" activePane="bottomLeft" state="frozen"/>
      <selection pane="bottomLeft" activeCell="I677" sqref="I67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7.285156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265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266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267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268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269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270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271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272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273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274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276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280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281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283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278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286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287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289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293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294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0.11785717592283618</v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0.27549606481172506</v>
      </c>
      <c r="N378" s="36" t="s">
        <v>233</v>
      </c>
      <c r="O378" s="77">
        <v>511980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0.38521828703394723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278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295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296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9.6329398147645406E-2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0.2671627314809788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0.41230162036986767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299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300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301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302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303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304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305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306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307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308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309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310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311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314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315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/>
      <c r="M655" s="35">
        <f t="shared" ca="1" si="145"/>
        <v>0.62619050926150521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0.75882939815039419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233</v>
      </c>
      <c r="O675" s="77">
        <v>681950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0.8706349537059499</v>
      </c>
      <c r="N676" s="40" t="s">
        <v>236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19</v>
      </c>
      <c r="I677" s="33" t="s">
        <v>135</v>
      </c>
      <c r="J677" s="33"/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/>
      <c r="G678" s="28" t="str">
        <f t="shared" si="150"/>
        <v/>
      </c>
      <c r="H678" s="26" t="s">
        <v>19</v>
      </c>
      <c r="I678" s="26" t="s">
        <v>156</v>
      </c>
      <c r="J678" s="26" t="s">
        <v>27</v>
      </c>
      <c r="K678" s="29">
        <v>0.34930555555555554</v>
      </c>
      <c r="L678" s="29"/>
      <c r="M678" s="35">
        <f t="shared" ca="1" si="151"/>
        <v>8.1349536994821392E-3</v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3"/>
      <c r="F680" s="104"/>
      <c r="G680" s="104"/>
      <c r="H680" s="104"/>
      <c r="I680" s="105">
        <f>SUM(I668:I679)</f>
        <v>0</v>
      </c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/>
      <c r="B689" s="104"/>
      <c r="C689" s="104"/>
      <c r="D689" s="104"/>
      <c r="E689" s="105">
        <f>SUM(E677:E688)</f>
        <v>0</v>
      </c>
      <c r="F689" s="36">
        <f>SUM(F677:F688)</f>
        <v>18</v>
      </c>
      <c r="G689" s="36">
        <f>SUM(G677:G688)</f>
        <v>75.600000000000009</v>
      </c>
      <c r="H689" s="37"/>
      <c r="I689" s="37"/>
      <c r="J689" s="37"/>
      <c r="K689" s="37"/>
      <c r="L689" s="37"/>
      <c r="M689" s="38">
        <f ca="1">IFERROR(SUM(M677:M688),"")</f>
        <v>4.4246064810593233E-2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18</v>
      </c>
      <c r="G703" s="40">
        <f>G689+G702</f>
        <v>75.600000000000009</v>
      </c>
      <c r="H703" s="41"/>
      <c r="I703" s="41"/>
      <c r="J703" s="41"/>
      <c r="K703" s="41"/>
      <c r="L703" s="41"/>
      <c r="M703" s="42">
        <f ca="1">IFERROR(M689+M702,"")</f>
        <v>4.4246064810593233E-2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6">
    <mergeCell ref="E680:I680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679 I680 E681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G680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H680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I2:I679 I681:I900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H407:H679 H681:H900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55" zoomScale="50" zoomScaleNormal="50" workbookViewId="0">
      <selection activeCell="E688" sqref="E68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316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318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300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319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277</v>
      </c>
      <c r="K141" s="29">
        <v>0.71597222222222223</v>
      </c>
      <c r="L141" s="29" t="s">
        <v>321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323</v>
      </c>
      <c r="N166" s="27" t="s">
        <v>324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325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326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327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329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331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333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335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336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337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338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340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341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343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343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345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233</v>
      </c>
      <c r="O675" s="39">
        <v>323580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236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14</v>
      </c>
      <c r="G689" s="36">
        <f>SUM(G677:G688)</f>
        <v>58.800000000000004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14</v>
      </c>
      <c r="G703" s="40">
        <f>G689+G702</f>
        <v>58.800000000000004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72" activePane="bottomLeft" state="frozen"/>
      <selection pane="bottomLeft" activeCell="F678" sqref="F67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346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300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347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348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349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350</v>
      </c>
      <c r="L58" s="29">
        <v>0.54097222222222219</v>
      </c>
      <c r="M58" s="30" t="str">
        <f t="shared" ca="1" si="13"/>
        <v/>
      </c>
      <c r="N58" s="27" t="s">
        <v>351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352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353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354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355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356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357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358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359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0.10813495370530291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275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0.30744050926085853</v>
      </c>
      <c r="N135" s="36" t="s">
        <v>233</v>
      </c>
      <c r="O135" s="39">
        <v>729290</v>
      </c>
    </row>
    <row r="136" spans="1:18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0.67480162037196956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360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362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363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364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365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366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367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369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370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371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272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300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232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373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375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362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376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377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378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379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380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355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355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381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382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383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384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385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386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387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388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389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390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391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392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159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393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233</v>
      </c>
      <c r="O675" s="39">
        <v>486620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236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22</v>
      </c>
      <c r="G689" s="36">
        <f>SUM(G677:G688)</f>
        <v>92.4</v>
      </c>
      <c r="H689" s="37"/>
      <c r="I689" s="37"/>
      <c r="J689" s="37"/>
      <c r="K689" s="61"/>
      <c r="L689" s="61"/>
      <c r="M689" s="38">
        <f ca="1">IFERROR(SUM(M677:M688),"")</f>
        <v>2.0833333333333259E-3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22</v>
      </c>
      <c r="G703" s="40">
        <f>G689+G702</f>
        <v>92.4</v>
      </c>
      <c r="H703" s="41"/>
      <c r="I703" s="41"/>
      <c r="J703" s="41"/>
      <c r="K703" s="63"/>
      <c r="L703" s="63"/>
      <c r="M703" s="42">
        <f ca="1">IFERROR(M689+M702,"")</f>
        <v>2.0833333333333259E-3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2026-07-26T12:35:04Z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