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917" documentId="8_{AF585B22-221D-4780-BB9C-493D365A6A02}" xr6:coauthVersionLast="47" xr6:coauthVersionMax="47" xr10:uidLastSave="{EADF98E1-CA19-495B-BA10-1E2E70686172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<sst xmlns="http://schemas.openxmlformats.org/spreadsheetml/2006/main" count="11770" uniqueCount="426">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</sst>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58" activePane="bottomLeft" state="frozen"/>
      <selection pane="bottomLeft" activeCell="H771" sqref="H77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234</v>
      </c>
      <c r="B230" s="107"/>
      <c r="C230" s="107"/>
      <c r="D230" s="107"/>
      <c r="E230" s="108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234</v>
      </c>
      <c r="B338" s="107"/>
      <c r="C338" s="107"/>
      <c r="D338" s="107"/>
      <c r="E338" s="108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234</v>
      </c>
      <c r="B365" s="107"/>
      <c r="C365" s="107"/>
      <c r="D365" s="107"/>
      <c r="E365" s="108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236</v>
      </c>
      <c r="B432" s="107"/>
      <c r="C432" s="107"/>
      <c r="D432" s="107"/>
      <c r="E432" s="108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3" t="s">
        <v>237</v>
      </c>
      <c r="B433" s="104"/>
      <c r="C433" s="104"/>
      <c r="D433" s="104"/>
      <c r="E433" s="105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236</v>
      </c>
      <c r="B513" s="107"/>
      <c r="C513" s="107"/>
      <c r="D513" s="107"/>
      <c r="E513" s="108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3" t="s">
        <v>237</v>
      </c>
      <c r="B514" s="104"/>
      <c r="C514" s="104"/>
      <c r="D514" s="104"/>
      <c r="E514" s="105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234</v>
      </c>
      <c r="B689" s="107"/>
      <c r="C689" s="107"/>
      <c r="D689" s="107"/>
      <c r="E689" s="108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28</v>
      </c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232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232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232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232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232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232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232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232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150</v>
      </c>
      <c r="G783" s="36">
        <f>SUM(G771:G782)</f>
        <v>750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500</v>
      </c>
      <c r="G784" s="40">
        <f>G770+G783</f>
        <v>2500</v>
      </c>
      <c r="H784" s="41"/>
      <c r="I784" s="41"/>
      <c r="J784" s="41"/>
      <c r="K784" s="41"/>
      <c r="L784" s="41"/>
      <c r="M784" s="42">
        <f ca="1">IFERROR(M770+M783,"")</f>
        <v>7.1527777777777746E-2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0" activePane="bottomLeft" state="frozen"/>
      <selection pane="bottomLeft" activeCell="F773" sqref="F77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234</v>
      </c>
      <c r="B338" s="107"/>
      <c r="C338" s="107"/>
      <c r="D338" s="107"/>
      <c r="E338" s="108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234</v>
      </c>
      <c r="B365" s="107"/>
      <c r="C365" s="107"/>
      <c r="D365" s="107"/>
      <c r="E365" s="108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0.83940821758733364</v>
      </c>
      <c r="N377" s="46"/>
      <c r="O377" s="47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0.99704710647622252</v>
      </c>
      <c r="N378" s="36" t="s">
        <v>235</v>
      </c>
      <c r="O378" s="77">
        <v>511980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1.1067693286984448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0.81788043981214287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0.98871377314547626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1.1338526620343652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234</v>
      </c>
      <c r="B662" s="107"/>
      <c r="C662" s="107"/>
      <c r="D662" s="107"/>
      <c r="E662" s="108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327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328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329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331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332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333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334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336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337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339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18</v>
      </c>
      <c r="G775" s="34">
        <f t="shared" si="171"/>
        <v>75.600000000000009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16</v>
      </c>
      <c r="G776" s="28">
        <f t="shared" si="171"/>
        <v>67.2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105</v>
      </c>
      <c r="G783" s="36">
        <f>SUM(G771:G782)</f>
        <v>449.8</v>
      </c>
      <c r="H783" s="37"/>
      <c r="I783" s="37"/>
      <c r="J783" s="37"/>
      <c r="K783" s="37"/>
      <c r="L783" s="37"/>
      <c r="M783" s="38">
        <f ca="1">IFERROR(SUM(M771:M782),"")</f>
        <v>5.0694444444444486E-2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239</v>
      </c>
      <c r="G784" s="40">
        <f>G770+G783</f>
        <v>1020.6000000000001</v>
      </c>
      <c r="H784" s="41"/>
      <c r="I784" s="41"/>
      <c r="J784" s="41"/>
      <c r="K784" s="41"/>
      <c r="L784" s="41"/>
      <c r="M784" s="42">
        <f ca="1">IFERROR(M770+M783,"")</f>
        <v>0.14583333333333331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3" t="s">
        <v>237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F777" sqref="F7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287</v>
      </c>
      <c r="K141" s="29">
        <v>0.71597222222222223</v>
      </c>
      <c r="L141" s="29" t="s">
        <v>345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347</v>
      </c>
      <c r="N166" s="27" t="s">
        <v>348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234</v>
      </c>
      <c r="B230" s="107"/>
      <c r="C230" s="107"/>
      <c r="D230" s="107"/>
      <c r="E230" s="108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234</v>
      </c>
      <c r="B338" s="107"/>
      <c r="C338" s="107"/>
      <c r="D338" s="107"/>
      <c r="E338" s="108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234</v>
      </c>
      <c r="B365" s="107"/>
      <c r="C365" s="107"/>
      <c r="D365" s="107"/>
      <c r="E365" s="108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236</v>
      </c>
      <c r="B432" s="107"/>
      <c r="C432" s="107"/>
      <c r="D432" s="107"/>
      <c r="E432" s="108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3" t="s">
        <v>237</v>
      </c>
      <c r="B433" s="104"/>
      <c r="C433" s="104"/>
      <c r="D433" s="104"/>
      <c r="E433" s="105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236</v>
      </c>
      <c r="B513" s="107"/>
      <c r="C513" s="107"/>
      <c r="D513" s="107"/>
      <c r="E513" s="108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3" t="s">
        <v>237</v>
      </c>
      <c r="B514" s="104"/>
      <c r="C514" s="104"/>
      <c r="D514" s="104"/>
      <c r="E514" s="105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234</v>
      </c>
      <c r="B662" s="107"/>
      <c r="C662" s="107"/>
      <c r="D662" s="107"/>
      <c r="E662" s="108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234</v>
      </c>
      <c r="B689" s="107"/>
      <c r="C689" s="107"/>
      <c r="D689" s="107"/>
      <c r="E689" s="108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324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324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4</v>
      </c>
      <c r="G775" s="34">
        <f t="shared" si="171"/>
        <v>16.8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2</v>
      </c>
      <c r="G776" s="28">
        <f t="shared" si="171"/>
        <v>8.4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31</v>
      </c>
      <c r="G783" s="36">
        <f>SUM(G771:G782)</f>
        <v>134.19999999999999</v>
      </c>
      <c r="H783" s="37"/>
      <c r="I783" s="37"/>
      <c r="J783" s="37"/>
      <c r="K783" s="37"/>
      <c r="L783" s="37"/>
      <c r="M783" s="38">
        <f ca="1">IFERROR(SUM(M771:M782),"")</f>
        <v>5.9027777777777901E-2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72</v>
      </c>
      <c r="G784" s="40">
        <f>G770+G783</f>
        <v>310.39999999999998</v>
      </c>
      <c r="H784" s="41"/>
      <c r="I784" s="41"/>
      <c r="J784" s="41"/>
      <c r="K784" s="41"/>
      <c r="L784" s="41"/>
      <c r="M784" s="42">
        <f ca="1">IFERROR(M770+M783,"")</f>
        <v>0.17291666666666683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3" t="s">
        <v>237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64" activePane="bottomLeft" state="frozen"/>
      <selection pane="bottomLeft" activeCell="G778" sqref="G77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377</v>
      </c>
      <c r="L58" s="29">
        <v>0.54097222222222219</v>
      </c>
      <c r="M58" s="30" t="str">
        <f t="shared" ca="1" si="13"/>
        <v/>
      </c>
      <c r="N58" s="27" t="s">
        <v>378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0.82968599536980037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1.028991550925356</v>
      </c>
      <c r="N135" s="36" t="s">
        <v>235</v>
      </c>
      <c r="O135" s="39">
        <v>729290</v>
      </c>
    </row>
    <row r="136" spans="1:18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1.396352662036467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234</v>
      </c>
      <c r="B230" s="107"/>
      <c r="C230" s="107"/>
      <c r="D230" s="107"/>
      <c r="E230" s="108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234</v>
      </c>
      <c r="B338" s="107"/>
      <c r="C338" s="107"/>
      <c r="D338" s="107"/>
      <c r="E338" s="108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236</v>
      </c>
      <c r="B432" s="107"/>
      <c r="C432" s="107"/>
      <c r="D432" s="107"/>
      <c r="E432" s="108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3" t="s">
        <v>237</v>
      </c>
      <c r="B433" s="104"/>
      <c r="C433" s="104"/>
      <c r="D433" s="104"/>
      <c r="E433" s="105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236</v>
      </c>
      <c r="B513" s="107"/>
      <c r="C513" s="107"/>
      <c r="D513" s="107"/>
      <c r="E513" s="108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3" t="s">
        <v>237</v>
      </c>
      <c r="B514" s="104"/>
      <c r="C514" s="104"/>
      <c r="D514" s="104"/>
      <c r="E514" s="105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234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234</v>
      </c>
      <c r="B689" s="107"/>
      <c r="C689" s="107"/>
      <c r="D689" s="107"/>
      <c r="E689" s="108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282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324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339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422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25</v>
      </c>
      <c r="G773" s="34">
        <f t="shared" si="171"/>
        <v>105</v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24</v>
      </c>
      <c r="G774" s="28">
        <f t="shared" si="171"/>
        <v>100.80000000000001</v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112</v>
      </c>
      <c r="G783" s="36">
        <f>SUM(G771:G782)</f>
        <v>480</v>
      </c>
      <c r="H783" s="37"/>
      <c r="I783" s="37"/>
      <c r="J783" s="37"/>
      <c r="K783" s="61"/>
      <c r="L783" s="61"/>
      <c r="M783" s="38">
        <f ca="1">IFERROR(SUM(M771:M782),"")</f>
        <v>3.6111111111111219E-2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120</v>
      </c>
      <c r="G784" s="40">
        <f>G770+G783</f>
        <v>513.6</v>
      </c>
      <c r="H784" s="41"/>
      <c r="I784" s="41"/>
      <c r="J784" s="41"/>
      <c r="K784" s="63"/>
      <c r="L784" s="63"/>
      <c r="M784" s="42">
        <f ca="1">IFERROR(M770+M783,"")</f>
        <v>0.50000000000000011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3" t="s">
        <v>237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2026-07-30T05:53:54Z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