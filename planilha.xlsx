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575" documentId="8_{AF585B22-221D-4780-BB9C-493D365A6A02}" xr6:coauthVersionLast="47" xr6:coauthVersionMax="47" xr10:uidLastSave="{6B85D09D-127F-4039-8A8A-E7343A32A553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<sst xmlns="http://schemas.openxmlformats.org/spreadsheetml/2006/main" count="7496" uniqueCount="349">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</sst>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52240442</v>
      </c>
      <c r="D35" s="13">
        <f>IFERROR(SUM(D4:D34),"")</f>
        <v>19245750</v>
      </c>
      <c r="E35" s="13">
        <f>IFERROR(SUM(E4:E34),"")</f>
        <v>12246740</v>
      </c>
      <c r="F35" s="13">
        <f>IFERROR(SUM(F4:F34),"")</f>
        <v>23531460</v>
      </c>
      <c r="G35" s="13">
        <f>IFERROR(SUM(G4:G34),"")</f>
        <v>55023950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8" zoomScale="85" zoomScaleNormal="85" workbookViewId="0">
      <selection activeCell="K72" sqref="K72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/>
    </row>
    <row r="56" spans="1:13" ht="15" customHeight="1">
      <c r="H56" s="109"/>
      <c r="I56" s="16"/>
      <c r="J56" s="16"/>
      <c r="K56" s="16" t="s">
        <v>201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202</v>
      </c>
      <c r="L58" s="16"/>
      <c r="M58" s="16"/>
    </row>
    <row r="59" spans="1:13" ht="15" customHeight="1">
      <c r="H59" s="109"/>
      <c r="I59" s="17"/>
      <c r="J59" s="17"/>
      <c r="K59" s="17" t="s">
        <v>203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204</v>
      </c>
      <c r="L61" s="17"/>
      <c r="M61" s="17"/>
    </row>
    <row r="62" spans="1:13" ht="15" customHeight="1">
      <c r="H62" s="109"/>
      <c r="I62" s="16"/>
      <c r="J62" s="16"/>
      <c r="K62" s="16" t="s">
        <v>205</v>
      </c>
      <c r="L62" s="16"/>
      <c r="M62" s="16"/>
    </row>
    <row r="63" spans="1:13" ht="15" customHeight="1">
      <c r="H63" s="109"/>
      <c r="I63" s="17"/>
      <c r="J63" s="17"/>
      <c r="K63" s="17" t="s">
        <v>206</v>
      </c>
      <c r="L63" s="17"/>
      <c r="M63" s="17"/>
    </row>
    <row r="64" spans="1:13" ht="15" customHeight="1">
      <c r="H64" s="109"/>
      <c r="I64" s="16"/>
      <c r="J64" s="16"/>
      <c r="K64" s="16" t="s">
        <v>207</v>
      </c>
      <c r="L64" s="16"/>
      <c r="M64" s="16"/>
    </row>
    <row r="65" spans="8:13" ht="15" customHeight="1">
      <c r="H65" s="109"/>
      <c r="I65" s="17"/>
      <c r="J65" s="17"/>
      <c r="K65" s="17" t="s">
        <v>208</v>
      </c>
      <c r="L65" s="17"/>
      <c r="M65" s="17"/>
    </row>
    <row r="66" spans="8:13" ht="15" customHeight="1">
      <c r="H66" s="109"/>
      <c r="I66" s="16"/>
      <c r="J66" s="16"/>
      <c r="K66" s="16" t="s">
        <v>209</v>
      </c>
      <c r="L66" s="16"/>
      <c r="M66" s="16"/>
    </row>
    <row r="67" spans="8:13" ht="15" customHeight="1">
      <c r="H67" s="109"/>
      <c r="I67" s="17"/>
      <c r="J67" s="17"/>
      <c r="K67" s="17" t="s">
        <v>210</v>
      </c>
      <c r="L67" s="17"/>
      <c r="M67" s="17"/>
    </row>
    <row r="68" spans="8:13" ht="15" customHeight="1">
      <c r="H68" s="109"/>
      <c r="I68" s="16"/>
      <c r="J68" s="16"/>
      <c r="K68" s="16" t="s">
        <v>211</v>
      </c>
      <c r="L68" s="16"/>
      <c r="M68" s="16"/>
    </row>
    <row r="69" spans="8:13" ht="15" customHeight="1">
      <c r="H69" s="109"/>
      <c r="I69" s="17"/>
      <c r="J69" s="17"/>
      <c r="K69" s="17" t="s">
        <v>212</v>
      </c>
      <c r="L69" s="17"/>
      <c r="M69" s="17"/>
    </row>
    <row r="70" spans="8:13" ht="15" customHeight="1">
      <c r="H70" s="109"/>
      <c r="I70" s="16"/>
      <c r="J70" s="16"/>
      <c r="K70" s="16" t="s">
        <v>213</v>
      </c>
      <c r="L70" s="16"/>
      <c r="M70" s="16"/>
    </row>
    <row r="71" spans="8:13" ht="15" customHeight="1">
      <c r="H71" s="109"/>
      <c r="I71" s="17"/>
      <c r="J71" s="17"/>
      <c r="K71" s="17" t="s">
        <v>214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48" activePane="bottomLeft" state="frozen"/>
      <selection pane="bottomLeft" activeCell="E464" sqref="E46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225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>
        <v>1183060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229</v>
      </c>
      <c r="O54" s="39">
        <v>959290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229</v>
      </c>
      <c r="O81" s="39">
        <v>878050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>
        <v>1700000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229</v>
      </c>
      <c r="O135" s="39">
        <v>862330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229</v>
      </c>
      <c r="O162" s="44">
        <v>1546080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>
        <v>2355810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229</v>
      </c>
      <c r="O216" s="45">
        <v>2013260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229</v>
      </c>
      <c r="O243" s="39">
        <v>1545480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>
        <v>1182690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240</v>
      </c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229</v>
      </c>
      <c r="O297" s="39">
        <v>1843460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>
        <v>1940000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229</v>
      </c>
      <c r="O351" s="39">
        <v>701874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229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226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226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226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226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226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226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226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226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226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226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226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226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229</v>
      </c>
      <c r="O378" s="39">
        <v>1088710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232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226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226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246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226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247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226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226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226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226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226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226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226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226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226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229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226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226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248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226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226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226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226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226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226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226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226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226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229</v>
      </c>
      <c r="O405" s="39">
        <v>1202270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232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226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249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226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226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250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226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226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226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226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226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251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226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251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226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226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229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226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226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226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226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226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226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226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226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226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226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226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226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>
        <v>1801910</v>
      </c>
    </row>
    <row r="433" spans="1:15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232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226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252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226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226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226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226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226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226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226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226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226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226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226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229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253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213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253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253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253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253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253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253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253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253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253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253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253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229</v>
      </c>
      <c r="O459" s="39">
        <v>2675000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232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226</v>
      </c>
      <c r="F466" s="27">
        <v>40</v>
      </c>
      <c r="G466" s="28">
        <f t="shared" si="102"/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44</v>
      </c>
      <c r="G487" s="40">
        <f>G473+G486</f>
        <v>220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59" t="s">
        <v>226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445" activePane="bottomLeft" state="frozen"/>
      <selection pane="bottomLeft" activeCell="N465" sqref="N46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229</v>
      </c>
      <c r="O27" s="78">
        <v>393200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253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229</v>
      </c>
      <c r="O54" s="85">
        <v>276360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229</v>
      </c>
      <c r="O81" s="54">
        <v>787860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229</v>
      </c>
      <c r="O108" s="54">
        <v>1087080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229</v>
      </c>
      <c r="O135" s="54">
        <v>794480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229</v>
      </c>
      <c r="O162" s="54">
        <v>882280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229</v>
      </c>
      <c r="O189" s="78"/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229</v>
      </c>
      <c r="O216" s="78">
        <v>648410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229</v>
      </c>
      <c r="O243" s="78">
        <v>849060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229</v>
      </c>
      <c r="O270" s="78">
        <v>625070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229</v>
      </c>
      <c r="O297" s="78">
        <v>761660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229</v>
      </c>
      <c r="O324" s="78">
        <v>524410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253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253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253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253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253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253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253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253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253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253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253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283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284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229</v>
      </c>
      <c r="O351" s="78">
        <v>598420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253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229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253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253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253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0.36352743055613246</v>
      </c>
      <c r="N377" s="46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0.52116631944502134</v>
      </c>
      <c r="N378" s="36" t="s">
        <v>229</v>
      </c>
      <c r="O378" s="78">
        <v>511980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0.63088854166724351</v>
      </c>
      <c r="N379" s="40" t="s">
        <v>232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253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253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253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253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268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253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285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253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253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253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253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229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253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286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244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229</v>
      </c>
      <c r="O405" s="78">
        <v>552440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232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253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253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253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253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253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253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253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226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253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253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229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253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287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0.34199965278094169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230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0.51283298611427508</v>
      </c>
      <c r="N432" s="36" t="s">
        <v>229</v>
      </c>
      <c r="O432" s="78">
        <v>484540</v>
      </c>
    </row>
    <row r="433" spans="1:15" ht="18" customHeight="1">
      <c r="A433" s="94" t="s">
        <v>231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0.65797187500316401</v>
      </c>
      <c r="N433" s="40" t="s">
        <v>232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288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289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229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290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226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229</v>
      </c>
      <c r="O459" s="78">
        <v>631190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232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226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291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226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226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0.51041666666666663</v>
      </c>
      <c r="M464" s="30">
        <f t="shared" ca="1" si="103"/>
        <v>0.9722222222222221</v>
      </c>
      <c r="N464" s="46" t="s">
        <v>292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226</v>
      </c>
      <c r="F465" s="27">
        <v>8</v>
      </c>
      <c r="G465" s="34">
        <f t="shared" si="102"/>
        <v>40</v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226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226</v>
      </c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226</v>
      </c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226</v>
      </c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226</v>
      </c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226</v>
      </c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226</v>
      </c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75</v>
      </c>
      <c r="G473" s="36">
        <f>SUM(G461:G472)</f>
        <v>375</v>
      </c>
      <c r="H473" s="37"/>
      <c r="I473" s="37"/>
      <c r="J473" s="37"/>
      <c r="K473" s="37"/>
      <c r="L473" s="37"/>
      <c r="M473" s="38">
        <f ca="1">IFERROR(SUM(M461:M472),"")</f>
        <v>1.0159722222222221</v>
      </c>
      <c r="N473" s="36" t="s">
        <v>229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8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75</v>
      </c>
      <c r="G487" s="40">
        <f>G473+G486</f>
        <v>375</v>
      </c>
      <c r="H487" s="41"/>
      <c r="I487" s="41"/>
      <c r="J487" s="41"/>
      <c r="K487" s="41"/>
      <c r="L487" s="41"/>
      <c r="M487" s="42">
        <f ca="1">IFERROR(M473+M486,"")</f>
        <v>1.0159722222222221</v>
      </c>
      <c r="N487" s="40" t="s">
        <v>232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8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8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8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8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8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8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8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8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8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44" zoomScale="50" zoomScaleNormal="50" workbookViewId="0">
      <selection activeCell="I463" sqref="I46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229</v>
      </c>
      <c r="O27" s="39">
        <v>308500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229</v>
      </c>
      <c r="O54" s="39">
        <v>124290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229</v>
      </c>
      <c r="O81" s="39">
        <v>396340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229</v>
      </c>
      <c r="O108" s="39">
        <v>41230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229</v>
      </c>
      <c r="O135" s="39">
        <v>381250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298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267</v>
      </c>
      <c r="K141" s="29">
        <v>0.71597222222222223</v>
      </c>
      <c r="L141" s="29" t="s">
        <v>299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229</v>
      </c>
      <c r="O162" s="39">
        <v>337120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301</v>
      </c>
      <c r="N166" s="27" t="s">
        <v>302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229</v>
      </c>
      <c r="O189" s="39">
        <v>747210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303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229</v>
      </c>
      <c r="O216" s="39">
        <v>468430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229</v>
      </c>
      <c r="O243" s="39">
        <v>575930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304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305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229</v>
      </c>
      <c r="O270" s="39">
        <v>483510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307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229</v>
      </c>
      <c r="O297" s="39">
        <v>487980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309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310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229</v>
      </c>
      <c r="O324" s="39">
        <v>609460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253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311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253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253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253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253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298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253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253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253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253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253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229</v>
      </c>
      <c r="O351" s="39">
        <v>437940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253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253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229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253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253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253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253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253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253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229</v>
      </c>
      <c r="O378" s="39">
        <v>473310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232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253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253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253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253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253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253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253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253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253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229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229</v>
      </c>
      <c r="O405" s="39">
        <v>507450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232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253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253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253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253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253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253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253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226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226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253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253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229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226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287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229</v>
      </c>
      <c r="O432" s="39">
        <v>229150</v>
      </c>
    </row>
    <row r="433" spans="1:15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232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312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229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226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229</v>
      </c>
      <c r="O459" s="39">
        <v>409980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232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226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226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>
        <v>3</v>
      </c>
      <c r="G463" s="34">
        <f t="shared" si="102"/>
        <v>15</v>
      </c>
      <c r="H463" s="33" t="s">
        <v>17</v>
      </c>
      <c r="I463" s="33"/>
      <c r="J463" s="33"/>
      <c r="K463" s="29">
        <v>0.5541666666666667</v>
      </c>
      <c r="L463" s="29"/>
      <c r="M463" s="35">
        <f t="shared" ca="1" si="103"/>
        <v>4.8944097223284189E-2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226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226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226</v>
      </c>
      <c r="F466" s="27">
        <v>7</v>
      </c>
      <c r="G466" s="28">
        <f t="shared" si="102"/>
        <v>35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226</v>
      </c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226</v>
      </c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226</v>
      </c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226</v>
      </c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226</v>
      </c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226</v>
      </c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26</v>
      </c>
      <c r="G473" s="36">
        <f>SUM(G461:G472)</f>
        <v>130</v>
      </c>
      <c r="H473" s="37"/>
      <c r="I473" s="37"/>
      <c r="J473" s="37"/>
      <c r="K473" s="37"/>
      <c r="L473" s="37"/>
      <c r="M473" s="38">
        <f ca="1">IFERROR(SUM(M461:M472),"")</f>
        <v>8.0194097223284133E-2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26</v>
      </c>
      <c r="G487" s="40">
        <f>G473+G486</f>
        <v>130</v>
      </c>
      <c r="H487" s="41"/>
      <c r="I487" s="41"/>
      <c r="J487" s="41"/>
      <c r="K487" s="41"/>
      <c r="L487" s="41"/>
      <c r="M487" s="42">
        <f ca="1">IFERROR(M473+M486,"")</f>
        <v>8.0194097223284133E-2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45" activePane="bottomLeft" state="frozen"/>
      <selection pane="bottomLeft" activeCell="F468" sqref="F46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229</v>
      </c>
      <c r="O27" s="39">
        <v>202230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229</v>
      </c>
      <c r="O54" s="39">
        <v>473910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317</v>
      </c>
      <c r="L58" s="29">
        <v>0.54097222222222219</v>
      </c>
      <c r="M58" s="30" t="str">
        <f t="shared" ca="1" si="13"/>
        <v/>
      </c>
      <c r="N58" s="27" t="s">
        <v>318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229</v>
      </c>
      <c r="O81" s="39">
        <v>565120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229</v>
      </c>
      <c r="O108" s="39">
        <v>558590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0.35380520833859919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0.55311076389415481</v>
      </c>
      <c r="N135" s="36" t="s">
        <v>229</v>
      </c>
      <c r="O135" s="39">
        <v>729290</v>
      </c>
    </row>
    <row r="136" spans="1:18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0.92047187500526584</v>
      </c>
      <c r="N136" s="40" t="s">
        <v>232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298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229</v>
      </c>
      <c r="O162" s="39">
        <v>697320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253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253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253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253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229</v>
      </c>
      <c r="O189" s="39">
        <v>973580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253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253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253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229</v>
      </c>
      <c r="O216" s="45">
        <v>1060630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253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336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229</v>
      </c>
      <c r="O243" s="39">
        <v>982340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337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229</v>
      </c>
      <c r="O270" s="39">
        <v>1208450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229</v>
      </c>
      <c r="O297" s="39">
        <v>1049090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338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262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229</v>
      </c>
      <c r="O324" s="39">
        <v>1063720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253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253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290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253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253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253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253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253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253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253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253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253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228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340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229</v>
      </c>
      <c r="O351" s="39">
        <v>696140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298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253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229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253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253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253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253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253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253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253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229</v>
      </c>
      <c r="O378" s="39">
        <v>704750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232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253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342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253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253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329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253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253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253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253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253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253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229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343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344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229</v>
      </c>
      <c r="O405" s="39">
        <v>958130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232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253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253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253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253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253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253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253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253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226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229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253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345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229</v>
      </c>
      <c r="O432" s="39">
        <v>605220</v>
      </c>
    </row>
    <row r="433" spans="1:17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232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229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214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229</v>
      </c>
      <c r="O459" s="39">
        <v>615330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232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226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347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226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348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>
        <v>4</v>
      </c>
      <c r="G463" s="34">
        <f t="shared" si="102"/>
        <v>20</v>
      </c>
      <c r="H463" s="33"/>
      <c r="I463" s="33"/>
      <c r="J463" s="33"/>
      <c r="K463" s="29">
        <v>0.57986111111111116</v>
      </c>
      <c r="L463" s="29"/>
      <c r="M463" s="35">
        <f t="shared" ca="1" si="103"/>
        <v>2.3249652782396879E-2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226</v>
      </c>
      <c r="F464" s="27">
        <v>20</v>
      </c>
      <c r="G464" s="28">
        <f t="shared" si="102"/>
        <v>100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226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226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226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226</v>
      </c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226</v>
      </c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226</v>
      </c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226</v>
      </c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226</v>
      </c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63</v>
      </c>
      <c r="G473" s="36">
        <f>SUM(G461:G472)</f>
        <v>315</v>
      </c>
      <c r="H473" s="37"/>
      <c r="I473" s="37"/>
      <c r="J473" s="37"/>
      <c r="K473" s="61"/>
      <c r="L473" s="61"/>
      <c r="M473" s="38">
        <f ca="1">IFERROR(SUM(M461:M472),"")</f>
        <v>0.11352743056017467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63</v>
      </c>
      <c r="G487" s="40">
        <f>G473+G486</f>
        <v>315</v>
      </c>
      <c r="H487" s="41"/>
      <c r="I487" s="41"/>
      <c r="J487" s="41"/>
      <c r="K487" s="63"/>
      <c r="L487" s="63"/>
      <c r="M487" s="42">
        <f ca="1">IFERROR(M473+M486,"")</f>
        <v>0.11352743056017467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2026-07-18T18:29:02Z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