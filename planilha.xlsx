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653" documentId="8_{AF585B22-221D-4780-BB9C-493D365A6A02}" xr6:coauthVersionLast="47" xr6:coauthVersionMax="47" xr10:uidLastSave="{34533DDF-C0F1-4362-A5AF-D697F277372E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<sst xmlns="http://schemas.openxmlformats.org/spreadsheetml/2006/main" count="8423" uniqueCount="364">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</sst>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activeCellId="1" sqref="G24:G34 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1162570</v>
      </c>
      <c r="D23" s="11">
        <f>IFERROR('Linha 1'!O541,"")</f>
        <v>826410</v>
      </c>
      <c r="E23" s="11">
        <f>IFERROR('Linha 2'!O541,"")</f>
        <v>234850</v>
      </c>
      <c r="F23" s="11">
        <f>IFERROR('Linha 3'!O541,"")</f>
        <v>362510</v>
      </c>
      <c r="G23" s="12">
        <f t="shared" si="0"/>
        <v>1423770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61145011</v>
      </c>
      <c r="D35" s="13">
        <f>IFERROR(SUM(D4:D34),"")</f>
        <v>23219750</v>
      </c>
      <c r="E35" s="13">
        <f>IFERROR(SUM(E4:E34),"")</f>
        <v>13645120</v>
      </c>
      <c r="F35" s="13">
        <f>IFERROR(SUM(F4:F34),"")</f>
        <v>27236870</v>
      </c>
      <c r="G35" s="13">
        <f>IFERROR(SUM(G4:G34),"")</f>
        <v>64101740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96" activePane="bottomLeft" state="frozen"/>
      <selection pane="bottomLeft" activeCell="F537" sqref="F53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8.285156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173</v>
      </c>
      <c r="G540" s="36">
        <f>SUM(G528:G539)</f>
        <v>865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347</v>
      </c>
      <c r="G541" s="40">
        <f>G527+G540</f>
        <v>1735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1162570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06" activePane="bottomLeft" state="frozen"/>
      <selection pane="bottomLeft" activeCell="F537" sqref="F53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259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260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261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264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265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266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267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268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270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274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275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276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277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272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279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280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281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283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284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287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288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0.95682326388487127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1.1144621527737602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1.2241843749959824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272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289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290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0.9352954861096805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1.1061288194430139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1.2512677083319028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293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294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295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296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297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298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299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300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184</v>
      </c>
      <c r="G527" s="36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97</v>
      </c>
      <c r="G540" s="36">
        <f>SUM(G528:G539)</f>
        <v>407.40000000000003</v>
      </c>
      <c r="H540" s="37"/>
      <c r="I540" s="37"/>
      <c r="J540" s="37"/>
      <c r="K540" s="37"/>
      <c r="L540" s="37"/>
      <c r="M540" s="38">
        <f ca="1">IFERROR(SUM(M528:M539),"")</f>
        <v>5.5555555555555629E-2</v>
      </c>
      <c r="N540" s="36" t="s">
        <v>231</v>
      </c>
      <c r="O540" s="77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281</v>
      </c>
      <c r="G541" s="40">
        <f>G527+G540</f>
        <v>1180.2</v>
      </c>
      <c r="H541" s="41"/>
      <c r="I541" s="41"/>
      <c r="J541" s="41"/>
      <c r="K541" s="41"/>
      <c r="L541" s="41"/>
      <c r="M541" s="42">
        <f ca="1">IFERROR(M527+M540,"")</f>
        <v>0.14305555555555571</v>
      </c>
      <c r="N541" s="40" t="s">
        <v>234</v>
      </c>
      <c r="O541" s="83">
        <f>IFERROR(O527+O540,"")</f>
        <v>826410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00" zoomScale="50" zoomScaleNormal="50" workbookViewId="0">
      <selection activeCell="F537" sqref="F53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93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301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302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304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294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305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271</v>
      </c>
      <c r="K141" s="29">
        <v>0.71597222222222223</v>
      </c>
      <c r="L141" s="29" t="s">
        <v>307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309</v>
      </c>
      <c r="N166" s="27" t="s">
        <v>310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311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312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313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317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321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322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323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324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31</v>
      </c>
      <c r="G540" s="36">
        <f>SUM(G528:G539)</f>
        <v>130.20000000000002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82</v>
      </c>
      <c r="G541" s="40">
        <f>G527+G540</f>
        <v>344.40000000000009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234850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505" activePane="bottomLeft" state="frozen"/>
      <selection pane="bottomLeft" activeCell="L533" sqref="L53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73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294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329</v>
      </c>
      <c r="L58" s="29">
        <v>0.54097222222222219</v>
      </c>
      <c r="M58" s="30" t="str">
        <f t="shared" ca="1" si="13"/>
        <v/>
      </c>
      <c r="N58" s="27" t="s">
        <v>330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301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0.947101041667338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269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1.1464065972228936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1.5137677083340046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266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294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358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359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360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361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362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363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67</v>
      </c>
      <c r="G540" s="36">
        <f>SUM(G528:G539)</f>
        <v>281.39999999999998</v>
      </c>
      <c r="H540" s="37"/>
      <c r="I540" s="37"/>
      <c r="J540" s="37"/>
      <c r="K540" s="61"/>
      <c r="L540" s="61"/>
      <c r="M540" s="38">
        <f ca="1">IFERROR(SUM(M528:M539),"")</f>
        <v>0.10694444444444444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147</v>
      </c>
      <c r="G541" s="40">
        <f>G527+G540</f>
        <v>617.40000000000009</v>
      </c>
      <c r="H541" s="41"/>
      <c r="I541" s="41"/>
      <c r="J541" s="41"/>
      <c r="K541" s="63"/>
      <c r="L541" s="63"/>
      <c r="M541" s="42">
        <f ca="1">IFERROR(M527+M540,"")</f>
        <v>0.41874999999999996</v>
      </c>
      <c r="N541" s="40" t="s">
        <v>234</v>
      </c>
      <c r="O541" s="48">
        <f>IFERROR(O527+O540,"")</f>
        <v>362510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2026-07-21T08:43:22Z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