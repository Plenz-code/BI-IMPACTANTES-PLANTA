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4" documentId="8_{C51EB6CB-002B-4D6B-B68F-DDEBDB4460C0}" xr6:coauthVersionLast="47" xr6:coauthVersionMax="47" xr10:uidLastSave="{A0B3F6C0-63AC-4B1E-AD64-DE7E0DD7EBDC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G28" i="6"/>
  <c r="M648" i="6"/>
  <c r="G27" i="6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<sst xmlns="http://schemas.openxmlformats.org/spreadsheetml/2006/main" count="1211" uniqueCount="237">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</sst>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F10" sqref="F1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/>
      <c r="I2" s="26"/>
      <c r="J2" s="26"/>
      <c r="K2" s="29"/>
      <c r="L2" s="29"/>
      <c r="M2" s="30" t="str">
        <f ca="1">IFERROR(IF(K2="","",IF(L2="",MOD(NOW()-K2,1),IF(L2&gt;=K2,L2-K2,L2+1-K2))),"")</f>
        <v/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116</v>
      </c>
      <c r="G14" s="36">
        <f>SUM(G2:G13)</f>
        <v>580</v>
      </c>
      <c r="H14" s="37"/>
      <c r="I14" s="37"/>
      <c r="J14" s="37"/>
      <c r="K14" s="37"/>
      <c r="L14" s="37"/>
      <c r="M14" s="38">
        <f ca="1">IFERROR(SUM(M2:M13),"")</f>
        <v>0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19",F15*5,IF(E15="CB",F15*35,""))))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116</v>
      </c>
      <c r="G28" s="40">
        <f>G14+G27</f>
        <v>580</v>
      </c>
      <c r="H28" s="41"/>
      <c r="I28" s="41"/>
      <c r="J28" s="41"/>
      <c r="K28" s="41"/>
      <c r="L28" s="41"/>
      <c r="M28" s="42">
        <f ca="1">IFERROR(M14+M27,"")</f>
        <v>0</v>
      </c>
      <c r="N28" s="40" t="s">
        <v>232</v>
      </c>
      <c r="O28" s="43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" activePane="bottomLeft" state="frozen"/>
      <selection pane="bottomLeft" activeCell="F10" sqref="F1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31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/>
      <c r="G11" s="28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28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79</v>
      </c>
      <c r="G14" s="36">
        <f>SUM(G2:G13)</f>
        <v>331.8</v>
      </c>
      <c r="H14" s="37"/>
      <c r="I14" s="37"/>
      <c r="J14" s="37"/>
      <c r="K14" s="37"/>
      <c r="L14" s="37"/>
      <c r="M14" s="38">
        <f ca="1">IFERROR(SUM(M2:M13),"")</f>
        <v>0.15902777777777771</v>
      </c>
      <c r="N14" s="36" t="s">
        <v>229</v>
      </c>
      <c r="O14" s="77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79</v>
      </c>
      <c r="G28" s="40">
        <f>G14+G27</f>
        <v>331.8</v>
      </c>
      <c r="H28" s="41"/>
      <c r="I28" s="41"/>
      <c r="J28" s="41"/>
      <c r="K28" s="41"/>
      <c r="L28" s="41"/>
      <c r="M28" s="42">
        <f ca="1">IFERROR(M14+M27,"")</f>
        <v>0.15902777777777771</v>
      </c>
      <c r="N28" s="40" t="s">
        <v>232</v>
      </c>
      <c r="O28" s="82">
        <f>O14+O27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zoomScale="50" zoomScaleNormal="50" workbookViewId="0">
      <selection activeCell="B9" sqref="A9:XFD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/>
      <c r="I3" s="33"/>
      <c r="J3" s="33"/>
      <c r="K3" s="29"/>
      <c r="L3" s="29"/>
      <c r="M3" s="35" t="str">
        <f t="shared" ca="1" si="1"/>
        <v/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48</v>
      </c>
      <c r="G14" s="36">
        <f>SUM(G2:G13)</f>
        <v>201.6</v>
      </c>
      <c r="H14" s="37"/>
      <c r="I14" s="37"/>
      <c r="J14" s="37"/>
      <c r="K14" s="37"/>
      <c r="L14" s="37"/>
      <c r="M14" s="38">
        <f ca="1">IFERROR(SUM(M2:M13),"")</f>
        <v>3.4722222222222099E-3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48</v>
      </c>
      <c r="G28" s="40">
        <f>G14+G27</f>
        <v>201.6</v>
      </c>
      <c r="H28" s="41"/>
      <c r="I28" s="41"/>
      <c r="J28" s="41"/>
      <c r="K28" s="41"/>
      <c r="L28" s="41"/>
      <c r="M28" s="42">
        <f ca="1">IFERROR(M14+M27,"")</f>
        <v>3.4722222222222099E-3</v>
      </c>
      <c r="N28" s="40" t="s">
        <v>232</v>
      </c>
      <c r="O28" s="43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C29:C900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D296:D900 D29:D294 D2:D13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11" sqref="F1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100</v>
      </c>
      <c r="G14" s="36">
        <f>SUM(G2:G13)</f>
        <v>420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/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78" t="str">
        <f ca="1">IFERROR(IF(K16="","",IF(L16="",MOD(NOW()-K16,1),IF(L16&gt;=K16,L16-K16,L16+1-K16))),"")</f>
        <v/>
      </c>
      <c r="N16" s="27"/>
      <c r="O16" s="60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100</v>
      </c>
      <c r="G28" s="40">
        <f>G14+G27</f>
        <v>420</v>
      </c>
      <c r="H28" s="41"/>
      <c r="I28" s="41"/>
      <c r="J28" s="41"/>
      <c r="K28" s="63"/>
      <c r="L28" s="63"/>
      <c r="M28" s="42">
        <f ca="1">IFERROR(M14+M27,"")</f>
        <v>3.8888888888888917E-2</v>
      </c>
      <c r="N28" s="40" t="s">
        <v>232</v>
      </c>
      <c r="O28" s="48">
        <f>IFERROR(O14+O27,"")</f>
        <v>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C366:C900 C29:C364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D29:D900 C365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2026-08-01T19:42:04Z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