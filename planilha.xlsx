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80" documentId="8_{AF585B22-221D-4780-BB9C-493D365A6A02}" xr6:coauthVersionLast="47" xr6:coauthVersionMax="47" xr10:uidLastSave="{C92FEFFE-FD11-4E3A-9A58-400712502346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<sst xmlns="http://schemas.openxmlformats.org/spreadsheetml/2006/main" count="8010" uniqueCount="355">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</sst>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10" sqref="F5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208</v>
      </c>
      <c r="G513" s="36">
        <f>SUM(G501:G512)</f>
        <v>1040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439</v>
      </c>
      <c r="G514" s="40">
        <f>G500+G513</f>
        <v>2122.1999999999998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10" sqref="F5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0.96712222221685806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1.1247611111057469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1.2344833333279692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0.94559444444166729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1.1164277777750007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1.2615666666638896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94</v>
      </c>
      <c r="G513" s="36">
        <f>SUM(G501:G512)</f>
        <v>404.4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224</v>
      </c>
      <c r="G514" s="40">
        <f>G500+G513</f>
        <v>995.19999999999993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71" zoomScale="50" zoomScaleNormal="50" workbookViewId="0">
      <selection activeCell="J501" sqref="J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/>
      <c r="M501" s="35">
        <f t="shared" ref="M501:M512" ca="1" si="112">IFERROR(IF(K501="","",IF(L501="",MOD(NOW()-K501,1),IF(L501&gt;=K501,L501-K501,L501+1-K501))),"")</f>
        <v>7.3999999949592166E-3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51</v>
      </c>
      <c r="G513" s="36">
        <f>SUM(G501:G512)</f>
        <v>218.2</v>
      </c>
      <c r="H513" s="37"/>
      <c r="I513" s="37"/>
      <c r="J513" s="37"/>
      <c r="K513" s="37"/>
      <c r="L513" s="37"/>
      <c r="M513" s="38">
        <f ca="1">IFERROR(SUM(M501:M512),"")</f>
        <v>7.3999999949592166E-3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105</v>
      </c>
      <c r="G514" s="40">
        <f>G500+G513</f>
        <v>466.6</v>
      </c>
      <c r="H514" s="41"/>
      <c r="I514" s="41"/>
      <c r="J514" s="41"/>
      <c r="K514" s="41"/>
      <c r="L514" s="41"/>
      <c r="M514" s="42">
        <f ca="1">IFERROR(M500+M513,"")</f>
        <v>2.4761111106070377E-2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L503" sqref="L5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0.95739999999932479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1.1567055555548804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1.5240666666659914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/>
      <c r="M503" s="35">
        <f t="shared" ca="1" si="112"/>
        <v>6.2955555549706332E-2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0.12128888888303968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0.17059444443859512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2026-07-20T08:57:56Z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