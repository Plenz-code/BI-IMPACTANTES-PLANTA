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80" documentId="8_{C51EB6CB-002B-4D6B-B68F-DDEBDB4460C0}" xr6:coauthVersionLast="47" xr6:coauthVersionMax="47" xr10:uidLastSave="{9E6A16EA-FC78-4EAA-88DF-1AF34F09961F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<sst xmlns="http://schemas.openxmlformats.org/spreadsheetml/2006/main" count="3886" uniqueCount="295">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</sst>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I177" sqref="I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/>
      <c r="K177" s="29">
        <v>2.2916666666666665E-2</v>
      </c>
      <c r="L177" s="29"/>
      <c r="M177" s="35">
        <f t="shared" ref="M177:M188" ca="1" si="40">IFERROR(IF(K177="","",IF(L177="",MOD(NOW()-K177,1),IF(L177&gt;=K177,L177-K177,L177+1-K177))),"")</f>
        <v>7.9479166743112728E-4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7.9479166743112728E-4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8.1350347222986674E-2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J179" sqref="J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0.90218368055502651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1.0410725694439154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1.1257947916661377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/>
      <c r="M179" s="35">
        <f t="shared" ca="1" si="40"/>
        <v>1.7461458337493241E-2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52</v>
      </c>
      <c r="G189" s="36">
        <f>SUM(G177:G188)</f>
        <v>218.4</v>
      </c>
      <c r="H189" s="37"/>
      <c r="I189" s="37"/>
      <c r="J189" s="37"/>
      <c r="K189" s="37"/>
      <c r="L189" s="37"/>
      <c r="M189" s="38">
        <f ca="1">IFERROR(SUM(M177:M188),"")</f>
        <v>0.10010034722638228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121</v>
      </c>
      <c r="G190" s="40">
        <f>G176+G189</f>
        <v>508.20000000000005</v>
      </c>
      <c r="H190" s="41"/>
      <c r="I190" s="41"/>
      <c r="J190" s="41"/>
      <c r="K190" s="41"/>
      <c r="L190" s="41"/>
      <c r="M190" s="42">
        <f ca="1">IFERROR(M176+M189,"")</f>
        <v>0.18273923611527121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J180" sqref="J1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279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/>
      <c r="M180" s="30">
        <f t="shared" ca="1" si="40"/>
        <v>1.6767013890785165E-2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5</v>
      </c>
      <c r="G181" s="34">
        <f>IF(F181="","",IF(E181="PC 17",F181*4.2,IF(E181="PC 19",F181*5,IF(E181="CB",F181*24,""))))</f>
        <v>21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</v>
      </c>
      <c r="G189" s="36">
        <f>SUM(G177:G188)</f>
        <v>29.4</v>
      </c>
      <c r="H189" s="37"/>
      <c r="I189" s="37"/>
      <c r="J189" s="37"/>
      <c r="K189" s="37"/>
      <c r="L189" s="37"/>
      <c r="M189" s="38">
        <f ca="1">IFERROR(SUM(M177:M188),"")</f>
        <v>0.15982256944634077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302.39999999999998</v>
      </c>
      <c r="H190" s="41"/>
      <c r="I190" s="41"/>
      <c r="J190" s="41"/>
      <c r="K190" s="41"/>
      <c r="L190" s="41"/>
      <c r="M190" s="42">
        <f ca="1">IFERROR(M176+M189,"")</f>
        <v>0.24454479166856302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/>
      <c r="M178" s="30">
        <f t="shared" ca="1" si="40"/>
        <v>5.5655902782746125E-2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59</v>
      </c>
      <c r="G189" s="36">
        <f>SUM(G177:G188)</f>
        <v>247.8</v>
      </c>
      <c r="H189" s="37"/>
      <c r="I189" s="37"/>
      <c r="J189" s="37"/>
      <c r="K189" s="61"/>
      <c r="L189" s="61"/>
      <c r="M189" s="38">
        <f ca="1">IFERROR(SUM(M177:M188),"")</f>
        <v>8.4822569449412799E-2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928.2</v>
      </c>
      <c r="H190" s="41"/>
      <c r="I190" s="41"/>
      <c r="J190" s="41"/>
      <c r="K190" s="63"/>
      <c r="L190" s="63"/>
      <c r="M190" s="42">
        <f ca="1">IFERROR(M176+M189,"")</f>
        <v>0.21746145833830177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2026-08-08T04:34:36Z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