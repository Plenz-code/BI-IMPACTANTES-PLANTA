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606" documentId="8_{AF585B22-221D-4780-BB9C-493D365A6A02}" xr6:coauthVersionLast="47" xr6:coauthVersionMax="47" xr10:uidLastSave="{8EFB2C09-C88C-45B5-ADC8-67A18209C86C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<sst xmlns="http://schemas.openxmlformats.org/spreadsheetml/2006/main" count="6719" uniqueCount="329">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</sst>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23" sqref="K23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11207280</v>
      </c>
      <c r="F35" s="13">
        <f>IFERROR(SUM(F4:F34),"")</f>
        <v>20941020</v>
      </c>
      <c r="G35" s="13">
        <f>IFERROR(SUM(G4:G34),"")</f>
        <v>48728890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F409" sqref="F40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/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260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53</v>
      </c>
      <c r="G419" s="36">
        <f>SUM(G407:G418)</f>
        <v>265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53</v>
      </c>
      <c r="G433" s="40">
        <f>G419+G432</f>
        <v>265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F409" sqref="F4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0.13741006944474066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0.29504895833362954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0.40477118055585171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243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27</v>
      </c>
      <c r="G419" s="36">
        <f>SUM(G407:G418)</f>
        <v>113.4</v>
      </c>
      <c r="H419" s="37"/>
      <c r="I419" s="37"/>
      <c r="J419" s="37"/>
      <c r="K419" s="37"/>
      <c r="L419" s="37"/>
      <c r="M419" s="38">
        <f ca="1">IFERROR(SUM(M407:M418),"")</f>
        <v>2.2916666666666641E-2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27</v>
      </c>
      <c r="G433" s="40">
        <f>G419+G432</f>
        <v>113.4</v>
      </c>
      <c r="H433" s="41"/>
      <c r="I433" s="41"/>
      <c r="J433" s="41"/>
      <c r="K433" s="41"/>
      <c r="L433" s="41"/>
      <c r="M433" s="42">
        <f ca="1">IFERROR(M419+M432,"")</f>
        <v>2.2916666666666641E-2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409" sqref="F40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257</v>
      </c>
      <c r="K141" s="29">
        <v>0.71597222222222223</v>
      </c>
      <c r="L141" s="29" t="s">
        <v>284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286</v>
      </c>
      <c r="N166" s="27" t="s">
        <v>287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243</v>
      </c>
      <c r="F407" s="27">
        <v>5</v>
      </c>
      <c r="G407" s="34">
        <f t="shared" ref="G407:G418" si="90">IF(F407="","",IF(E407="PC 17",F407*4.2,IF(E407="PC 19",F407*5,"")))</f>
        <v>21</v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243</v>
      </c>
      <c r="F408" s="27">
        <v>5</v>
      </c>
      <c r="G408" s="28">
        <f t="shared" si="90"/>
        <v>21</v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243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10</v>
      </c>
      <c r="G419" s="36">
        <f>SUM(G407:G418)</f>
        <v>42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10</v>
      </c>
      <c r="G433" s="40">
        <f>G419+G432</f>
        <v>42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F409" sqref="F40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301</v>
      </c>
      <c r="L58" s="29">
        <v>0.54097222222222219</v>
      </c>
      <c r="M58" s="30" t="str">
        <f t="shared" ca="1" si="13"/>
        <v/>
      </c>
      <c r="N58" s="27" t="s">
        <v>302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0.12768784722720739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0.32699340278276301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0.69435451389387404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/>
      <c r="M408" s="30">
        <f t="shared" ca="1" si="91"/>
        <v>3.3243402780499309E-2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243</v>
      </c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243</v>
      </c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243</v>
      </c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243</v>
      </c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243</v>
      </c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243</v>
      </c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243</v>
      </c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243</v>
      </c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243</v>
      </c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243</v>
      </c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5</v>
      </c>
      <c r="G419" s="36">
        <f>SUM(G407:G418)</f>
        <v>21</v>
      </c>
      <c r="H419" s="37"/>
      <c r="I419" s="37"/>
      <c r="J419" s="37"/>
      <c r="K419" s="61"/>
      <c r="L419" s="61"/>
      <c r="M419" s="38">
        <f ca="1">IFERROR(SUM(M407:M418),"")</f>
        <v>6.4493402780499309E-2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5</v>
      </c>
      <c r="G433" s="40">
        <f>G419+G432</f>
        <v>21</v>
      </c>
      <c r="H433" s="41"/>
      <c r="I433" s="41"/>
      <c r="J433" s="41"/>
      <c r="K433" s="63"/>
      <c r="L433" s="63"/>
      <c r="M433" s="42">
        <f ca="1">IFERROR(M419+M432,"")</f>
        <v>6.4493402780499309E-2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2026-07-16T13:02:54Z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