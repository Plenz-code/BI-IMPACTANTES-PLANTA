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59" documentId="13_ncr:1_{A6DBCFB4-28D9-4249-9038-216934055CA6}" xr6:coauthVersionLast="47" xr6:coauthVersionMax="47" xr10:uidLastSave="{7B019616-CC94-4078-B6D1-07CDC8E2B71F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<sst xmlns="http://schemas.openxmlformats.org/spreadsheetml/2006/main" count="11039" uniqueCount="446">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</sst>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67" sqref="F667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171</v>
      </c>
      <c r="G675" s="2">
        <f>SUM(G663:G674)</f>
        <v>855</v>
      </c>
      <c r="H675" s="71"/>
      <c r="I675" s="71"/>
      <c r="J675" s="71"/>
      <c r="K675" s="71"/>
      <c r="L675" s="71"/>
      <c r="M675" s="72">
        <f ca="1">IFERROR(SUM(M663:M674),"")</f>
        <v>7.6388888888888618E-3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498</v>
      </c>
      <c r="G676" s="1">
        <f>G662+G675</f>
        <v>2490</v>
      </c>
      <c r="H676" s="75"/>
      <c r="I676" s="75"/>
      <c r="J676" s="75"/>
      <c r="K676" s="75"/>
      <c r="L676" s="75"/>
      <c r="M676" s="76">
        <f ca="1">IFERROR(M662+M675,"")</f>
        <v>0.14305555555555549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0" activePane="bottomLeft" state="frozen"/>
      <selection pane="bottomLeft" activeCell="N665" sqref="N665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0.8752960648125736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1.0141849537014613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1.0989071759236841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/>
      <c r="Q665" s="70">
        <f t="shared" ca="1" si="176"/>
        <v>1.6849537059897557E-3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21</v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28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117.60000000000001</v>
      </c>
      <c r="L675" s="71"/>
      <c r="M675" s="71"/>
      <c r="N675" s="71"/>
      <c r="O675" s="71"/>
      <c r="P675" s="71"/>
      <c r="Q675" s="72">
        <f ca="1">IFERROR(SUM(Q663:Q674),"")</f>
        <v>0.13501828703932295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95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399.00000000000006</v>
      </c>
      <c r="L676" s="75"/>
      <c r="M676" s="75"/>
      <c r="N676" s="75"/>
      <c r="O676" s="75"/>
      <c r="P676" s="75"/>
      <c r="Q676" s="76">
        <f ca="1">IFERROR(Q662+Q675,"")</f>
        <v>0.49960162037265626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641" activePane="bottomLeft" state="frozen"/>
      <selection pane="bottomLeft" activeCell="G667" sqref="G667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373</v>
      </c>
      <c r="Q222" s="65" t="str">
        <f t="shared" ca="1" si="49"/>
        <v/>
      </c>
      <c r="R222" s="62" t="s">
        <v>374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1"/>
        <v>0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1"/>
        <v>0</v>
      </c>
      <c r="K666" s="63">
        <f t="shared" si="172"/>
        <v>4.2</v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12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50.400000000000006</v>
      </c>
      <c r="L675" s="71"/>
      <c r="M675" s="71"/>
      <c r="N675" s="71"/>
      <c r="O675" s="71"/>
      <c r="P675" s="71"/>
      <c r="Q675" s="72">
        <f ca="1">IFERROR(SUM(Q663:Q674),"")</f>
        <v>0.12847222222222243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14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58.800000000000004</v>
      </c>
      <c r="L676" s="75"/>
      <c r="M676" s="75"/>
      <c r="N676" s="75"/>
      <c r="O676" s="75"/>
      <c r="P676" s="75"/>
      <c r="Q676" s="76">
        <f ca="1">IFERROR(Q662+Q675,"")</f>
        <v>0.58402777777777803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5" activePane="bottomLeft" state="frozen"/>
      <selection pane="bottomLeft" activeCell="G666" sqref="G666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392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393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394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395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396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397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398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399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400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401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402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403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404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405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407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408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409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410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411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412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413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414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415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416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417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418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419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420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421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422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423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424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425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419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426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427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428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429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430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431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432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433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434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435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418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419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436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437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438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439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418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440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435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441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442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443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444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445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84</v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79.8</v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54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226.8</v>
      </c>
      <c r="L675" s="71"/>
      <c r="M675" s="71"/>
      <c r="N675" s="71"/>
      <c r="O675" s="133"/>
      <c r="P675" s="133"/>
      <c r="Q675" s="72">
        <f ca="1">IFERROR(SUM(Q663:Q674),"")</f>
        <v>1.8055555555555602E-2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184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783.2</v>
      </c>
      <c r="L676" s="75"/>
      <c r="M676" s="75"/>
      <c r="N676" s="75"/>
      <c r="O676" s="134"/>
      <c r="P676" s="134"/>
      <c r="Q676" s="76">
        <f ca="1">IFERROR(Q662+Q675,"")</f>
        <v>0.28263888888888883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2026-08-26T03:55:45Z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