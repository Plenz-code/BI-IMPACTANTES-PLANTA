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88" documentId="8_{AF585B22-221D-4780-BB9C-493D365A6A02}" xr6:coauthVersionLast="47" xr6:coauthVersionMax="47" xr10:uidLastSave="{831CC891-A40B-4EAA-93F9-7DF1D2E916FF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<sst xmlns="http://schemas.openxmlformats.org/spreadsheetml/2006/main" count="6351" uniqueCount="323">
  <si>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</si>
  <si>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</si>
  <si>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</si>
  <si>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</si>
  <si>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</si>
  <si>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</si>
  <si>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</si>
  <si>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</si>
  <si>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</si>
  <si>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</si>
  <si>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</si>
  <si>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</si>
  <si>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</si>
  <si>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</si>
  <si>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</si>
  <si>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</si>
  <si>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</si>
  <si>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</si>
  <si>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</si>
  <si>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</si>
  <si>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</si>
  <si>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</si>
  <si>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</si>
  <si>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</si>
  <si>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</si>
  <si>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</si>
  <si>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</si>
  <si>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</si>
  <si>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</si>
  <si>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</si>
  <si>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</si>
  <si>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</si>
  <si>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</si>
  <si>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</si>
  <si>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</si>
  <si>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</si>
  <si>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</si>
  <si>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</si>
  <si>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</si>
  <si>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</si>
  <si>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</si>
  <si>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</si>
  <si>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</si>
  <si>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</si>
  <si>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</si>
  <si>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</si>
  <si>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</si>
  <si>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</si>
  <si>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</si>
  <si>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</si>
  <si>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</si>
  <si>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</si>
  <si>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</si>
  <si>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</si>
  <si>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</si>
  <si>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</si>
  <si>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</si>
  <si>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</si>
  <si>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</si>
  <si>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</si>
  <si>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</si>
  <si>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</si>
  <si>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</si>
  <si>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</si>
  <si>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</si>
  <si>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</si>
  <si>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</si>
  <si>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</si>
  <si>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</si>
  <si>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</si>
  <si>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</si>
  <si>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</si>
  <si>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</si>
  <si>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</si>
  <si>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</si>
  <si>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</si>
  <si>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</si>
  <si>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</si>
  <si>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</si>
  <si>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</si>
  <si>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</si>
  <si>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</si>
  <si>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</si>
  <si>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</si>
  <si>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</si>
  <si>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</si>
  <si>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</si>
  <si>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</si>
  <si>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</si>
  <si>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</si>
  <si>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</si>
  <si>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</si>
  <si>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</si>
  <si>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</si>
  <si>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</si>
  <si>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</si>
  <si>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</si>
  <si>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</si>
  <si>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</si>
  <si>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</si>
  <si>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</si>
  <si>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</si>
  <si>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</si>
  <si>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</si>
  <si>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</si>
  <si>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</si>
  <si>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</si>
  <si>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</si>
  <si>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</si>
  <si>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</si>
  <si>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</si>
  <si>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</si>
  <si>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</si>
  <si>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</si>
  <si>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</si>
  <si>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</si>
  <si>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</si>
  <si>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</si>
  <si>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</si>
  <si>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</si>
  <si>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</si>
  <si>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</si>
  <si>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</si>
  <si>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</si>
  <si>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</si>
  <si>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</si>
  <si>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</si>
  <si>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</si>
  <si>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</si>
  <si>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</si>
  <si>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</si>
  <si>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</si>
  <si>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</si>
  <si>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</si>
  <si>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</si>
  <si>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</si>
  <si>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</si>
  <si>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</si>
  <si>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</si>
  <si>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</si>
  <si>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</si>
  <si>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</si>
  <si>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</si>
  <si>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</si>
  <si>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</si>
  <si>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</si>
  <si>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</si>
  <si>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</si>
  <si>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</si>
  <si>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</si>
  <si>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</si>
  <si>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</si>
  <si>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</si>
  <si>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</si>
  <si>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</si>
  <si>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</si>
  <si>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</si>
  <si>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</si>
  <si>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</si>
  <si>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</si>
  <si>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</si>
  <si>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</si>
  <si>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</si>
  <si>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</si>
  <si>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</si>
  <si>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</si>
  <si>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</si>
  <si>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</si>
  <si>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</si>
  <si>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</si>
  <si>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</si>
  <si>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</si>
  <si>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</si>
  <si>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</si>
  <si>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</si>
  <si>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</si>
  <si>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</si>
  <si>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</si>
  <si>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</si>
  <si>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</si>
  <si>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</si>
  <si>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</si>
  <si>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</si>
  <si>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</si>
  <si>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</si>
  <si>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</si>
  <si>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</si>
  <si>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</si>
  <si>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</si>
  <si>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</si>
  <si>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</si>
  <si>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</si>
  <si>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</si>
  <si>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</si>
  <si>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</si>
  <si>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</si>
  <si>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</si>
  <si>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</si>
  <si>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</si>
  <si>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</si>
  <si>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</si>
  <si>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</si>
  <si>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</si>
  <si>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</si>
  <si>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</si>
  <si>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</si>
  <si>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</si>
  <si>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</si>
  <si>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</si>
  <si>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</si>
  <si>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</si>
  <si>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</si>
  <si>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</si>
  <si>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</si>
  <si>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</si>
  <si>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</si>
  <si>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</si>
  <si>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</si>
  <si>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</si>
  <si>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</si>
  <si>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</si>
  <si>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</si>
  <si>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</si>
  <si>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</si>
  <si>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</si>
  <si>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</si>
  <si>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</si>
  <si>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</si>
  <si>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</si>
  <si>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</si>
  <si>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</si>
  <si>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</si>
  <si>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</si>
  <si>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</si>
  <si>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</si>
  <si>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</si>
  <si>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</si>
  <si>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</si>
  <si>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</si>
  <si>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troca de pino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</si>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</sst>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65" activePane="bottomLeft" state="frozen"/>
      <selection pane="bottomLeft" activeCell="F387" sqref="F3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/>
      <c r="M382" s="30">
        <f t="shared" ca="1" si="85"/>
        <v>5.0385069444018882E-2</v>
      </c>
      <c r="N382" s="46" t="s">
        <v>239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194</v>
      </c>
      <c r="G392" s="36">
        <f>SUM(G380:G391)</f>
        <v>970</v>
      </c>
      <c r="H392" s="37"/>
      <c r="I392" s="37"/>
      <c r="J392" s="37"/>
      <c r="K392" s="37"/>
      <c r="L392" s="37"/>
      <c r="M392" s="38">
        <f ca="1">IFERROR(SUM(M380:M391),"")</f>
        <v>7.1218402777352197E-2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194</v>
      </c>
      <c r="G406" s="40">
        <f>G392+G405</f>
        <v>970</v>
      </c>
      <c r="H406" s="41"/>
      <c r="I406" s="41"/>
      <c r="J406" s="41"/>
      <c r="K406" s="41"/>
      <c r="L406" s="41"/>
      <c r="M406" s="42">
        <f ca="1">IFERROR(M392+M405,"")</f>
        <v>7.1218402777352197E-2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7" sqref="F3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0.35455173610534985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0.51219062499423873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0.6219128472164609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 t="s">
        <v>18</v>
      </c>
      <c r="I384" s="26" t="s">
        <v>155</v>
      </c>
      <c r="J384" s="26" t="s">
        <v>126</v>
      </c>
      <c r="K384" s="29">
        <v>0.56944444444444442</v>
      </c>
      <c r="L384" s="29"/>
      <c r="M384" s="30">
        <f t="shared" ca="1" si="85"/>
        <v>2.4690624995855615E-2</v>
      </c>
      <c r="N384" s="46" t="s">
        <v>272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0.14274618055141114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0.14274618055141114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7" sqref="F3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254</v>
      </c>
      <c r="K141" s="29">
        <v>0.71597222222222223</v>
      </c>
      <c r="L141" s="29" t="s">
        <v>280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282</v>
      </c>
      <c r="N166" s="27" t="s">
        <v>283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240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240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57</v>
      </c>
      <c r="G392" s="36">
        <f>SUM(G380:G391)</f>
        <v>239.4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57</v>
      </c>
      <c r="G406" s="40">
        <f>G392+G405</f>
        <v>239.4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7" sqref="F38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297</v>
      </c>
      <c r="L58" s="29">
        <v>0.54097222222222219</v>
      </c>
      <c r="M58" s="30" t="str">
        <f t="shared" ca="1" si="13"/>
        <v/>
      </c>
      <c r="N58" s="27" t="s">
        <v>298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0.34482951388781657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0.5441350694433722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0.91149618055448323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0</v>
      </c>
      <c r="G383" s="34">
        <f t="shared" si="84"/>
        <v>0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78</v>
      </c>
      <c r="G392" s="36">
        <f>SUM(G380:G391)</f>
        <v>327.60000000000002</v>
      </c>
      <c r="H392" s="37"/>
      <c r="I392" s="37"/>
      <c r="J392" s="37"/>
      <c r="K392" s="61"/>
      <c r="L392" s="61"/>
      <c r="M392" s="38">
        <f ca="1">IFERROR(SUM(M380:M391),"")</f>
        <v>0.14166666666666666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78</v>
      </c>
      <c r="G406" s="40">
        <f>G392+G405</f>
        <v>327.60000000000002</v>
      </c>
      <c r="H406" s="41"/>
      <c r="I406" s="41"/>
      <c r="J406" s="41"/>
      <c r="K406" s="63"/>
      <c r="L406" s="63"/>
      <c r="M406" s="42">
        <f ca="1">IFERROR(M392+M405,"")</f>
        <v>0.14166666666666666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2026-07-15T18:16:05Z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