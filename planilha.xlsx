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156" documentId="8_{1D11E9C4-FEA4-4128-910F-91CB6BBF9255}" xr6:coauthVersionLast="47" xr6:coauthVersionMax="47" xr10:uidLastSave="{9FE67A28-B6DA-42B0-BFDC-199D1C54B732}"/>
  <bookViews>
    <workbookView xWindow="-108" yWindow="-108" windowWidth="23256" windowHeight="12456" tabRatio="500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E784" i="3" l="1"/>
  <c r="L14" i="2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L784" i="3" l="1"/>
  <c r="F784" i="4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<sst xmlns="http://schemas.openxmlformats.org/spreadsheetml/2006/main" count="8423" uniqueCount="376">
  <si>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</si>
  <si>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</si>
  <si>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</si>
  <si>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</si>
  <si>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</si>
  <si>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</si>
  <si>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</si>
  <si>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</si>
  <si>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</si>
  <si>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</si>
  <si>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</si>
  <si>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</si>
  <si>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</si>
  <si>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</si>
  <si>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</si>
  <si>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</si>
  <si>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</si>
  <si>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</si>
  <si>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</si>
  <si>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</si>
  <si>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</si>
  <si>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</si>
  <si>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</si>
  <si>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</si>
  <si>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</si>
  <si>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</si>
  <si>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</si>
  <si>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</si>
  <si>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</si>
  <si>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</si>
  <si>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</si>
  <si>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</si>
  <si>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</si>
  <si>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</si>
  <si>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</si>
  <si>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</si>
  <si>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</si>
  <si>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</si>
  <si>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</si>
  <si>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</si>
  <si>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</si>
  <si>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</si>
  <si>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</si>
  <si>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</si>
  <si>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</si>
  <si>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</si>
  <si>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</si>
  <si>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</si>
  <si>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</si>
  <si>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</si>
  <si>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</si>
  <si>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</si>
  <si>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</si>
  <si>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</si>
  <si>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</si>
  <si>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</si>
  <si>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</si>
  <si>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</si>
  <si>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</si>
  <si>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</si>
  <si>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</si>
  <si>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</si>
  <si>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</si>
  <si>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</si>
  <si>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</si>
  <si>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</si>
  <si>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</si>
  <si>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</si>
  <si>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</si>
  <si>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</si>
  <si>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</si>
  <si>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</si>
  <si>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</si>
  <si>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</si>
  <si>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</si>
  <si>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</si>
  <si>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</si>
  <si>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</si>
  <si>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</si>
  <si>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</si>
  <si>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</si>
  <si>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</si>
  <si>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</si>
  <si>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</si>
  <si>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</si>
  <si>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</si>
  <si>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</si>
  <si>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</si>
  <si>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</si>
  <si>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</si>
  <si>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</si>
  <si>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</si>
  <si>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</si>
  <si>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</si>
  <si>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</si>
  <si>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</si>
  <si>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</si>
  <si>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</si>
  <si>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</si>
  <si>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</si>
  <si>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</si>
  <si>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</si>
  <si>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</si>
  <si>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</si>
  <si>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</si>
  <si>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</si>
  <si>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</si>
  <si>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</si>
  <si>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</si>
  <si>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</si>
  <si>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</si>
  <si>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</si>
  <si>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</si>
  <si>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</si>
  <si>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</si>
  <si>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</si>
  <si>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</si>
  <si>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</si>
  <si>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</si>
  <si>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</si>
  <si>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</si>
  <si>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</si>
  <si>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</si>
  <si>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</si>
  <si>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</si>
  <si>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</si>
  <si>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</si>
  <si>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</si>
  <si>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</si>
  <si>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</si>
  <si>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</si>
  <si>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</si>
  <si>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</si>
  <si>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</si>
  <si>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</si>
  <si>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</si>
  <si>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</si>
  <si>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</si>
  <si>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</si>
  <si>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</si>
  <si>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</si>
  <si>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</si>
  <si>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</si>
  <si>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</si>
  <si>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</si>
  <si>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</si>
  <si>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</si>
  <si>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</si>
  <si>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</si>
  <si>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</si>
  <si>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</si>
  <si>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</si>
  <si>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</si>
  <si>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</si>
  <si>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</si>
  <si>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</si>
  <si>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</si>
  <si>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</si>
  <si>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</si>
  <si>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</si>
  <si>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</si>
  <si>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</si>
  <si>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</si>
  <si>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</si>
  <si>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</si>
  <si>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</si>
  <si>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</si>
  <si>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</si>
  <si>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</si>
  <si>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</si>
  <si>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</si>
  <si>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</si>
  <si>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</si>
  <si>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</si>
  <si>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</si>
  <si>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</si>
  <si>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</si>
  <si>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</si>
  <si>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</si>
  <si>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</si>
  <si>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</si>
  <si>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</si>
  <si>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</si>
  <si>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</si>
  <si>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</si>
  <si>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</si>
  <si>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</si>
  <si>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</si>
  <si>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</si>
  <si>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</si>
  <si>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</si>
  <si>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</si>
  <si>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</si>
  <si>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</si>
  <si>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</si>
  <si>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</si>
  <si>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</si>
  <si>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</si>
  <si>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</si>
  <si>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</si>
  <si>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</si>
  <si>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</si>
  <si>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</si>
  <si>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</si>
  <si>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</si>
  <si>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</si>
  <si>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</si>
  <si>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</si>
  <si>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</si>
  <si>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</si>
  <si>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</si>
  <si>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</si>
  <si>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</si>
  <si>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</si>
  <si>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</si>
  <si>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</si>
  <si>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</si>
  <si>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</si>
  <si>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</si>
  <si>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</si>
  <si>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</si>
  <si>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</si>
  <si>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</si>
  <si>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</si>
  <si>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</si>
  <si>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</si>
  <si>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</si>
  <si>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</si>
  <si>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</si>
  <si>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</si>
  <si>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</si>
  <si>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</si>
  <si>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</si>
  <si>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</si>
  <si>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</si>
  <si>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</si>
  <si>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</si>
  <si>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</si>
  <si>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</si>
  <si>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</si>
  <si>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</si>
  <si>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</si>
  <si>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</si>
  <si>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</si>
  <si>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</si>
  <si>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</si>
  <si>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</si>
  <si>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</si>
  <si>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</si>
  <si>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</si>
  <si>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</si>
  <si>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</si>
  <si>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</si>
  <si>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</si>
  <si>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</si>
  <si>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</si>
  <si>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</si>
  <si>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</si>
  <si>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</si>
  <si>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</si>
  <si>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</si>
  <si>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</si>
  <si>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</si>
  <si>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</si>
  <si>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</si>
  <si>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</si>
  <si>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</si>
  <si>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</si>
  <si>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</si>
  <si>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</si>
  <si>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</si>
  <si>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</si>
  <si>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</si>
  <si>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</si>
  <si>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</si>
  <si>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</si>
  <si>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</si>
  <si>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</si>
  <si>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</si>
  <si>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</si>
  <si>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</si>
  <si>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</si>
  <si>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</si>
  <si>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</si>
  <si>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</si>
  <si>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</si>
  <si>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</si>
  <si>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</si>
  <si>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</si>
  <si>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</si>
  <si>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</si>
  <si>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</si>
  <si>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</si>
  <si>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</si>
  <si>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</si>
  <si>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</si>
  <si>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</si>
  <si>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</si>
  <si>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</si>
  <si>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</si>
  <si>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</si>
  <si>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</si>
  <si>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</si>
  <si>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</si>
  <si>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</si>
  <si>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</si>
  <si>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</si>
  <si>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</si>
  <si>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</si>
  <si>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</si>
  <si>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</si>
  <si>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</si>
  <si>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</si>
  <si>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</si>
  <si>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</si>
  <si>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</si>
  <si>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</si>
  <si>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</si>
  <si>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</si>
  <si>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</si>
  <si>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</si>
  <si>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</si>
  <si>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</si>
  <si>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</si>
  <si>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</si>
  <si>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</si>
  <si>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</si>
  <si>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</si>
  <si>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</si>
  <si>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</si>
  <si>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</si>
  <si>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</si>
  <si>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</si>
  <si>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</si>
  <si>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</si>
  <si>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</si>
  <si>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</si>
  <si>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</si>
  <si>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</si>
  <si>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</si>
  <si>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</si>
  <si>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</si>
  <si>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</si>
  <si>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</si>
  <si>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</si>
  <si>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</si>
  <si>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</si>
  <si>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</si>
  <si>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</si>
  <si>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</si>
  <si>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</si>
  <si>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</si>
  <si>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</si>
  <si>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</si>
  <si>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</si>
  <si>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</si>
  <si>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</si>
  <si>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</si>
  <si>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</si>
  <si>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</si>
  <si>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</si>
  <si>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</si>
  <si>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</si>
  <si>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</si>
  <si>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</si>
  <si>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</si>
  <si>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</si>
  <si>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</si>
  <si>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</si>
  <si>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</si>
  <si>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</si>
  <si>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</si>
  <si>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</si>
  <si>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engraxamento nos mancais e solda nos mancais</t>
  </si>
  <si>
    <t>Material atrapalhando a troca do componente</t>
  </si>
  <si>
    <t>troca de rolamento 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</si>
</sst>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1" sqref="G31"/>
    </sheetView>
  </sheetViews>
  <sheetFormatPr defaultColWidth="8.5546875" defaultRowHeight="14.4" x14ac:dyDescent="0.3"/>
  <cols>
    <col min="1" max="1" width="8.5546875" customWidth="1"/>
    <col min="2" max="2" width="17.44140625" customWidth="1"/>
    <col min="3" max="3" width="21.44140625" customWidth="1"/>
    <col min="4" max="6" width="16" hidden="1" customWidth="1"/>
    <col min="7" max="7" width="34" customWidth="1"/>
  </cols>
  <sheetData>
    <row r="1" spans="1:7" ht="31.5" customHeight="1" x14ac:dyDescent="0.3">
      <c r="A1" s="99" t="s">
        <v>0</v>
      </c>
      <c r="B1" s="99"/>
      <c r="C1" s="99"/>
      <c r="D1" s="99"/>
      <c r="E1" s="99"/>
      <c r="F1" s="99"/>
      <c r="G1" s="99"/>
    </row>
    <row r="2" spans="1:7" ht="25.35" customHeight="1" x14ac:dyDescent="0.3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 x14ac:dyDescent="0.3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 x14ac:dyDescent="0.3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 x14ac:dyDescent="0.3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 x14ac:dyDescent="0.3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 x14ac:dyDescent="0.3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 x14ac:dyDescent="0.3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 x14ac:dyDescent="0.3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 x14ac:dyDescent="0.3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 x14ac:dyDescent="0.3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 x14ac:dyDescent="0.3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 x14ac:dyDescent="0.3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 x14ac:dyDescent="0.3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 x14ac:dyDescent="0.3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 x14ac:dyDescent="0.3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 x14ac:dyDescent="0.3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 x14ac:dyDescent="0.3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 x14ac:dyDescent="0.3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 x14ac:dyDescent="0.3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 x14ac:dyDescent="0.3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 x14ac:dyDescent="0.3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 x14ac:dyDescent="0.3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 x14ac:dyDescent="0.3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 x14ac:dyDescent="0.3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 x14ac:dyDescent="0.3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 x14ac:dyDescent="0.3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 x14ac:dyDescent="0.3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 x14ac:dyDescent="0.3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 x14ac:dyDescent="0.3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 x14ac:dyDescent="0.3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 x14ac:dyDescent="0.3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2971600</v>
      </c>
    </row>
    <row r="33" spans="1:7" ht="15.75" customHeight="1" x14ac:dyDescent="0.3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 x14ac:dyDescent="0.3">
      <c r="A34" s="101" t="s">
        <v>9</v>
      </c>
      <c r="B34" s="101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10231760</v>
      </c>
      <c r="F34" s="55">
        <f t="shared" si="1"/>
        <v>29902565</v>
      </c>
      <c r="G34" s="55">
        <f t="shared" si="1"/>
        <v>64641415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332031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 x14ac:dyDescent="0.3">
      <c r="H2" s="103"/>
    </row>
    <row r="3" spans="1:13" ht="21.75" customHeight="1" x14ac:dyDescent="0.3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 x14ac:dyDescent="0.3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 x14ac:dyDescent="0.3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 x14ac:dyDescent="0.3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 x14ac:dyDescent="0.3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 x14ac:dyDescent="0.3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 x14ac:dyDescent="0.3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 x14ac:dyDescent="0.3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 x14ac:dyDescent="0.3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 x14ac:dyDescent="0.3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 x14ac:dyDescent="0.3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 x14ac:dyDescent="0.3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 x14ac:dyDescent="0.3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 x14ac:dyDescent="0.3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 x14ac:dyDescent="0.3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 x14ac:dyDescent="0.3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 x14ac:dyDescent="0.3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 x14ac:dyDescent="0.3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 x14ac:dyDescent="0.3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 x14ac:dyDescent="0.3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 x14ac:dyDescent="0.3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 x14ac:dyDescent="0.3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 x14ac:dyDescent="0.3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 x14ac:dyDescent="0.3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 x14ac:dyDescent="0.3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 x14ac:dyDescent="0.3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 x14ac:dyDescent="0.3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 x14ac:dyDescent="0.3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 x14ac:dyDescent="0.3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 x14ac:dyDescent="0.3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 x14ac:dyDescent="0.3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 x14ac:dyDescent="0.3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 x14ac:dyDescent="0.3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 x14ac:dyDescent="0.3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 x14ac:dyDescent="0.3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 x14ac:dyDescent="0.3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 x14ac:dyDescent="0.3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 x14ac:dyDescent="0.3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 x14ac:dyDescent="0.3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 x14ac:dyDescent="0.3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 x14ac:dyDescent="0.3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 x14ac:dyDescent="0.3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 x14ac:dyDescent="0.3">
      <c r="A45" s="4"/>
      <c r="C45" s="4"/>
      <c r="E45" s="4"/>
      <c r="G45" s="4"/>
      <c r="H45" s="103"/>
      <c r="I45" s="4"/>
      <c r="J45" s="4"/>
      <c r="K45" s="4"/>
      <c r="L45" s="4"/>
      <c r="M45" s="4" t="s">
        <v>374</v>
      </c>
    </row>
    <row r="46" spans="1:13" ht="15.75" customHeight="1" x14ac:dyDescent="0.3">
      <c r="A46" s="3"/>
      <c r="C46" s="3"/>
      <c r="E46" s="3"/>
      <c r="G46" s="3"/>
      <c r="H46" s="103"/>
      <c r="I46" s="3"/>
      <c r="J46" s="3"/>
      <c r="K46" s="3" t="s">
        <v>174</v>
      </c>
      <c r="L46" s="3"/>
      <c r="M46" s="3"/>
    </row>
    <row r="47" spans="1:13" ht="15.75" customHeight="1" x14ac:dyDescent="0.3">
      <c r="A47" s="4"/>
      <c r="C47" s="4"/>
      <c r="E47" s="4"/>
      <c r="G47" s="4"/>
      <c r="H47" s="103"/>
      <c r="I47" s="4"/>
      <c r="J47" s="4"/>
      <c r="K47" s="4" t="s">
        <v>175</v>
      </c>
      <c r="L47" s="4"/>
      <c r="M47" s="4"/>
    </row>
    <row r="48" spans="1:13" ht="15.75" customHeight="1" x14ac:dyDescent="0.3">
      <c r="A48" s="3"/>
      <c r="C48" s="3"/>
      <c r="E48" s="3"/>
      <c r="G48" s="3"/>
      <c r="H48" s="103"/>
      <c r="I48" s="3"/>
      <c r="J48" s="3"/>
      <c r="K48" s="3" t="s">
        <v>176</v>
      </c>
      <c r="L48" s="3"/>
      <c r="M48" s="3"/>
    </row>
    <row r="49" spans="1:13" ht="18" customHeight="1" x14ac:dyDescent="0.3">
      <c r="H49" s="103"/>
      <c r="I49" s="4"/>
      <c r="J49" s="4"/>
      <c r="K49" s="4" t="s">
        <v>177</v>
      </c>
      <c r="L49" s="4"/>
      <c r="M49" s="4"/>
    </row>
    <row r="50" spans="1:13" ht="21" customHeight="1" x14ac:dyDescent="0.3">
      <c r="A50" s="6" t="s">
        <v>178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179</v>
      </c>
      <c r="L50" s="3"/>
      <c r="M50" s="3"/>
    </row>
    <row r="51" spans="1:13" ht="24" customHeight="1" x14ac:dyDescent="0.3">
      <c r="H51" s="103"/>
      <c r="I51" s="4"/>
      <c r="J51" s="4"/>
      <c r="K51" s="4"/>
      <c r="L51" s="4"/>
      <c r="M51" s="4"/>
    </row>
    <row r="52" spans="1:13" ht="24" customHeight="1" x14ac:dyDescent="0.3">
      <c r="H52" s="103"/>
      <c r="I52" s="3"/>
      <c r="J52" s="3"/>
      <c r="K52" s="3"/>
      <c r="L52" s="3"/>
      <c r="M52" s="3"/>
    </row>
    <row r="53" spans="1:13" ht="36" customHeight="1" x14ac:dyDescent="0.3">
      <c r="H53" s="103"/>
      <c r="I53" s="4"/>
      <c r="J53" s="4"/>
      <c r="K53" s="4"/>
      <c r="L53" s="4"/>
      <c r="M53" s="4"/>
    </row>
    <row r="54" spans="1:13" ht="15" customHeight="1" x14ac:dyDescent="0.3">
      <c r="H54" s="103"/>
      <c r="I54" s="3"/>
      <c r="J54" s="3"/>
      <c r="K54" s="3"/>
      <c r="L54" s="3"/>
      <c r="M54" s="3"/>
    </row>
    <row r="55" spans="1:13" ht="15" customHeight="1" x14ac:dyDescent="0.3">
      <c r="H55" s="103"/>
      <c r="I55" s="4"/>
      <c r="J55" s="4"/>
      <c r="K55" s="4"/>
      <c r="L55" s="4"/>
      <c r="M55" s="4"/>
    </row>
    <row r="56" spans="1:13" ht="15" customHeight="1" x14ac:dyDescent="0.3">
      <c r="H56" s="103"/>
      <c r="I56" s="3"/>
      <c r="J56" s="3"/>
      <c r="K56" s="3"/>
      <c r="L56" s="3"/>
      <c r="M56" s="3"/>
    </row>
    <row r="57" spans="1:13" ht="15" customHeight="1" x14ac:dyDescent="0.3">
      <c r="H57" s="103"/>
      <c r="I57" s="4"/>
      <c r="J57" s="4"/>
      <c r="K57" s="4"/>
      <c r="L57" s="4"/>
      <c r="M57" s="4"/>
    </row>
    <row r="58" spans="1:13" ht="15" customHeight="1" x14ac:dyDescent="0.3">
      <c r="H58" s="103"/>
      <c r="I58" s="3"/>
      <c r="J58" s="3"/>
      <c r="K58" s="3"/>
      <c r="L58" s="3"/>
      <c r="M58" s="3"/>
    </row>
    <row r="59" spans="1:13" ht="15" customHeight="1" x14ac:dyDescent="0.3">
      <c r="H59" s="103"/>
      <c r="I59" s="4"/>
      <c r="J59" s="4"/>
      <c r="K59" s="4"/>
      <c r="L59" s="4"/>
      <c r="M59" s="4"/>
    </row>
    <row r="60" spans="1:13" ht="15" customHeight="1" x14ac:dyDescent="0.3">
      <c r="H60" s="103"/>
      <c r="I60" s="3"/>
      <c r="J60" s="3"/>
      <c r="K60" s="3"/>
      <c r="L60" s="3"/>
      <c r="M60" s="3"/>
    </row>
    <row r="61" spans="1:13" ht="15" customHeight="1" x14ac:dyDescent="0.3">
      <c r="H61" s="103"/>
      <c r="I61" s="4"/>
      <c r="J61" s="4"/>
      <c r="K61" s="4"/>
      <c r="L61" s="4"/>
      <c r="M61" s="4"/>
    </row>
    <row r="62" spans="1:13" ht="15" customHeight="1" x14ac:dyDescent="0.3">
      <c r="H62" s="103"/>
      <c r="I62" s="3"/>
      <c r="J62" s="3"/>
      <c r="K62" s="3"/>
      <c r="L62" s="3"/>
      <c r="M62" s="3"/>
    </row>
    <row r="63" spans="1:13" ht="15" customHeight="1" x14ac:dyDescent="0.3">
      <c r="H63" s="103"/>
      <c r="I63" s="4"/>
      <c r="J63" s="4"/>
      <c r="K63" s="4"/>
      <c r="L63" s="4"/>
      <c r="M63" s="4"/>
    </row>
    <row r="64" spans="1:13" ht="15" customHeight="1" x14ac:dyDescent="0.3">
      <c r="H64" s="103"/>
      <c r="I64" s="3"/>
      <c r="J64" s="3"/>
      <c r="K64" s="3"/>
      <c r="L64" s="3"/>
      <c r="M64" s="3"/>
    </row>
    <row r="65" spans="8:13" ht="15" customHeight="1" x14ac:dyDescent="0.3">
      <c r="H65" s="103"/>
      <c r="I65" s="4"/>
      <c r="J65" s="4"/>
      <c r="K65" s="4"/>
      <c r="L65" s="4"/>
      <c r="M65" s="4"/>
    </row>
    <row r="66" spans="8:13" ht="15" customHeight="1" x14ac:dyDescent="0.3">
      <c r="H66" s="103"/>
      <c r="I66" s="3"/>
      <c r="J66" s="3"/>
      <c r="K66" s="3"/>
      <c r="L66" s="3"/>
      <c r="M66" s="3"/>
    </row>
    <row r="67" spans="8:13" ht="15" customHeight="1" x14ac:dyDescent="0.3">
      <c r="H67" s="103"/>
      <c r="I67" s="4"/>
      <c r="J67" s="4"/>
      <c r="K67" s="4"/>
      <c r="L67" s="4"/>
      <c r="M67" s="4"/>
    </row>
    <row r="68" spans="8:13" ht="15" customHeight="1" x14ac:dyDescent="0.3">
      <c r="H68" s="103"/>
      <c r="I68" s="3"/>
      <c r="J68" s="3"/>
      <c r="K68" s="3"/>
      <c r="L68" s="3"/>
      <c r="M68" s="3"/>
    </row>
    <row r="69" spans="8:13" ht="15" customHeight="1" x14ac:dyDescent="0.3">
      <c r="H69" s="103"/>
      <c r="I69" s="4"/>
      <c r="J69" s="4"/>
      <c r="K69" s="4"/>
      <c r="L69" s="4"/>
      <c r="M69" s="4"/>
    </row>
    <row r="70" spans="8:13" ht="15" customHeight="1" x14ac:dyDescent="0.3">
      <c r="H70" s="103"/>
      <c r="I70" s="3"/>
      <c r="J70" s="3"/>
      <c r="K70" s="3"/>
      <c r="L70" s="3"/>
      <c r="M70" s="3"/>
    </row>
    <row r="71" spans="8:13" ht="15" customHeight="1" x14ac:dyDescent="0.3">
      <c r="H71" s="103"/>
      <c r="I71" s="4"/>
      <c r="J71" s="4"/>
      <c r="K71" s="4"/>
      <c r="L71" s="4"/>
      <c r="M71" s="4"/>
    </row>
    <row r="72" spans="8:13" ht="15" customHeight="1" x14ac:dyDescent="0.3">
      <c r="H72" s="103"/>
      <c r="I72" s="3"/>
      <c r="J72" s="3"/>
      <c r="K72" s="3"/>
      <c r="L72" s="3"/>
      <c r="M72" s="3"/>
    </row>
    <row r="73" spans="8:13" ht="15" customHeight="1" x14ac:dyDescent="0.3">
      <c r="H73" s="103"/>
      <c r="I73" s="4"/>
      <c r="J73" s="4"/>
      <c r="K73" s="4"/>
      <c r="L73" s="4"/>
      <c r="M73" s="4"/>
    </row>
    <row r="74" spans="8:13" ht="15" customHeight="1" x14ac:dyDescent="0.3">
      <c r="H74" s="103"/>
      <c r="I74" s="3"/>
      <c r="J74" s="3"/>
      <c r="K74" s="3"/>
      <c r="L74" s="3"/>
      <c r="M74" s="3"/>
    </row>
    <row r="75" spans="8:13" ht="15" customHeight="1" x14ac:dyDescent="0.3">
      <c r="H75" s="103"/>
      <c r="I75" s="4"/>
      <c r="J75" s="4"/>
      <c r="K75" s="4"/>
      <c r="L75" s="4"/>
      <c r="M75" s="4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H747" sqref="H747"/>
    </sheetView>
  </sheetViews>
  <sheetFormatPr defaultColWidth="8.5546875" defaultRowHeight="14.4" x14ac:dyDescent="0.3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09375" style="7" customWidth="1"/>
    <col min="8" max="8" width="23.44140625" style="7" customWidth="1"/>
    <col min="9" max="9" width="43.109375" style="7" customWidth="1"/>
    <col min="10" max="10" width="14" style="7" customWidth="1"/>
    <col min="11" max="11" width="13.109375" style="7" customWidth="1"/>
    <col min="12" max="12" width="14" style="74" customWidth="1"/>
    <col min="13" max="13" width="50.44140625" style="7" customWidth="1"/>
    <col min="14" max="14" width="14" style="7" customWidth="1"/>
  </cols>
  <sheetData>
    <row r="1" spans="1:14" ht="37.5" customHeight="1" x14ac:dyDescent="0.3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 x14ac:dyDescent="0.3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 x14ac:dyDescent="0.3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 x14ac:dyDescent="0.3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 x14ac:dyDescent="0.3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 x14ac:dyDescent="0.3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 x14ac:dyDescent="0.3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 x14ac:dyDescent="0.3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 x14ac:dyDescent="0.3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 x14ac:dyDescent="0.3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 x14ac:dyDescent="0.3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 x14ac:dyDescent="0.3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 x14ac:dyDescent="0.3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 x14ac:dyDescent="0.3">
      <c r="A14" s="97" t="s">
        <v>190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 x14ac:dyDescent="0.3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 x14ac:dyDescent="0.3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 x14ac:dyDescent="0.3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 x14ac:dyDescent="0.3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 x14ac:dyDescent="0.3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 x14ac:dyDescent="0.3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 x14ac:dyDescent="0.3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 x14ac:dyDescent="0.3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 x14ac:dyDescent="0.3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 x14ac:dyDescent="0.3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 x14ac:dyDescent="0.3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 x14ac:dyDescent="0.3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 x14ac:dyDescent="0.3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 x14ac:dyDescent="0.3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 x14ac:dyDescent="0.3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 x14ac:dyDescent="0.3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 x14ac:dyDescent="0.3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 x14ac:dyDescent="0.3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 x14ac:dyDescent="0.3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 x14ac:dyDescent="0.3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 x14ac:dyDescent="0.3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 x14ac:dyDescent="0.3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 x14ac:dyDescent="0.3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 x14ac:dyDescent="0.3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 x14ac:dyDescent="0.3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 x14ac:dyDescent="0.3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3">
      <c r="A41" s="97" t="s">
        <v>190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 x14ac:dyDescent="0.3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 x14ac:dyDescent="0.3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 x14ac:dyDescent="0.3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 x14ac:dyDescent="0.3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 x14ac:dyDescent="0.3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 x14ac:dyDescent="0.3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 x14ac:dyDescent="0.3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 x14ac:dyDescent="0.3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 x14ac:dyDescent="0.3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 x14ac:dyDescent="0.3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 x14ac:dyDescent="0.3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 x14ac:dyDescent="0.3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3">
      <c r="A54" s="97" t="s">
        <v>192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 x14ac:dyDescent="0.3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 x14ac:dyDescent="0.3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 x14ac:dyDescent="0.3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 x14ac:dyDescent="0.3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 x14ac:dyDescent="0.3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 x14ac:dyDescent="0.3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 x14ac:dyDescent="0.3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 x14ac:dyDescent="0.3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 x14ac:dyDescent="0.3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 x14ac:dyDescent="0.3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 x14ac:dyDescent="0.3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 x14ac:dyDescent="0.3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 x14ac:dyDescent="0.3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 x14ac:dyDescent="0.3">
      <c r="A68" s="97" t="s">
        <v>190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 x14ac:dyDescent="0.3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 x14ac:dyDescent="0.3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 x14ac:dyDescent="0.3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 x14ac:dyDescent="0.3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 x14ac:dyDescent="0.3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 x14ac:dyDescent="0.3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 x14ac:dyDescent="0.3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 x14ac:dyDescent="0.3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 x14ac:dyDescent="0.3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 x14ac:dyDescent="0.3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 x14ac:dyDescent="0.3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 x14ac:dyDescent="0.3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 x14ac:dyDescent="0.3">
      <c r="A81" s="97" t="s">
        <v>192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 x14ac:dyDescent="0.3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 x14ac:dyDescent="0.3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 x14ac:dyDescent="0.3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 x14ac:dyDescent="0.3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 x14ac:dyDescent="0.3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 x14ac:dyDescent="0.3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 x14ac:dyDescent="0.3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 x14ac:dyDescent="0.3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 x14ac:dyDescent="0.3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 x14ac:dyDescent="0.3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 x14ac:dyDescent="0.3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 x14ac:dyDescent="0.3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 x14ac:dyDescent="0.3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 x14ac:dyDescent="0.3">
      <c r="A95" s="97" t="s">
        <v>190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 x14ac:dyDescent="0.3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 x14ac:dyDescent="0.3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 x14ac:dyDescent="0.3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 x14ac:dyDescent="0.3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 x14ac:dyDescent="0.3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 x14ac:dyDescent="0.3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 x14ac:dyDescent="0.3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 x14ac:dyDescent="0.3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 x14ac:dyDescent="0.3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 x14ac:dyDescent="0.3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 x14ac:dyDescent="0.3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 x14ac:dyDescent="0.3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 x14ac:dyDescent="0.3">
      <c r="A108" s="97" t="s">
        <v>192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 x14ac:dyDescent="0.3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 x14ac:dyDescent="0.3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 x14ac:dyDescent="0.3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 x14ac:dyDescent="0.3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 x14ac:dyDescent="0.3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 x14ac:dyDescent="0.3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 x14ac:dyDescent="0.3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 x14ac:dyDescent="0.3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 x14ac:dyDescent="0.3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 x14ac:dyDescent="0.3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 x14ac:dyDescent="0.3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 x14ac:dyDescent="0.3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 x14ac:dyDescent="0.3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 x14ac:dyDescent="0.3">
      <c r="A122" s="97" t="s">
        <v>190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 x14ac:dyDescent="0.3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 x14ac:dyDescent="0.3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 x14ac:dyDescent="0.3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 x14ac:dyDescent="0.3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 x14ac:dyDescent="0.3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 x14ac:dyDescent="0.3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 x14ac:dyDescent="0.3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 x14ac:dyDescent="0.3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 x14ac:dyDescent="0.3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 x14ac:dyDescent="0.3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 x14ac:dyDescent="0.3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 x14ac:dyDescent="0.3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 x14ac:dyDescent="0.3">
      <c r="A135" s="97" t="s">
        <v>192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 x14ac:dyDescent="0.3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 x14ac:dyDescent="0.3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 x14ac:dyDescent="0.3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 x14ac:dyDescent="0.3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 x14ac:dyDescent="0.3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 x14ac:dyDescent="0.3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 x14ac:dyDescent="0.3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 x14ac:dyDescent="0.3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 x14ac:dyDescent="0.3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 x14ac:dyDescent="0.3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 x14ac:dyDescent="0.3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 x14ac:dyDescent="0.3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 x14ac:dyDescent="0.3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 x14ac:dyDescent="0.35">
      <c r="A149" s="97" t="s">
        <v>190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 x14ac:dyDescent="0.3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 x14ac:dyDescent="0.3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 x14ac:dyDescent="0.3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 x14ac:dyDescent="0.3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 x14ac:dyDescent="0.3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 x14ac:dyDescent="0.3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 x14ac:dyDescent="0.3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 x14ac:dyDescent="0.3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 x14ac:dyDescent="0.3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 x14ac:dyDescent="0.3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 x14ac:dyDescent="0.3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 x14ac:dyDescent="0.3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 x14ac:dyDescent="0.35">
      <c r="A162" s="97" t="s">
        <v>192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 x14ac:dyDescent="0.3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 x14ac:dyDescent="0.3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 x14ac:dyDescent="0.3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 x14ac:dyDescent="0.3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 x14ac:dyDescent="0.3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 x14ac:dyDescent="0.3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 x14ac:dyDescent="0.3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 x14ac:dyDescent="0.3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 x14ac:dyDescent="0.3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 x14ac:dyDescent="0.3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 x14ac:dyDescent="0.3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 x14ac:dyDescent="0.3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 x14ac:dyDescent="0.3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 x14ac:dyDescent="0.3">
      <c r="A176" s="97" t="s">
        <v>190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 x14ac:dyDescent="0.3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 x14ac:dyDescent="0.3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 x14ac:dyDescent="0.3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 x14ac:dyDescent="0.3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 x14ac:dyDescent="0.3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 x14ac:dyDescent="0.3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 x14ac:dyDescent="0.3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 x14ac:dyDescent="0.3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 x14ac:dyDescent="0.3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 x14ac:dyDescent="0.3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 x14ac:dyDescent="0.3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 x14ac:dyDescent="0.3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 x14ac:dyDescent="0.3">
      <c r="A189" s="97" t="s">
        <v>192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 x14ac:dyDescent="0.3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 x14ac:dyDescent="0.3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 x14ac:dyDescent="0.3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 x14ac:dyDescent="0.3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 x14ac:dyDescent="0.3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 x14ac:dyDescent="0.3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 x14ac:dyDescent="0.3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 x14ac:dyDescent="0.3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 x14ac:dyDescent="0.3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 x14ac:dyDescent="0.3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 x14ac:dyDescent="0.3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 x14ac:dyDescent="0.3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 x14ac:dyDescent="0.3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 x14ac:dyDescent="0.3">
      <c r="A203" s="97" t="s">
        <v>190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 x14ac:dyDescent="0.3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 x14ac:dyDescent="0.3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 x14ac:dyDescent="0.3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 x14ac:dyDescent="0.3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 x14ac:dyDescent="0.3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 x14ac:dyDescent="0.3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 x14ac:dyDescent="0.3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 x14ac:dyDescent="0.3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 x14ac:dyDescent="0.3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 x14ac:dyDescent="0.3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 x14ac:dyDescent="0.3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 x14ac:dyDescent="0.3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 x14ac:dyDescent="0.3">
      <c r="A216" s="97" t="s">
        <v>192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 x14ac:dyDescent="0.3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 x14ac:dyDescent="0.3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 x14ac:dyDescent="0.3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 x14ac:dyDescent="0.3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 x14ac:dyDescent="0.3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 x14ac:dyDescent="0.3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 x14ac:dyDescent="0.3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 x14ac:dyDescent="0.3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 x14ac:dyDescent="0.3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 x14ac:dyDescent="0.3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 x14ac:dyDescent="0.3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 x14ac:dyDescent="0.3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 x14ac:dyDescent="0.3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 x14ac:dyDescent="0.3">
      <c r="A230" s="97" t="s">
        <v>190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 x14ac:dyDescent="0.3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 x14ac:dyDescent="0.3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 x14ac:dyDescent="0.3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 x14ac:dyDescent="0.3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 x14ac:dyDescent="0.3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 x14ac:dyDescent="0.3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 x14ac:dyDescent="0.3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 x14ac:dyDescent="0.3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 x14ac:dyDescent="0.3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 x14ac:dyDescent="0.3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 x14ac:dyDescent="0.3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 x14ac:dyDescent="0.3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 x14ac:dyDescent="0.3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 x14ac:dyDescent="0.3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 x14ac:dyDescent="0.3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 x14ac:dyDescent="0.3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 x14ac:dyDescent="0.3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 x14ac:dyDescent="0.3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 x14ac:dyDescent="0.3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 x14ac:dyDescent="0.3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 x14ac:dyDescent="0.3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 x14ac:dyDescent="0.3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 x14ac:dyDescent="0.3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 x14ac:dyDescent="0.3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 x14ac:dyDescent="0.3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 x14ac:dyDescent="0.3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 x14ac:dyDescent="0.3">
      <c r="A257" s="97" t="s">
        <v>190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 x14ac:dyDescent="0.3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 x14ac:dyDescent="0.3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 x14ac:dyDescent="0.3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 x14ac:dyDescent="0.3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 x14ac:dyDescent="0.3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 x14ac:dyDescent="0.3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 x14ac:dyDescent="0.3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 x14ac:dyDescent="0.3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 x14ac:dyDescent="0.3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 x14ac:dyDescent="0.3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 x14ac:dyDescent="0.3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 x14ac:dyDescent="0.3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 x14ac:dyDescent="0.3">
      <c r="A270" s="97" t="s">
        <v>192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 x14ac:dyDescent="0.3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 x14ac:dyDescent="0.3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 x14ac:dyDescent="0.3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 x14ac:dyDescent="0.3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 x14ac:dyDescent="0.3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 x14ac:dyDescent="0.3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 x14ac:dyDescent="0.3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 x14ac:dyDescent="0.3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 x14ac:dyDescent="0.3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 x14ac:dyDescent="0.3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 x14ac:dyDescent="0.3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 x14ac:dyDescent="0.3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 x14ac:dyDescent="0.3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 x14ac:dyDescent="0.3">
      <c r="A284" s="97" t="s">
        <v>190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 x14ac:dyDescent="0.3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 x14ac:dyDescent="0.3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 x14ac:dyDescent="0.3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 x14ac:dyDescent="0.3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 x14ac:dyDescent="0.3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 x14ac:dyDescent="0.3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 x14ac:dyDescent="0.3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 x14ac:dyDescent="0.3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 x14ac:dyDescent="0.3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 x14ac:dyDescent="0.3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 x14ac:dyDescent="0.3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 x14ac:dyDescent="0.3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 x14ac:dyDescent="0.3">
      <c r="A297" s="97" t="s">
        <v>192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 x14ac:dyDescent="0.3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 x14ac:dyDescent="0.3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 x14ac:dyDescent="0.3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 x14ac:dyDescent="0.3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 x14ac:dyDescent="0.3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 x14ac:dyDescent="0.3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 x14ac:dyDescent="0.3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 x14ac:dyDescent="0.3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 x14ac:dyDescent="0.3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 x14ac:dyDescent="0.3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 x14ac:dyDescent="0.3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 x14ac:dyDescent="0.3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 x14ac:dyDescent="0.3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 x14ac:dyDescent="0.3">
      <c r="A311" s="97" t="s">
        <v>190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 x14ac:dyDescent="0.3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 x14ac:dyDescent="0.3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 x14ac:dyDescent="0.3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 x14ac:dyDescent="0.3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 x14ac:dyDescent="0.3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 x14ac:dyDescent="0.3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 x14ac:dyDescent="0.3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 x14ac:dyDescent="0.3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 x14ac:dyDescent="0.3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 x14ac:dyDescent="0.3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 x14ac:dyDescent="0.3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 x14ac:dyDescent="0.3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 x14ac:dyDescent="0.3">
      <c r="A324" s="97" t="s">
        <v>192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 x14ac:dyDescent="0.3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 x14ac:dyDescent="0.3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 x14ac:dyDescent="0.3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 x14ac:dyDescent="0.3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 x14ac:dyDescent="0.3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 x14ac:dyDescent="0.3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 x14ac:dyDescent="0.3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 x14ac:dyDescent="0.3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 x14ac:dyDescent="0.3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 x14ac:dyDescent="0.3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 x14ac:dyDescent="0.3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 x14ac:dyDescent="0.3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 x14ac:dyDescent="0.3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 x14ac:dyDescent="0.3">
      <c r="A338" s="97" t="s">
        <v>190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 x14ac:dyDescent="0.3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 x14ac:dyDescent="0.3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 x14ac:dyDescent="0.3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 x14ac:dyDescent="0.3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 x14ac:dyDescent="0.3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 x14ac:dyDescent="0.3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 x14ac:dyDescent="0.3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 x14ac:dyDescent="0.3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 x14ac:dyDescent="0.3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 x14ac:dyDescent="0.3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 x14ac:dyDescent="0.3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 x14ac:dyDescent="0.3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 x14ac:dyDescent="0.3">
      <c r="A351" s="97" t="s">
        <v>192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 x14ac:dyDescent="0.3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 x14ac:dyDescent="0.3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 x14ac:dyDescent="0.3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 x14ac:dyDescent="0.3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 x14ac:dyDescent="0.3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 x14ac:dyDescent="0.3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 x14ac:dyDescent="0.3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 x14ac:dyDescent="0.3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 x14ac:dyDescent="0.3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 x14ac:dyDescent="0.3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 x14ac:dyDescent="0.3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 x14ac:dyDescent="0.3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 x14ac:dyDescent="0.3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 x14ac:dyDescent="0.3">
      <c r="A365" s="97" t="s">
        <v>190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 x14ac:dyDescent="0.3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 x14ac:dyDescent="0.3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 x14ac:dyDescent="0.3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 x14ac:dyDescent="0.3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 x14ac:dyDescent="0.3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 x14ac:dyDescent="0.3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 x14ac:dyDescent="0.3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 x14ac:dyDescent="0.3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 x14ac:dyDescent="0.3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 x14ac:dyDescent="0.3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 x14ac:dyDescent="0.3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 x14ac:dyDescent="0.3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 x14ac:dyDescent="0.3">
      <c r="A378" s="97" t="s">
        <v>192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 x14ac:dyDescent="0.3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 x14ac:dyDescent="0.3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 x14ac:dyDescent="0.3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 x14ac:dyDescent="0.3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 x14ac:dyDescent="0.3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 x14ac:dyDescent="0.3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 x14ac:dyDescent="0.3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 x14ac:dyDescent="0.3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 x14ac:dyDescent="0.3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 x14ac:dyDescent="0.3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 x14ac:dyDescent="0.3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 x14ac:dyDescent="0.3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 x14ac:dyDescent="0.3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 x14ac:dyDescent="0.3">
      <c r="A392" s="97" t="s">
        <v>190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 x14ac:dyDescent="0.3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 x14ac:dyDescent="0.3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 x14ac:dyDescent="0.3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 x14ac:dyDescent="0.3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 x14ac:dyDescent="0.3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 x14ac:dyDescent="0.3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 x14ac:dyDescent="0.3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 x14ac:dyDescent="0.3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 x14ac:dyDescent="0.3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 x14ac:dyDescent="0.3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 x14ac:dyDescent="0.3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 x14ac:dyDescent="0.3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 x14ac:dyDescent="0.3">
      <c r="A405" s="97" t="s">
        <v>192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 x14ac:dyDescent="0.3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 x14ac:dyDescent="0.3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 x14ac:dyDescent="0.3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 x14ac:dyDescent="0.3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 x14ac:dyDescent="0.3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 x14ac:dyDescent="0.3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 x14ac:dyDescent="0.3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 x14ac:dyDescent="0.3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 x14ac:dyDescent="0.3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 x14ac:dyDescent="0.3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 x14ac:dyDescent="0.3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 x14ac:dyDescent="0.3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 x14ac:dyDescent="0.3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 x14ac:dyDescent="0.3">
      <c r="A419" s="97" t="s">
        <v>190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 x14ac:dyDescent="0.3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 x14ac:dyDescent="0.3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 x14ac:dyDescent="0.3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 x14ac:dyDescent="0.3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 x14ac:dyDescent="0.3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 x14ac:dyDescent="0.3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 x14ac:dyDescent="0.3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 x14ac:dyDescent="0.3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 x14ac:dyDescent="0.3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 x14ac:dyDescent="0.3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 x14ac:dyDescent="0.3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 x14ac:dyDescent="0.3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 x14ac:dyDescent="0.3">
      <c r="A432" s="97" t="s">
        <v>192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 x14ac:dyDescent="0.3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 x14ac:dyDescent="0.3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 x14ac:dyDescent="0.3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 x14ac:dyDescent="0.3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 x14ac:dyDescent="0.3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 x14ac:dyDescent="0.3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 x14ac:dyDescent="0.3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 x14ac:dyDescent="0.3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 x14ac:dyDescent="0.3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 x14ac:dyDescent="0.3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 x14ac:dyDescent="0.3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 x14ac:dyDescent="0.3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 x14ac:dyDescent="0.3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 x14ac:dyDescent="0.3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 x14ac:dyDescent="0.3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 x14ac:dyDescent="0.3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 x14ac:dyDescent="0.3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 x14ac:dyDescent="0.3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 x14ac:dyDescent="0.3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 x14ac:dyDescent="0.3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 x14ac:dyDescent="0.3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 x14ac:dyDescent="0.3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 x14ac:dyDescent="0.3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 x14ac:dyDescent="0.3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 x14ac:dyDescent="0.3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 x14ac:dyDescent="0.3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 x14ac:dyDescent="0.3">
      <c r="A459" s="97" t="s">
        <v>192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 x14ac:dyDescent="0.3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 x14ac:dyDescent="0.3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 x14ac:dyDescent="0.3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 x14ac:dyDescent="0.3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 x14ac:dyDescent="0.3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 x14ac:dyDescent="0.3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 x14ac:dyDescent="0.3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 x14ac:dyDescent="0.3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 x14ac:dyDescent="0.3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 x14ac:dyDescent="0.3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 x14ac:dyDescent="0.3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 x14ac:dyDescent="0.3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 x14ac:dyDescent="0.3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 x14ac:dyDescent="0.3">
      <c r="A473" s="97" t="s">
        <v>190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 x14ac:dyDescent="0.3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 x14ac:dyDescent="0.3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 x14ac:dyDescent="0.3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 x14ac:dyDescent="0.3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 x14ac:dyDescent="0.3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 x14ac:dyDescent="0.3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 x14ac:dyDescent="0.3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 x14ac:dyDescent="0.3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 x14ac:dyDescent="0.3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 x14ac:dyDescent="0.3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 x14ac:dyDescent="0.3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 x14ac:dyDescent="0.3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 x14ac:dyDescent="0.3">
      <c r="A486" s="97" t="s">
        <v>192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 x14ac:dyDescent="0.3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 x14ac:dyDescent="0.3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 x14ac:dyDescent="0.3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 x14ac:dyDescent="0.3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 x14ac:dyDescent="0.3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 x14ac:dyDescent="0.3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 x14ac:dyDescent="0.3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 x14ac:dyDescent="0.3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 x14ac:dyDescent="0.3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 x14ac:dyDescent="0.3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 x14ac:dyDescent="0.3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 x14ac:dyDescent="0.3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 x14ac:dyDescent="0.3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 x14ac:dyDescent="0.3">
      <c r="A500" s="97" t="s">
        <v>190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 x14ac:dyDescent="0.3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 x14ac:dyDescent="0.3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 x14ac:dyDescent="0.3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 x14ac:dyDescent="0.3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 x14ac:dyDescent="0.3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 x14ac:dyDescent="0.3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 x14ac:dyDescent="0.3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 x14ac:dyDescent="0.3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 x14ac:dyDescent="0.3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 x14ac:dyDescent="0.3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 x14ac:dyDescent="0.3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 x14ac:dyDescent="0.3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 x14ac:dyDescent="0.3">
      <c r="A513" s="97" t="s">
        <v>192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 x14ac:dyDescent="0.3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 x14ac:dyDescent="0.3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 x14ac:dyDescent="0.3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 x14ac:dyDescent="0.3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 x14ac:dyDescent="0.3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 x14ac:dyDescent="0.3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 x14ac:dyDescent="0.3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 x14ac:dyDescent="0.3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 x14ac:dyDescent="0.3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 x14ac:dyDescent="0.3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 x14ac:dyDescent="0.3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 x14ac:dyDescent="0.3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 x14ac:dyDescent="0.3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 x14ac:dyDescent="0.3">
      <c r="A527" s="97" t="s">
        <v>190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 x14ac:dyDescent="0.3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 x14ac:dyDescent="0.3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 x14ac:dyDescent="0.3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 x14ac:dyDescent="0.3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 x14ac:dyDescent="0.3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 x14ac:dyDescent="0.3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 x14ac:dyDescent="0.3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 x14ac:dyDescent="0.3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 x14ac:dyDescent="0.3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 x14ac:dyDescent="0.3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 x14ac:dyDescent="0.3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 x14ac:dyDescent="0.3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 x14ac:dyDescent="0.3">
      <c r="A540" s="97" t="s">
        <v>192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 x14ac:dyDescent="0.3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 x14ac:dyDescent="0.3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 x14ac:dyDescent="0.3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 x14ac:dyDescent="0.3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 x14ac:dyDescent="0.3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 x14ac:dyDescent="0.3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 x14ac:dyDescent="0.3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 x14ac:dyDescent="0.3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 x14ac:dyDescent="0.3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 x14ac:dyDescent="0.3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 x14ac:dyDescent="0.3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 x14ac:dyDescent="0.3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 x14ac:dyDescent="0.3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 x14ac:dyDescent="0.3">
      <c r="A554" s="97" t="s">
        <v>190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 x14ac:dyDescent="0.3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 x14ac:dyDescent="0.3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 x14ac:dyDescent="0.3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 x14ac:dyDescent="0.3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 x14ac:dyDescent="0.3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 x14ac:dyDescent="0.3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 x14ac:dyDescent="0.3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 x14ac:dyDescent="0.3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 x14ac:dyDescent="0.3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 x14ac:dyDescent="0.3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 x14ac:dyDescent="0.3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 x14ac:dyDescent="0.3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 x14ac:dyDescent="0.3">
      <c r="A567" s="97" t="s">
        <v>192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 x14ac:dyDescent="0.3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 x14ac:dyDescent="0.3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 x14ac:dyDescent="0.3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 x14ac:dyDescent="0.3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 x14ac:dyDescent="0.3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 x14ac:dyDescent="0.3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 x14ac:dyDescent="0.3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 x14ac:dyDescent="0.3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 x14ac:dyDescent="0.3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 x14ac:dyDescent="0.3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 x14ac:dyDescent="0.3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 x14ac:dyDescent="0.3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 x14ac:dyDescent="0.3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 x14ac:dyDescent="0.3">
      <c r="A581" s="97" t="s">
        <v>190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 x14ac:dyDescent="0.3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 x14ac:dyDescent="0.3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 x14ac:dyDescent="0.3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 x14ac:dyDescent="0.3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 x14ac:dyDescent="0.3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 x14ac:dyDescent="0.3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 x14ac:dyDescent="0.3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 x14ac:dyDescent="0.3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 x14ac:dyDescent="0.3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 x14ac:dyDescent="0.3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 x14ac:dyDescent="0.3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 x14ac:dyDescent="0.3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 x14ac:dyDescent="0.3">
      <c r="A594" s="97" t="s">
        <v>192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 x14ac:dyDescent="0.3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 x14ac:dyDescent="0.3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 x14ac:dyDescent="0.3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 x14ac:dyDescent="0.3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 x14ac:dyDescent="0.3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 x14ac:dyDescent="0.3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 x14ac:dyDescent="0.3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 x14ac:dyDescent="0.3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 x14ac:dyDescent="0.3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 x14ac:dyDescent="0.3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 x14ac:dyDescent="0.3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 x14ac:dyDescent="0.3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 x14ac:dyDescent="0.3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 x14ac:dyDescent="0.3">
      <c r="A608" s="97" t="s">
        <v>190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 x14ac:dyDescent="0.3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 x14ac:dyDescent="0.3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 x14ac:dyDescent="0.3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 x14ac:dyDescent="0.3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 x14ac:dyDescent="0.3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 x14ac:dyDescent="0.3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 x14ac:dyDescent="0.3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 x14ac:dyDescent="0.3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 x14ac:dyDescent="0.3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 x14ac:dyDescent="0.3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 x14ac:dyDescent="0.3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 x14ac:dyDescent="0.3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 x14ac:dyDescent="0.3">
      <c r="A621" s="97" t="s">
        <v>192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 x14ac:dyDescent="0.3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 x14ac:dyDescent="0.3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 x14ac:dyDescent="0.3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 x14ac:dyDescent="0.3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 x14ac:dyDescent="0.3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 x14ac:dyDescent="0.3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 x14ac:dyDescent="0.3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 x14ac:dyDescent="0.3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 x14ac:dyDescent="0.3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 x14ac:dyDescent="0.3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 x14ac:dyDescent="0.3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 x14ac:dyDescent="0.3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 x14ac:dyDescent="0.3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 x14ac:dyDescent="0.3">
      <c r="A635" s="97" t="s">
        <v>190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 x14ac:dyDescent="0.3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 x14ac:dyDescent="0.3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 x14ac:dyDescent="0.3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 x14ac:dyDescent="0.3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 x14ac:dyDescent="0.3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 x14ac:dyDescent="0.3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 x14ac:dyDescent="0.3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 x14ac:dyDescent="0.3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 x14ac:dyDescent="0.3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 x14ac:dyDescent="0.3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 x14ac:dyDescent="0.3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 x14ac:dyDescent="0.3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 x14ac:dyDescent="0.3">
      <c r="A648" s="97" t="s">
        <v>192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 x14ac:dyDescent="0.3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 x14ac:dyDescent="0.3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 x14ac:dyDescent="0.3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 x14ac:dyDescent="0.3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 x14ac:dyDescent="0.3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 x14ac:dyDescent="0.3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 x14ac:dyDescent="0.3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 x14ac:dyDescent="0.3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 x14ac:dyDescent="0.3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 x14ac:dyDescent="0.3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 x14ac:dyDescent="0.3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 x14ac:dyDescent="0.3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 x14ac:dyDescent="0.3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 x14ac:dyDescent="0.3">
      <c r="A662" s="97" t="s">
        <v>190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 x14ac:dyDescent="0.3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 x14ac:dyDescent="0.3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 x14ac:dyDescent="0.3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 x14ac:dyDescent="0.3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 x14ac:dyDescent="0.3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 x14ac:dyDescent="0.3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 x14ac:dyDescent="0.3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 x14ac:dyDescent="0.3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 x14ac:dyDescent="0.3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 x14ac:dyDescent="0.3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 x14ac:dyDescent="0.3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 x14ac:dyDescent="0.3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 x14ac:dyDescent="0.3">
      <c r="A675" s="97" t="s">
        <v>192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 x14ac:dyDescent="0.3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 x14ac:dyDescent="0.3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 x14ac:dyDescent="0.3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 x14ac:dyDescent="0.3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 x14ac:dyDescent="0.3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 x14ac:dyDescent="0.3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 x14ac:dyDescent="0.3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 x14ac:dyDescent="0.3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 x14ac:dyDescent="0.3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 x14ac:dyDescent="0.3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 x14ac:dyDescent="0.3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 x14ac:dyDescent="0.3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 x14ac:dyDescent="0.3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 x14ac:dyDescent="0.3">
      <c r="A689" s="97" t="s">
        <v>190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 x14ac:dyDescent="0.3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 x14ac:dyDescent="0.3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 x14ac:dyDescent="0.3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 x14ac:dyDescent="0.3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 x14ac:dyDescent="0.3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 x14ac:dyDescent="0.3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 x14ac:dyDescent="0.3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 x14ac:dyDescent="0.3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 x14ac:dyDescent="0.3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 x14ac:dyDescent="0.3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 x14ac:dyDescent="0.3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 x14ac:dyDescent="0.3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 x14ac:dyDescent="0.3">
      <c r="A702" s="97" t="s">
        <v>192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 x14ac:dyDescent="0.3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 x14ac:dyDescent="0.3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 x14ac:dyDescent="0.3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 x14ac:dyDescent="0.3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 x14ac:dyDescent="0.3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 x14ac:dyDescent="0.3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 x14ac:dyDescent="0.3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 x14ac:dyDescent="0.3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 x14ac:dyDescent="0.3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 x14ac:dyDescent="0.3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 x14ac:dyDescent="0.3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 x14ac:dyDescent="0.3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 x14ac:dyDescent="0.3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 x14ac:dyDescent="0.3">
      <c r="A716" s="97" t="s">
        <v>190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 x14ac:dyDescent="0.3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 x14ac:dyDescent="0.3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 x14ac:dyDescent="0.3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 x14ac:dyDescent="0.3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 x14ac:dyDescent="0.3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 x14ac:dyDescent="0.3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 x14ac:dyDescent="0.3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 x14ac:dyDescent="0.3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 x14ac:dyDescent="0.3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 x14ac:dyDescent="0.3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 x14ac:dyDescent="0.3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 x14ac:dyDescent="0.3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 x14ac:dyDescent="0.3">
      <c r="A729" s="97" t="s">
        <v>192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 x14ac:dyDescent="0.3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 x14ac:dyDescent="0.3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 x14ac:dyDescent="0.3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 x14ac:dyDescent="0.3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 x14ac:dyDescent="0.3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 x14ac:dyDescent="0.3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 x14ac:dyDescent="0.3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 x14ac:dyDescent="0.3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 x14ac:dyDescent="0.3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 x14ac:dyDescent="0.3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 x14ac:dyDescent="0.3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 x14ac:dyDescent="0.3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 x14ac:dyDescent="0.3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 x14ac:dyDescent="0.3">
      <c r="A743" s="97" t="s">
        <v>190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 x14ac:dyDescent="0.3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 x14ac:dyDescent="0.3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 x14ac:dyDescent="0.3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 x14ac:dyDescent="0.3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 x14ac:dyDescent="0.3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 x14ac:dyDescent="0.3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 x14ac:dyDescent="0.3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 x14ac:dyDescent="0.3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 x14ac:dyDescent="0.3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 x14ac:dyDescent="0.3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 x14ac:dyDescent="0.3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 x14ac:dyDescent="0.3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 x14ac:dyDescent="0.3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 x14ac:dyDescent="0.3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 x14ac:dyDescent="0.3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229</v>
      </c>
      <c r="N758" s="30"/>
    </row>
    <row r="759" spans="1:14" ht="15" customHeight="1" x14ac:dyDescent="0.3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373</v>
      </c>
      <c r="N759" s="30"/>
    </row>
    <row r="760" spans="1:14" ht="15" customHeight="1" x14ac:dyDescent="0.3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 x14ac:dyDescent="0.3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 x14ac:dyDescent="0.3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 x14ac:dyDescent="0.3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 x14ac:dyDescent="0.3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 x14ac:dyDescent="0.3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 x14ac:dyDescent="0.3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 x14ac:dyDescent="0.3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 x14ac:dyDescent="0.3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 x14ac:dyDescent="0.3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 x14ac:dyDescent="0.3">
      <c r="A770" s="82" t="s">
        <v>190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191</v>
      </c>
      <c r="N770" s="20">
        <v>928270</v>
      </c>
    </row>
    <row r="771" spans="1:14" ht="15" customHeight="1" x14ac:dyDescent="0.3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 x14ac:dyDescent="0.3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7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 x14ac:dyDescent="0.3">
      <c r="A773" s="59">
        <v>46202</v>
      </c>
      <c r="B773" s="15">
        <f t="shared" si="176"/>
        <v>0.9166666666666663</v>
      </c>
      <c r="C773" s="67" t="s">
        <v>45</v>
      </c>
      <c r="D773" s="16" t="s">
        <v>30</v>
      </c>
      <c r="E773" s="11">
        <v>0</v>
      </c>
      <c r="F773" s="93">
        <f>IF(E773="","",E773*5)</f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 x14ac:dyDescent="0.3">
      <c r="A774" s="58">
        <v>46202</v>
      </c>
      <c r="B774" s="9">
        <f t="shared" si="176"/>
        <v>0.95833333333333293</v>
      </c>
      <c r="C774" s="10" t="s">
        <v>45</v>
      </c>
      <c r="D774" s="7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 x14ac:dyDescent="0.3">
      <c r="A775" s="59">
        <v>46202</v>
      </c>
      <c r="B775" s="15">
        <f t="shared" si="176"/>
        <v>0.99999999999999956</v>
      </c>
      <c r="C775" s="67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 x14ac:dyDescent="0.3">
      <c r="A776" s="58">
        <v>46202</v>
      </c>
      <c r="B776" s="9">
        <f t="shared" si="176"/>
        <v>1.0416666666666663</v>
      </c>
      <c r="C776" s="10" t="s">
        <v>45</v>
      </c>
      <c r="D776" s="7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 x14ac:dyDescent="0.3">
      <c r="A777" s="59">
        <v>46202</v>
      </c>
      <c r="B777" s="15">
        <f t="shared" si="176"/>
        <v>1.083333333333333</v>
      </c>
      <c r="C777" s="67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 x14ac:dyDescent="0.3">
      <c r="A778" s="58">
        <v>46202</v>
      </c>
      <c r="B778" s="9">
        <f t="shared" si="176"/>
        <v>1.1249999999999998</v>
      </c>
      <c r="C778" s="10" t="s">
        <v>45</v>
      </c>
      <c r="D778" s="7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 x14ac:dyDescent="0.3">
      <c r="A779" s="59">
        <v>46202</v>
      </c>
      <c r="B779" s="15">
        <f t="shared" si="176"/>
        <v>1.1666666666666665</v>
      </c>
      <c r="C779" s="67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 x14ac:dyDescent="0.3">
      <c r="A780" s="58">
        <v>46202</v>
      </c>
      <c r="B780" s="9">
        <f t="shared" si="176"/>
        <v>1.2083333333333333</v>
      </c>
      <c r="C780" s="10" t="s">
        <v>45</v>
      </c>
      <c r="D780" s="7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 x14ac:dyDescent="0.3">
      <c r="A781" s="59">
        <v>46202</v>
      </c>
      <c r="B781" s="15">
        <f t="shared" si="176"/>
        <v>1.25</v>
      </c>
      <c r="C781" s="67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 x14ac:dyDescent="0.3">
      <c r="A782" s="58">
        <v>46202</v>
      </c>
      <c r="B782" s="9">
        <f t="shared" si="176"/>
        <v>1.2916666666666667</v>
      </c>
      <c r="C782" s="10" t="s">
        <v>45</v>
      </c>
      <c r="D782" s="7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 x14ac:dyDescent="0.3">
      <c r="A783" s="97" t="s">
        <v>192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 x14ac:dyDescent="0.3">
      <c r="A784" s="98" t="s">
        <v>193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194</v>
      </c>
      <c r="N784" s="31">
        <f>IFERROR(N770+N783,"")</f>
        <v>928270</v>
      </c>
    </row>
    <row r="785" spans="1:14" ht="15" customHeight="1" x14ac:dyDescent="0.3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 x14ac:dyDescent="0.3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 x14ac:dyDescent="0.3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 x14ac:dyDescent="0.3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 x14ac:dyDescent="0.3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 x14ac:dyDescent="0.3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 x14ac:dyDescent="0.3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 x14ac:dyDescent="0.3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 x14ac:dyDescent="0.3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 x14ac:dyDescent="0.3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 x14ac:dyDescent="0.3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 x14ac:dyDescent="0.3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 x14ac:dyDescent="0.3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 x14ac:dyDescent="0.3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 x14ac:dyDescent="0.3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 x14ac:dyDescent="0.3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 x14ac:dyDescent="0.3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 x14ac:dyDescent="0.3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 x14ac:dyDescent="0.3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 x14ac:dyDescent="0.3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 x14ac:dyDescent="0.3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 x14ac:dyDescent="0.3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 x14ac:dyDescent="0.3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 x14ac:dyDescent="0.3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 x14ac:dyDescent="0.3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 x14ac:dyDescent="0.3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 x14ac:dyDescent="0.3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C758" zoomScale="85" zoomScaleNormal="85" workbookViewId="0">
      <selection activeCell="C758" sqref="C758:C769"/>
    </sheetView>
  </sheetViews>
  <sheetFormatPr defaultColWidth="8.5546875" defaultRowHeight="14.4" x14ac:dyDescent="0.3"/>
  <cols>
    <col min="1" max="1" width="13" style="61" customWidth="1"/>
    <col min="2" max="2" width="9" style="7" customWidth="1"/>
    <col min="3" max="3" width="14" style="7" customWidth="1"/>
    <col min="4" max="4" width="16.109375" style="7" customWidth="1"/>
    <col min="5" max="5" width="13" style="7" customWidth="1"/>
    <col min="6" max="6" width="14" style="7" customWidth="1"/>
    <col min="7" max="7" width="29.44140625" style="7" customWidth="1"/>
    <col min="8" max="8" width="25" style="7" customWidth="1"/>
    <col min="9" max="9" width="48.5546875" style="7" customWidth="1"/>
    <col min="10" max="10" width="15.44140625" style="7" customWidth="1"/>
    <col min="11" max="11" width="12" style="7" customWidth="1"/>
    <col min="12" max="12" width="14" style="74" customWidth="1"/>
    <col min="13" max="13" width="99.44140625" style="7" customWidth="1"/>
    <col min="14" max="14" width="20" style="7" customWidth="1"/>
  </cols>
  <sheetData>
    <row r="1" spans="1:14" ht="37.5" customHeight="1" x14ac:dyDescent="0.3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230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 x14ac:dyDescent="0.3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 x14ac:dyDescent="0.3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 x14ac:dyDescent="0.3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 x14ac:dyDescent="0.3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 x14ac:dyDescent="0.3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 x14ac:dyDescent="0.3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 x14ac:dyDescent="0.3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 x14ac:dyDescent="0.3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 x14ac:dyDescent="0.3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 x14ac:dyDescent="0.3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 x14ac:dyDescent="0.3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 x14ac:dyDescent="0.3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 x14ac:dyDescent="0.3">
      <c r="A14" s="105" t="s">
        <v>190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 x14ac:dyDescent="0.3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 x14ac:dyDescent="0.3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 x14ac:dyDescent="0.3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 x14ac:dyDescent="0.3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 x14ac:dyDescent="0.3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 x14ac:dyDescent="0.3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 x14ac:dyDescent="0.3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 x14ac:dyDescent="0.3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 x14ac:dyDescent="0.3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 x14ac:dyDescent="0.3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 x14ac:dyDescent="0.3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 x14ac:dyDescent="0.3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 x14ac:dyDescent="0.3">
      <c r="A27" s="105" t="s">
        <v>192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 x14ac:dyDescent="0.3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 x14ac:dyDescent="0.3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 x14ac:dyDescent="0.3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 x14ac:dyDescent="0.3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 x14ac:dyDescent="0.3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 x14ac:dyDescent="0.3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 x14ac:dyDescent="0.3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 x14ac:dyDescent="0.3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 x14ac:dyDescent="0.3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 x14ac:dyDescent="0.3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 x14ac:dyDescent="0.3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231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 x14ac:dyDescent="0.3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 x14ac:dyDescent="0.3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3">
      <c r="A41" s="105" t="s">
        <v>190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 x14ac:dyDescent="0.3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 x14ac:dyDescent="0.3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 x14ac:dyDescent="0.3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 x14ac:dyDescent="0.3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 x14ac:dyDescent="0.3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 x14ac:dyDescent="0.3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 x14ac:dyDescent="0.3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 x14ac:dyDescent="0.3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 x14ac:dyDescent="0.3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 x14ac:dyDescent="0.3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 x14ac:dyDescent="0.3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 x14ac:dyDescent="0.3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3">
      <c r="A54" s="105" t="s">
        <v>192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 x14ac:dyDescent="0.3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 x14ac:dyDescent="0.3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 x14ac:dyDescent="0.3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 x14ac:dyDescent="0.3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 x14ac:dyDescent="0.3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 x14ac:dyDescent="0.3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 x14ac:dyDescent="0.3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 x14ac:dyDescent="0.3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232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 x14ac:dyDescent="0.3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 x14ac:dyDescent="0.3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 x14ac:dyDescent="0.3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 x14ac:dyDescent="0.3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 x14ac:dyDescent="0.3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 x14ac:dyDescent="0.3">
      <c r="A68" s="105" t="s">
        <v>190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 x14ac:dyDescent="0.3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 x14ac:dyDescent="0.3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 x14ac:dyDescent="0.3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233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 x14ac:dyDescent="0.3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 x14ac:dyDescent="0.3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 x14ac:dyDescent="0.3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 x14ac:dyDescent="0.3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 x14ac:dyDescent="0.3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 x14ac:dyDescent="0.3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 x14ac:dyDescent="0.3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 x14ac:dyDescent="0.3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 x14ac:dyDescent="0.3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 x14ac:dyDescent="0.3">
      <c r="A81" s="105" t="s">
        <v>192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 x14ac:dyDescent="0.3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 x14ac:dyDescent="0.3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234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 x14ac:dyDescent="0.3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 x14ac:dyDescent="0.3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 x14ac:dyDescent="0.3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 x14ac:dyDescent="0.3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 x14ac:dyDescent="0.3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 x14ac:dyDescent="0.3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 x14ac:dyDescent="0.3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 x14ac:dyDescent="0.3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 x14ac:dyDescent="0.3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 x14ac:dyDescent="0.3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 x14ac:dyDescent="0.3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 x14ac:dyDescent="0.3">
      <c r="A95" s="105" t="s">
        <v>190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 x14ac:dyDescent="0.3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235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 x14ac:dyDescent="0.3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 x14ac:dyDescent="0.3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 x14ac:dyDescent="0.3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 x14ac:dyDescent="0.3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 x14ac:dyDescent="0.3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 x14ac:dyDescent="0.3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 x14ac:dyDescent="0.3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 x14ac:dyDescent="0.3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 x14ac:dyDescent="0.3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 x14ac:dyDescent="0.3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 x14ac:dyDescent="0.3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 x14ac:dyDescent="0.3">
      <c r="A108" s="105" t="s">
        <v>192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 x14ac:dyDescent="0.3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 x14ac:dyDescent="0.3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 x14ac:dyDescent="0.3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235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 x14ac:dyDescent="0.3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235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 x14ac:dyDescent="0.3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 x14ac:dyDescent="0.3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 x14ac:dyDescent="0.3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 x14ac:dyDescent="0.3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 x14ac:dyDescent="0.3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 x14ac:dyDescent="0.3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 x14ac:dyDescent="0.3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 x14ac:dyDescent="0.3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 x14ac:dyDescent="0.3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 x14ac:dyDescent="0.3">
      <c r="A122" s="105" t="s">
        <v>190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 x14ac:dyDescent="0.3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 x14ac:dyDescent="0.3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235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 x14ac:dyDescent="0.3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236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 x14ac:dyDescent="0.3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 x14ac:dyDescent="0.3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 x14ac:dyDescent="0.3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 x14ac:dyDescent="0.3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 x14ac:dyDescent="0.3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 x14ac:dyDescent="0.3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 x14ac:dyDescent="0.3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 x14ac:dyDescent="0.3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 x14ac:dyDescent="0.3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 x14ac:dyDescent="0.3">
      <c r="A135" s="105" t="s">
        <v>192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 x14ac:dyDescent="0.3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 x14ac:dyDescent="0.3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 x14ac:dyDescent="0.3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234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 x14ac:dyDescent="0.3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237</v>
      </c>
      <c r="I139" s="16" t="s">
        <v>238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 x14ac:dyDescent="0.3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235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 x14ac:dyDescent="0.3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 x14ac:dyDescent="0.3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 x14ac:dyDescent="0.3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 x14ac:dyDescent="0.3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 x14ac:dyDescent="0.3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 x14ac:dyDescent="0.3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 x14ac:dyDescent="0.3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 x14ac:dyDescent="0.3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 x14ac:dyDescent="0.4">
      <c r="A149" s="105" t="s">
        <v>190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 x14ac:dyDescent="0.3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 x14ac:dyDescent="0.3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 x14ac:dyDescent="0.3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 x14ac:dyDescent="0.3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 x14ac:dyDescent="0.3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 x14ac:dyDescent="0.3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 x14ac:dyDescent="0.3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 x14ac:dyDescent="0.3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 x14ac:dyDescent="0.3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 x14ac:dyDescent="0.3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 x14ac:dyDescent="0.3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 x14ac:dyDescent="0.3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 x14ac:dyDescent="0.4">
      <c r="A162" s="105" t="s">
        <v>192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 x14ac:dyDescent="0.3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 x14ac:dyDescent="0.3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 x14ac:dyDescent="0.3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 x14ac:dyDescent="0.3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 x14ac:dyDescent="0.3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 x14ac:dyDescent="0.3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 x14ac:dyDescent="0.3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 x14ac:dyDescent="0.3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 x14ac:dyDescent="0.3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 x14ac:dyDescent="0.3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 x14ac:dyDescent="0.3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 x14ac:dyDescent="0.3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 x14ac:dyDescent="0.3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 x14ac:dyDescent="0.3">
      <c r="A176" s="105" t="s">
        <v>190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 x14ac:dyDescent="0.3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 x14ac:dyDescent="0.3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 x14ac:dyDescent="0.3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 x14ac:dyDescent="0.3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 x14ac:dyDescent="0.3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239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 x14ac:dyDescent="0.3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239</v>
      </c>
      <c r="J182" s="13"/>
      <c r="K182" s="13"/>
      <c r="L182" s="70" t="str">
        <f t="shared" si="40"/>
        <v/>
      </c>
      <c r="M182" s="29"/>
      <c r="N182" s="14"/>
    </row>
    <row r="183" spans="1:14" ht="15" customHeight="1" x14ac:dyDescent="0.3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239</v>
      </c>
      <c r="J183" s="13"/>
      <c r="K183" s="13"/>
      <c r="L183" s="71" t="str">
        <f t="shared" si="40"/>
        <v/>
      </c>
      <c r="M183" s="29"/>
      <c r="N183" s="14"/>
    </row>
    <row r="184" spans="1:14" ht="15" customHeight="1" x14ac:dyDescent="0.3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239</v>
      </c>
      <c r="J184" s="13"/>
      <c r="K184" s="13"/>
      <c r="L184" s="70" t="str">
        <f t="shared" si="40"/>
        <v/>
      </c>
      <c r="M184" s="29"/>
      <c r="N184" s="14"/>
    </row>
    <row r="185" spans="1:14" ht="15" customHeight="1" x14ac:dyDescent="0.3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239</v>
      </c>
      <c r="J185" s="13"/>
      <c r="K185" s="13"/>
      <c r="L185" s="71" t="str">
        <f t="shared" si="40"/>
        <v/>
      </c>
      <c r="M185" s="29"/>
      <c r="N185" s="14"/>
    </row>
    <row r="186" spans="1:14" ht="15" customHeight="1" x14ac:dyDescent="0.3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239</v>
      </c>
      <c r="J186" s="13"/>
      <c r="K186" s="13"/>
      <c r="L186" s="70" t="str">
        <f t="shared" si="40"/>
        <v/>
      </c>
      <c r="M186" s="29"/>
      <c r="N186" s="14"/>
    </row>
    <row r="187" spans="1:14" ht="15" customHeight="1" x14ac:dyDescent="0.3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239</v>
      </c>
      <c r="J187" s="13"/>
      <c r="K187" s="13"/>
      <c r="L187" s="71" t="str">
        <f t="shared" si="40"/>
        <v/>
      </c>
      <c r="M187" s="29"/>
      <c r="N187" s="14"/>
    </row>
    <row r="188" spans="1:14" ht="15" customHeight="1" x14ac:dyDescent="0.3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239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 x14ac:dyDescent="0.3">
      <c r="A189" s="105" t="s">
        <v>192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 x14ac:dyDescent="0.3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 x14ac:dyDescent="0.3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239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 x14ac:dyDescent="0.3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 x14ac:dyDescent="0.3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240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 x14ac:dyDescent="0.3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 x14ac:dyDescent="0.3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 x14ac:dyDescent="0.3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 x14ac:dyDescent="0.3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 x14ac:dyDescent="0.3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 x14ac:dyDescent="0.3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 x14ac:dyDescent="0.3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 x14ac:dyDescent="0.3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 x14ac:dyDescent="0.3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 x14ac:dyDescent="0.3">
      <c r="A203" s="105" t="s">
        <v>190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 x14ac:dyDescent="0.3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 x14ac:dyDescent="0.3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 x14ac:dyDescent="0.3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 x14ac:dyDescent="0.3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 x14ac:dyDescent="0.3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 x14ac:dyDescent="0.3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 x14ac:dyDescent="0.3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 x14ac:dyDescent="0.3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 x14ac:dyDescent="0.3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 x14ac:dyDescent="0.3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 x14ac:dyDescent="0.3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 x14ac:dyDescent="0.3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 x14ac:dyDescent="0.3">
      <c r="A216" s="105" t="s">
        <v>192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 x14ac:dyDescent="0.3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 x14ac:dyDescent="0.3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 x14ac:dyDescent="0.3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 x14ac:dyDescent="0.3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241</v>
      </c>
      <c r="N220" s="30"/>
    </row>
    <row r="221" spans="1:14" ht="15" customHeight="1" x14ac:dyDescent="0.3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 x14ac:dyDescent="0.3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 x14ac:dyDescent="0.3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 x14ac:dyDescent="0.3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 x14ac:dyDescent="0.3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 x14ac:dyDescent="0.3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 x14ac:dyDescent="0.3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 x14ac:dyDescent="0.3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 x14ac:dyDescent="0.3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 x14ac:dyDescent="0.3">
      <c r="A230" s="105" t="s">
        <v>190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 x14ac:dyDescent="0.3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 x14ac:dyDescent="0.3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 x14ac:dyDescent="0.3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 x14ac:dyDescent="0.3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 x14ac:dyDescent="0.3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 x14ac:dyDescent="0.3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 x14ac:dyDescent="0.3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 x14ac:dyDescent="0.3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 x14ac:dyDescent="0.3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 x14ac:dyDescent="0.3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 x14ac:dyDescent="0.3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 x14ac:dyDescent="0.3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 x14ac:dyDescent="0.3">
      <c r="A243" s="105" t="s">
        <v>192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 x14ac:dyDescent="0.3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 x14ac:dyDescent="0.3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 x14ac:dyDescent="0.3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242</v>
      </c>
      <c r="N246" s="30"/>
    </row>
    <row r="247" spans="1:14" ht="15" customHeight="1" x14ac:dyDescent="0.3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243</v>
      </c>
      <c r="N247" s="30"/>
    </row>
    <row r="248" spans="1:14" ht="15" customHeight="1" x14ac:dyDescent="0.3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 x14ac:dyDescent="0.3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 x14ac:dyDescent="0.3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 x14ac:dyDescent="0.3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 x14ac:dyDescent="0.3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 x14ac:dyDescent="0.3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 x14ac:dyDescent="0.3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 x14ac:dyDescent="0.3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 x14ac:dyDescent="0.3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 x14ac:dyDescent="0.3">
      <c r="A257" s="105" t="s">
        <v>190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 x14ac:dyDescent="0.3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244</v>
      </c>
      <c r="N258" s="30"/>
    </row>
    <row r="259" spans="1:14" ht="15" customHeight="1" x14ac:dyDescent="0.3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 x14ac:dyDescent="0.3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 x14ac:dyDescent="0.3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 x14ac:dyDescent="0.3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 x14ac:dyDescent="0.3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 x14ac:dyDescent="0.3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 x14ac:dyDescent="0.3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 x14ac:dyDescent="0.3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 x14ac:dyDescent="0.3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 x14ac:dyDescent="0.3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 x14ac:dyDescent="0.3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 x14ac:dyDescent="0.3">
      <c r="A270" s="105" t="s">
        <v>192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 x14ac:dyDescent="0.3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 x14ac:dyDescent="0.3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 x14ac:dyDescent="0.3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 x14ac:dyDescent="0.3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245</v>
      </c>
      <c r="N274" s="30"/>
    </row>
    <row r="275" spans="1:14" ht="15" customHeight="1" x14ac:dyDescent="0.3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 x14ac:dyDescent="0.3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 x14ac:dyDescent="0.3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 x14ac:dyDescent="0.3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 x14ac:dyDescent="0.3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 x14ac:dyDescent="0.3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 x14ac:dyDescent="0.3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 x14ac:dyDescent="0.3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 x14ac:dyDescent="0.3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 x14ac:dyDescent="0.3">
      <c r="A284" s="105" t="s">
        <v>190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 x14ac:dyDescent="0.3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 x14ac:dyDescent="0.3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 x14ac:dyDescent="0.3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 x14ac:dyDescent="0.3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 x14ac:dyDescent="0.3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 x14ac:dyDescent="0.3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 x14ac:dyDescent="0.3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 x14ac:dyDescent="0.3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 x14ac:dyDescent="0.3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 x14ac:dyDescent="0.3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 x14ac:dyDescent="0.3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 x14ac:dyDescent="0.3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 x14ac:dyDescent="0.3">
      <c r="A297" s="105" t="s">
        <v>192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 x14ac:dyDescent="0.3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 x14ac:dyDescent="0.3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246</v>
      </c>
      <c r="N299" s="30"/>
    </row>
    <row r="300" spans="1:14" ht="15" customHeight="1" x14ac:dyDescent="0.3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247</v>
      </c>
      <c r="N300" s="30"/>
    </row>
    <row r="301" spans="1:14" ht="15" customHeight="1" x14ac:dyDescent="0.3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247</v>
      </c>
      <c r="N301" s="30"/>
    </row>
    <row r="302" spans="1:14" ht="15" customHeight="1" x14ac:dyDescent="0.3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248</v>
      </c>
      <c r="N302" s="30"/>
    </row>
    <row r="303" spans="1:14" ht="15" customHeight="1" x14ac:dyDescent="0.3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 x14ac:dyDescent="0.3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 x14ac:dyDescent="0.3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 x14ac:dyDescent="0.3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 x14ac:dyDescent="0.3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 x14ac:dyDescent="0.3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 x14ac:dyDescent="0.3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 x14ac:dyDescent="0.3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 x14ac:dyDescent="0.3">
      <c r="A311" s="105" t="s">
        <v>190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 x14ac:dyDescent="0.3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 x14ac:dyDescent="0.3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 x14ac:dyDescent="0.3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 x14ac:dyDescent="0.3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 x14ac:dyDescent="0.3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 x14ac:dyDescent="0.3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 x14ac:dyDescent="0.3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 x14ac:dyDescent="0.3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249</v>
      </c>
      <c r="N319" s="30"/>
    </row>
    <row r="320" spans="1:14" ht="15" customHeight="1" x14ac:dyDescent="0.3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250</v>
      </c>
      <c r="N320" s="30"/>
    </row>
    <row r="321" spans="1:14" ht="15" customHeight="1" x14ac:dyDescent="0.3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251</v>
      </c>
      <c r="N321" s="30"/>
    </row>
    <row r="322" spans="1:14" ht="15" customHeight="1" x14ac:dyDescent="0.3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252</v>
      </c>
      <c r="N322" s="30"/>
    </row>
    <row r="323" spans="1:14" ht="15" customHeight="1" x14ac:dyDescent="0.3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 x14ac:dyDescent="0.3">
      <c r="A324" s="105" t="s">
        <v>192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 x14ac:dyDescent="0.3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 x14ac:dyDescent="0.3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 x14ac:dyDescent="0.3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253</v>
      </c>
      <c r="N327" s="30"/>
    </row>
    <row r="328" spans="1:14" ht="15" customHeight="1" x14ac:dyDescent="0.3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 x14ac:dyDescent="0.3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254</v>
      </c>
      <c r="N329" s="30"/>
    </row>
    <row r="330" spans="1:14" ht="15" customHeight="1" x14ac:dyDescent="0.3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 x14ac:dyDescent="0.3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 x14ac:dyDescent="0.3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 x14ac:dyDescent="0.3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 x14ac:dyDescent="0.3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 x14ac:dyDescent="0.3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 x14ac:dyDescent="0.3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 x14ac:dyDescent="0.3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 x14ac:dyDescent="0.3">
      <c r="A338" s="105" t="s">
        <v>190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 x14ac:dyDescent="0.3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255</v>
      </c>
      <c r="N339" s="30"/>
    </row>
    <row r="340" spans="1:14" ht="15" customHeight="1" x14ac:dyDescent="0.3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256</v>
      </c>
      <c r="N340" s="30"/>
    </row>
    <row r="341" spans="1:14" ht="15" customHeight="1" x14ac:dyDescent="0.3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 x14ac:dyDescent="0.3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 x14ac:dyDescent="0.3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 x14ac:dyDescent="0.3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 x14ac:dyDescent="0.3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 x14ac:dyDescent="0.3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 x14ac:dyDescent="0.3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 x14ac:dyDescent="0.3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 x14ac:dyDescent="0.3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 x14ac:dyDescent="0.3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 x14ac:dyDescent="0.3">
      <c r="A351" s="105" t="s">
        <v>192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 x14ac:dyDescent="0.3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 x14ac:dyDescent="0.3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257</v>
      </c>
      <c r="N353" s="30"/>
    </row>
    <row r="354" spans="1:14" ht="15" customHeight="1" x14ac:dyDescent="0.3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258</v>
      </c>
      <c r="N354" s="30"/>
    </row>
    <row r="355" spans="1:14" ht="15" customHeight="1" x14ac:dyDescent="0.3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 x14ac:dyDescent="0.3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 x14ac:dyDescent="0.3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 x14ac:dyDescent="0.3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 x14ac:dyDescent="0.3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 x14ac:dyDescent="0.3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 x14ac:dyDescent="0.3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259</v>
      </c>
      <c r="N361" s="30"/>
    </row>
    <row r="362" spans="1:14" ht="15" customHeight="1" x14ac:dyDescent="0.3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 x14ac:dyDescent="0.3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 x14ac:dyDescent="0.3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 x14ac:dyDescent="0.3">
      <c r="A365" s="105" t="s">
        <v>190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 x14ac:dyDescent="0.3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 x14ac:dyDescent="0.3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 x14ac:dyDescent="0.3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 x14ac:dyDescent="0.3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 x14ac:dyDescent="0.3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 x14ac:dyDescent="0.3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 x14ac:dyDescent="0.3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 x14ac:dyDescent="0.3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 x14ac:dyDescent="0.3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 x14ac:dyDescent="0.3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 x14ac:dyDescent="0.3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 x14ac:dyDescent="0.3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 x14ac:dyDescent="0.3">
      <c r="A378" s="105" t="s">
        <v>192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 x14ac:dyDescent="0.3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 x14ac:dyDescent="0.3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 x14ac:dyDescent="0.3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 x14ac:dyDescent="0.3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 x14ac:dyDescent="0.3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 x14ac:dyDescent="0.3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 x14ac:dyDescent="0.3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 x14ac:dyDescent="0.3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 x14ac:dyDescent="0.3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 x14ac:dyDescent="0.3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 x14ac:dyDescent="0.3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 x14ac:dyDescent="0.3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 x14ac:dyDescent="0.3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 x14ac:dyDescent="0.3">
      <c r="A392" s="105" t="s">
        <v>190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 x14ac:dyDescent="0.3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260</v>
      </c>
      <c r="N393" s="30"/>
    </row>
    <row r="394" spans="1:14" ht="15" customHeight="1" x14ac:dyDescent="0.3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 x14ac:dyDescent="0.3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 x14ac:dyDescent="0.3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 x14ac:dyDescent="0.3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 x14ac:dyDescent="0.3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 x14ac:dyDescent="0.3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 x14ac:dyDescent="0.3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 x14ac:dyDescent="0.3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 x14ac:dyDescent="0.3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261</v>
      </c>
      <c r="N402" s="30"/>
    </row>
    <row r="403" spans="1:14" ht="15" customHeight="1" x14ac:dyDescent="0.3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 x14ac:dyDescent="0.3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 x14ac:dyDescent="0.3">
      <c r="A405" s="105" t="s">
        <v>192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 x14ac:dyDescent="0.3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 x14ac:dyDescent="0.3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 x14ac:dyDescent="0.3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 x14ac:dyDescent="0.3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 x14ac:dyDescent="0.3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262</v>
      </c>
      <c r="N410" s="30"/>
    </row>
    <row r="411" spans="1:14" ht="15" customHeight="1" x14ac:dyDescent="0.3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263</v>
      </c>
      <c r="N411" s="30"/>
    </row>
    <row r="412" spans="1:14" ht="15" customHeight="1" x14ac:dyDescent="0.3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264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 x14ac:dyDescent="0.3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 x14ac:dyDescent="0.3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 x14ac:dyDescent="0.3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 x14ac:dyDescent="0.3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 x14ac:dyDescent="0.3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 x14ac:dyDescent="0.3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 x14ac:dyDescent="0.3">
      <c r="A419" s="105" t="s">
        <v>190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 x14ac:dyDescent="0.3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265</v>
      </c>
      <c r="N420" s="30"/>
    </row>
    <row r="421" spans="1:14" ht="15" customHeight="1" x14ac:dyDescent="0.3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266</v>
      </c>
      <c r="N421" s="30"/>
    </row>
    <row r="422" spans="1:14" ht="15" customHeight="1" x14ac:dyDescent="0.3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 x14ac:dyDescent="0.3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 x14ac:dyDescent="0.3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 x14ac:dyDescent="0.3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 x14ac:dyDescent="0.3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 x14ac:dyDescent="0.3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 x14ac:dyDescent="0.3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 x14ac:dyDescent="0.3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 x14ac:dyDescent="0.3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 x14ac:dyDescent="0.3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 x14ac:dyDescent="0.3">
      <c r="A432" s="105" t="s">
        <v>192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 x14ac:dyDescent="0.3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 x14ac:dyDescent="0.3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267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 x14ac:dyDescent="0.3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 x14ac:dyDescent="0.3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268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 x14ac:dyDescent="0.3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 x14ac:dyDescent="0.3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 x14ac:dyDescent="0.3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269</v>
      </c>
      <c r="N439" s="30"/>
    </row>
    <row r="440" spans="1:14" ht="15" customHeight="1" x14ac:dyDescent="0.3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 x14ac:dyDescent="0.3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 x14ac:dyDescent="0.3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 x14ac:dyDescent="0.3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 x14ac:dyDescent="0.3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 x14ac:dyDescent="0.3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 x14ac:dyDescent="0.3">
      <c r="A446" s="105" t="s">
        <v>190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 x14ac:dyDescent="0.3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270</v>
      </c>
      <c r="N447" s="30"/>
    </row>
    <row r="448" spans="1:14" ht="15" customHeight="1" x14ac:dyDescent="0.3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 x14ac:dyDescent="0.3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 x14ac:dyDescent="0.3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 x14ac:dyDescent="0.3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 x14ac:dyDescent="0.3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 x14ac:dyDescent="0.3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 x14ac:dyDescent="0.3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 x14ac:dyDescent="0.3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 x14ac:dyDescent="0.3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 x14ac:dyDescent="0.3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 x14ac:dyDescent="0.3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 x14ac:dyDescent="0.3">
      <c r="A459" s="105" t="s">
        <v>192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 x14ac:dyDescent="0.3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 x14ac:dyDescent="0.3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 x14ac:dyDescent="0.3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 x14ac:dyDescent="0.3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 x14ac:dyDescent="0.3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 x14ac:dyDescent="0.3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271</v>
      </c>
      <c r="J465" s="13">
        <v>0.70833333333333337</v>
      </c>
      <c r="K465" s="13" t="s">
        <v>272</v>
      </c>
      <c r="L465" s="71" t="str">
        <f t="shared" si="103"/>
        <v/>
      </c>
      <c r="M465" s="29"/>
      <c r="N465" s="30"/>
    </row>
    <row r="466" spans="1:14" ht="15" customHeight="1" x14ac:dyDescent="0.3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 x14ac:dyDescent="0.3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 x14ac:dyDescent="0.3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 x14ac:dyDescent="0.3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 x14ac:dyDescent="0.3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 x14ac:dyDescent="0.3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 x14ac:dyDescent="0.3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273</v>
      </c>
      <c r="N472" s="30"/>
    </row>
    <row r="473" spans="1:14" ht="15.75" customHeight="1" x14ac:dyDescent="0.3">
      <c r="A473" s="105" t="s">
        <v>190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 x14ac:dyDescent="0.3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274</v>
      </c>
      <c r="N474" s="30">
        <v>1</v>
      </c>
    </row>
    <row r="475" spans="1:14" ht="15" customHeight="1" x14ac:dyDescent="0.3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 x14ac:dyDescent="0.3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 x14ac:dyDescent="0.3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275</v>
      </c>
      <c r="N477" s="30"/>
    </row>
    <row r="478" spans="1:14" ht="15" customHeight="1" x14ac:dyDescent="0.3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 x14ac:dyDescent="0.3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 x14ac:dyDescent="0.3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 x14ac:dyDescent="0.3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 x14ac:dyDescent="0.3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 x14ac:dyDescent="0.3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 x14ac:dyDescent="0.3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 x14ac:dyDescent="0.3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 x14ac:dyDescent="0.3">
      <c r="A486" s="105" t="s">
        <v>192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 x14ac:dyDescent="0.3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 x14ac:dyDescent="0.3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 x14ac:dyDescent="0.3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 x14ac:dyDescent="0.3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 x14ac:dyDescent="0.3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 x14ac:dyDescent="0.3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 x14ac:dyDescent="0.3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 x14ac:dyDescent="0.3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 x14ac:dyDescent="0.3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 x14ac:dyDescent="0.3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 x14ac:dyDescent="0.3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 x14ac:dyDescent="0.3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 x14ac:dyDescent="0.3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 x14ac:dyDescent="0.3">
      <c r="A500" s="105" t="s">
        <v>190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 x14ac:dyDescent="0.3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 x14ac:dyDescent="0.3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 x14ac:dyDescent="0.3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276</v>
      </c>
      <c r="N503" s="30"/>
    </row>
    <row r="504" spans="1:14" ht="15" customHeight="1" x14ac:dyDescent="0.3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 x14ac:dyDescent="0.3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 x14ac:dyDescent="0.3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 x14ac:dyDescent="0.3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 x14ac:dyDescent="0.3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 x14ac:dyDescent="0.3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 x14ac:dyDescent="0.3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 x14ac:dyDescent="0.3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 x14ac:dyDescent="0.3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 x14ac:dyDescent="0.3">
      <c r="A513" s="105" t="s">
        <v>192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 x14ac:dyDescent="0.3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 x14ac:dyDescent="0.3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 x14ac:dyDescent="0.3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 x14ac:dyDescent="0.3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 x14ac:dyDescent="0.3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 x14ac:dyDescent="0.3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 x14ac:dyDescent="0.3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 x14ac:dyDescent="0.3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 x14ac:dyDescent="0.3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 x14ac:dyDescent="0.3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 x14ac:dyDescent="0.3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 x14ac:dyDescent="0.3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 x14ac:dyDescent="0.3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 x14ac:dyDescent="0.3">
      <c r="A527" s="105" t="s">
        <v>190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 x14ac:dyDescent="0.3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277</v>
      </c>
      <c r="N528" s="30"/>
    </row>
    <row r="529" spans="1:14" ht="15" customHeight="1" x14ac:dyDescent="0.3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278</v>
      </c>
      <c r="N529" s="30"/>
    </row>
    <row r="530" spans="1:14" ht="15" customHeight="1" x14ac:dyDescent="0.3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279</v>
      </c>
      <c r="N530" s="30"/>
    </row>
    <row r="531" spans="1:14" ht="15" customHeight="1" x14ac:dyDescent="0.3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280</v>
      </c>
      <c r="N531" s="30"/>
    </row>
    <row r="532" spans="1:14" ht="15" customHeight="1" x14ac:dyDescent="0.3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281</v>
      </c>
      <c r="N532" s="30"/>
    </row>
    <row r="533" spans="1:14" ht="15" customHeight="1" x14ac:dyDescent="0.3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281</v>
      </c>
      <c r="N533" s="30"/>
    </row>
    <row r="534" spans="1:14" ht="15" customHeight="1" x14ac:dyDescent="0.3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 x14ac:dyDescent="0.3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 x14ac:dyDescent="0.3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 x14ac:dyDescent="0.3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 x14ac:dyDescent="0.3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 x14ac:dyDescent="0.3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 x14ac:dyDescent="0.3">
      <c r="A540" s="105" t="s">
        <v>192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 x14ac:dyDescent="0.3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 x14ac:dyDescent="0.3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 x14ac:dyDescent="0.3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 x14ac:dyDescent="0.3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282</v>
      </c>
      <c r="N544" s="30"/>
    </row>
    <row r="545" spans="1:14" ht="15" customHeight="1" x14ac:dyDescent="0.3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 x14ac:dyDescent="0.3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 x14ac:dyDescent="0.3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 x14ac:dyDescent="0.3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 x14ac:dyDescent="0.3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 x14ac:dyDescent="0.3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 x14ac:dyDescent="0.3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 x14ac:dyDescent="0.3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 x14ac:dyDescent="0.3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 x14ac:dyDescent="0.3">
      <c r="A554" s="105" t="s">
        <v>190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 x14ac:dyDescent="0.3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 x14ac:dyDescent="0.3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 x14ac:dyDescent="0.3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 x14ac:dyDescent="0.3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 x14ac:dyDescent="0.3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 x14ac:dyDescent="0.3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 x14ac:dyDescent="0.3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 x14ac:dyDescent="0.3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 x14ac:dyDescent="0.3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 x14ac:dyDescent="0.3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 x14ac:dyDescent="0.3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 x14ac:dyDescent="0.3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 x14ac:dyDescent="0.3">
      <c r="A567" s="105" t="s">
        <v>192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 x14ac:dyDescent="0.3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 x14ac:dyDescent="0.3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 x14ac:dyDescent="0.3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 x14ac:dyDescent="0.3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 x14ac:dyDescent="0.3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 x14ac:dyDescent="0.3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 x14ac:dyDescent="0.3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 x14ac:dyDescent="0.3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 x14ac:dyDescent="0.3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 x14ac:dyDescent="0.3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 x14ac:dyDescent="0.3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 x14ac:dyDescent="0.3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 x14ac:dyDescent="0.3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 x14ac:dyDescent="0.3">
      <c r="A581" s="105" t="s">
        <v>190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 x14ac:dyDescent="0.3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 x14ac:dyDescent="0.3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283</v>
      </c>
      <c r="N583" s="30"/>
    </row>
    <row r="584" spans="1:14" ht="15" customHeight="1" x14ac:dyDescent="0.3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 x14ac:dyDescent="0.3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 x14ac:dyDescent="0.3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 x14ac:dyDescent="0.3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 x14ac:dyDescent="0.3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 x14ac:dyDescent="0.3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 x14ac:dyDescent="0.3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 x14ac:dyDescent="0.3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 x14ac:dyDescent="0.3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 x14ac:dyDescent="0.3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 x14ac:dyDescent="0.3">
      <c r="A594" s="105" t="s">
        <v>192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 x14ac:dyDescent="0.3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 x14ac:dyDescent="0.3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284</v>
      </c>
      <c r="N596" s="30"/>
    </row>
    <row r="597" spans="1:14" ht="15" customHeight="1" x14ac:dyDescent="0.3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 x14ac:dyDescent="0.3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285</v>
      </c>
      <c r="N598" s="30"/>
    </row>
    <row r="599" spans="1:14" ht="15" customHeight="1" x14ac:dyDescent="0.3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286</v>
      </c>
      <c r="N599" s="30"/>
    </row>
    <row r="600" spans="1:14" ht="15" customHeight="1" x14ac:dyDescent="0.3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 x14ac:dyDescent="0.3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 x14ac:dyDescent="0.3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 x14ac:dyDescent="0.3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 x14ac:dyDescent="0.3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 x14ac:dyDescent="0.3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 x14ac:dyDescent="0.3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 x14ac:dyDescent="0.3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 x14ac:dyDescent="0.3">
      <c r="A608" s="105" t="s">
        <v>190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 x14ac:dyDescent="0.3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287</v>
      </c>
      <c r="N609" s="30"/>
    </row>
    <row r="610" spans="1:14" ht="15" customHeight="1" x14ac:dyDescent="0.3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10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 x14ac:dyDescent="0.3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 x14ac:dyDescent="0.3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288</v>
      </c>
      <c r="N612" s="30"/>
    </row>
    <row r="613" spans="1:14" ht="15" customHeight="1" x14ac:dyDescent="0.3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 x14ac:dyDescent="0.3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 x14ac:dyDescent="0.3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 x14ac:dyDescent="0.3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 x14ac:dyDescent="0.3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 x14ac:dyDescent="0.3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 x14ac:dyDescent="0.3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 x14ac:dyDescent="0.3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 x14ac:dyDescent="0.3">
      <c r="A621" s="105" t="s">
        <v>192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 x14ac:dyDescent="0.3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 x14ac:dyDescent="0.3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 x14ac:dyDescent="0.3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 x14ac:dyDescent="0.3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289</v>
      </c>
      <c r="N625" s="30"/>
    </row>
    <row r="626" spans="1:14" ht="15" customHeight="1" x14ac:dyDescent="0.3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 x14ac:dyDescent="0.3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 x14ac:dyDescent="0.3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 x14ac:dyDescent="0.3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 x14ac:dyDescent="0.3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 x14ac:dyDescent="0.3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 x14ac:dyDescent="0.3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 x14ac:dyDescent="0.3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 x14ac:dyDescent="0.3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 x14ac:dyDescent="0.3">
      <c r="A635" s="105" t="s">
        <v>190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 x14ac:dyDescent="0.3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290</v>
      </c>
      <c r="N636" s="30"/>
    </row>
    <row r="637" spans="1:14" ht="15" customHeight="1" x14ac:dyDescent="0.3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291</v>
      </c>
      <c r="N637" s="30"/>
    </row>
    <row r="638" spans="1:14" ht="15" customHeight="1" x14ac:dyDescent="0.3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292</v>
      </c>
      <c r="N638" s="30"/>
    </row>
    <row r="639" spans="1:14" ht="15" customHeight="1" x14ac:dyDescent="0.3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 x14ac:dyDescent="0.3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 x14ac:dyDescent="0.3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 x14ac:dyDescent="0.3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 x14ac:dyDescent="0.3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 x14ac:dyDescent="0.3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 x14ac:dyDescent="0.3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 x14ac:dyDescent="0.3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 x14ac:dyDescent="0.3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 x14ac:dyDescent="0.3">
      <c r="A648" s="105" t="s">
        <v>192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 x14ac:dyDescent="0.3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 x14ac:dyDescent="0.3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 x14ac:dyDescent="0.3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 x14ac:dyDescent="0.3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 x14ac:dyDescent="0.3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 x14ac:dyDescent="0.3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 x14ac:dyDescent="0.3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 x14ac:dyDescent="0.3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 x14ac:dyDescent="0.3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 x14ac:dyDescent="0.3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 x14ac:dyDescent="0.3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 x14ac:dyDescent="0.3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 x14ac:dyDescent="0.3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 x14ac:dyDescent="0.3">
      <c r="A662" s="105" t="s">
        <v>190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 x14ac:dyDescent="0.3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293</v>
      </c>
      <c r="N663" s="30"/>
    </row>
    <row r="664" spans="1:14" ht="15" customHeight="1" x14ac:dyDescent="0.3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294</v>
      </c>
      <c r="N664" s="30"/>
    </row>
    <row r="665" spans="1:14" ht="15" customHeight="1" x14ac:dyDescent="0.3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 x14ac:dyDescent="0.3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 x14ac:dyDescent="0.3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 x14ac:dyDescent="0.3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 x14ac:dyDescent="0.3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 x14ac:dyDescent="0.3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 x14ac:dyDescent="0.3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 x14ac:dyDescent="0.3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295</v>
      </c>
      <c r="N672" s="30"/>
    </row>
    <row r="673" spans="1:14" ht="15" customHeight="1" x14ac:dyDescent="0.3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 x14ac:dyDescent="0.3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 x14ac:dyDescent="0.3">
      <c r="A675" s="105" t="s">
        <v>192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 x14ac:dyDescent="0.3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 x14ac:dyDescent="0.3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 x14ac:dyDescent="0.3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 x14ac:dyDescent="0.3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296</v>
      </c>
      <c r="N679" s="30"/>
    </row>
    <row r="680" spans="1:14" ht="15" customHeight="1" x14ac:dyDescent="0.3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 x14ac:dyDescent="0.3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 x14ac:dyDescent="0.3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 x14ac:dyDescent="0.3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 x14ac:dyDescent="0.3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 x14ac:dyDescent="0.3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 x14ac:dyDescent="0.3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 x14ac:dyDescent="0.3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 x14ac:dyDescent="0.3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 x14ac:dyDescent="0.3">
      <c r="A689" s="105" t="s">
        <v>190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 x14ac:dyDescent="0.3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 x14ac:dyDescent="0.3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297</v>
      </c>
      <c r="N691" s="30"/>
    </row>
    <row r="692" spans="1:14" ht="15" customHeight="1" x14ac:dyDescent="0.3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298</v>
      </c>
      <c r="N692" s="30"/>
    </row>
    <row r="693" spans="1:14" ht="15" customHeight="1" x14ac:dyDescent="0.3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 x14ac:dyDescent="0.3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 x14ac:dyDescent="0.3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 x14ac:dyDescent="0.3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 x14ac:dyDescent="0.3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 x14ac:dyDescent="0.3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 x14ac:dyDescent="0.3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 x14ac:dyDescent="0.3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 x14ac:dyDescent="0.3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 x14ac:dyDescent="0.3">
      <c r="A702" s="105" t="s">
        <v>192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 x14ac:dyDescent="0.3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 x14ac:dyDescent="0.3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 x14ac:dyDescent="0.3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 x14ac:dyDescent="0.3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299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 x14ac:dyDescent="0.3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 x14ac:dyDescent="0.3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 x14ac:dyDescent="0.3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 x14ac:dyDescent="0.3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 x14ac:dyDescent="0.3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 x14ac:dyDescent="0.3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 x14ac:dyDescent="0.3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 x14ac:dyDescent="0.3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 x14ac:dyDescent="0.3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 x14ac:dyDescent="0.3">
      <c r="A716" s="106" t="s">
        <v>190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 x14ac:dyDescent="0.3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 x14ac:dyDescent="0.3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 x14ac:dyDescent="0.3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 x14ac:dyDescent="0.3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 x14ac:dyDescent="0.3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 x14ac:dyDescent="0.3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 x14ac:dyDescent="0.3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 x14ac:dyDescent="0.3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 x14ac:dyDescent="0.3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 x14ac:dyDescent="0.3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 x14ac:dyDescent="0.3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 x14ac:dyDescent="0.3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 x14ac:dyDescent="0.3">
      <c r="A729" s="105" t="s">
        <v>192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 x14ac:dyDescent="0.3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 x14ac:dyDescent="0.3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300</v>
      </c>
      <c r="N731" s="30"/>
    </row>
    <row r="732" spans="1:14" ht="15" customHeight="1" x14ac:dyDescent="0.3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 x14ac:dyDescent="0.3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 x14ac:dyDescent="0.3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 x14ac:dyDescent="0.3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 x14ac:dyDescent="0.3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 x14ac:dyDescent="0.3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 x14ac:dyDescent="0.3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 x14ac:dyDescent="0.3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 x14ac:dyDescent="0.3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 x14ac:dyDescent="0.3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 x14ac:dyDescent="0.3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 x14ac:dyDescent="0.3">
      <c r="A743" s="105" t="s">
        <v>190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 x14ac:dyDescent="0.3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301</v>
      </c>
      <c r="N744" s="30"/>
    </row>
    <row r="745" spans="1:14" ht="15" customHeight="1" x14ac:dyDescent="0.3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 x14ac:dyDescent="0.3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 x14ac:dyDescent="0.3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 x14ac:dyDescent="0.3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 x14ac:dyDescent="0.3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 x14ac:dyDescent="0.3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 x14ac:dyDescent="0.3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 x14ac:dyDescent="0.3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 x14ac:dyDescent="0.3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 x14ac:dyDescent="0.3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 x14ac:dyDescent="0.3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 x14ac:dyDescent="0.3">
      <c r="A756" s="105" t="s">
        <v>192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 x14ac:dyDescent="0.3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 x14ac:dyDescent="0.3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302</v>
      </c>
      <c r="N758" s="30"/>
    </row>
    <row r="759" spans="1:14" ht="15" customHeight="1" x14ac:dyDescent="0.3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67" t="s">
        <v>151</v>
      </c>
      <c r="I759" s="67" t="s">
        <v>374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375</v>
      </c>
      <c r="N759" s="30"/>
    </row>
    <row r="760" spans="1:14" ht="15" customHeight="1" x14ac:dyDescent="0.3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 x14ac:dyDescent="0.3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 x14ac:dyDescent="0.3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 x14ac:dyDescent="0.3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 x14ac:dyDescent="0.3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 x14ac:dyDescent="0.3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 x14ac:dyDescent="0.3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 x14ac:dyDescent="0.3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 x14ac:dyDescent="0.3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 x14ac:dyDescent="0.3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 x14ac:dyDescent="0.3">
      <c r="A770" s="105" t="s">
        <v>190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191</v>
      </c>
      <c r="N770" s="20">
        <v>309470</v>
      </c>
    </row>
    <row r="771" spans="1:14" ht="15" customHeight="1" x14ac:dyDescent="0.3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 x14ac:dyDescent="0.3">
      <c r="A772" s="58">
        <v>46202</v>
      </c>
      <c r="B772" s="9">
        <f t="shared" ref="B772:B782" si="174">B771+TIME(0,60,0)</f>
        <v>0.87499999999999967</v>
      </c>
      <c r="C772" s="76" t="s">
        <v>45</v>
      </c>
      <c r="D772" s="76" t="s">
        <v>30</v>
      </c>
      <c r="E772" s="11">
        <v>7</v>
      </c>
      <c r="F772" s="80">
        <f>IF(E772="","",E772*4)</f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 x14ac:dyDescent="0.3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 x14ac:dyDescent="0.3">
      <c r="A774" s="58">
        <v>46202</v>
      </c>
      <c r="B774" s="9">
        <f t="shared" si="174"/>
        <v>0.95833333333333293</v>
      </c>
      <c r="C774" s="76" t="s">
        <v>45</v>
      </c>
      <c r="D774" s="7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 x14ac:dyDescent="0.3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 x14ac:dyDescent="0.3">
      <c r="A776" s="58">
        <v>46202</v>
      </c>
      <c r="B776" s="9">
        <f t="shared" si="174"/>
        <v>1.0416666666666663</v>
      </c>
      <c r="C776" s="76" t="s">
        <v>45</v>
      </c>
      <c r="D776" s="7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 x14ac:dyDescent="0.3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 x14ac:dyDescent="0.3">
      <c r="A778" s="58">
        <v>46202</v>
      </c>
      <c r="B778" s="9">
        <f t="shared" si="174"/>
        <v>1.1249999999999998</v>
      </c>
      <c r="C778" s="76" t="s">
        <v>45</v>
      </c>
      <c r="D778" s="7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 x14ac:dyDescent="0.3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 x14ac:dyDescent="0.3">
      <c r="A780" s="58">
        <v>46202</v>
      </c>
      <c r="B780" s="9">
        <f t="shared" si="174"/>
        <v>1.2083333333333333</v>
      </c>
      <c r="C780" s="76" t="s">
        <v>45</v>
      </c>
      <c r="D780" s="7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 x14ac:dyDescent="0.3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 x14ac:dyDescent="0.3">
      <c r="A782" s="58">
        <v>46202</v>
      </c>
      <c r="B782" s="9">
        <f t="shared" si="174"/>
        <v>1.2916666666666667</v>
      </c>
      <c r="C782" s="76" t="s">
        <v>45</v>
      </c>
      <c r="D782" s="7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 x14ac:dyDescent="0.3">
      <c r="A783" s="105" t="s">
        <v>192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191</v>
      </c>
      <c r="N783" s="20"/>
    </row>
    <row r="784" spans="1:14" ht="18" customHeight="1" x14ac:dyDescent="0.3">
      <c r="A784" s="98" t="s">
        <v>193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194</v>
      </c>
      <c r="N784" s="31">
        <f>IFERROR(N770+N783,"")</f>
        <v>309470</v>
      </c>
    </row>
    <row r="785" spans="1:14" ht="15" customHeight="1" x14ac:dyDescent="0.3">
      <c r="A785" s="59">
        <v>46203</v>
      </c>
      <c r="B785" s="15">
        <v>0.33333333333333298</v>
      </c>
      <c r="C785" s="67"/>
      <c r="D785" s="67"/>
      <c r="E785" s="11"/>
      <c r="F785" s="93" t="str">
        <f t="shared" ref="F785:F796" si="175">IF(E785="","",E785*4)</f>
        <v/>
      </c>
      <c r="G785" s="67"/>
      <c r="H785" s="67"/>
      <c r="I785" s="67"/>
      <c r="J785" s="13"/>
      <c r="K785" s="13"/>
      <c r="L785" s="86" t="str">
        <f t="shared" ref="L785:L796" si="176">IFERROR(IF(K785="","",IF(K785&gt;=J785,K785-J785,K785+1-J785)),"")</f>
        <v/>
      </c>
      <c r="M785" s="29"/>
      <c r="N785" s="30"/>
    </row>
    <row r="786" spans="1:14" ht="15" customHeight="1" x14ac:dyDescent="0.3">
      <c r="A786" s="58">
        <v>46203</v>
      </c>
      <c r="B786" s="9">
        <f t="shared" ref="B786:B796" si="177">B785+TIME(0,60,0)</f>
        <v>0.37499999999999967</v>
      </c>
      <c r="C786" s="76"/>
      <c r="D786" s="76"/>
      <c r="E786" s="11"/>
      <c r="F786" s="80" t="str">
        <f t="shared" si="175"/>
        <v/>
      </c>
      <c r="G786" s="76"/>
      <c r="H786" s="76"/>
      <c r="I786" s="76"/>
      <c r="J786" s="13"/>
      <c r="K786" s="13"/>
      <c r="L786" s="77" t="str">
        <f t="shared" si="176"/>
        <v/>
      </c>
      <c r="M786" s="29"/>
      <c r="N786" s="30"/>
    </row>
    <row r="787" spans="1:14" ht="15" customHeight="1" x14ac:dyDescent="0.3">
      <c r="A787" s="59">
        <v>46203</v>
      </c>
      <c r="B787" s="15">
        <f t="shared" si="177"/>
        <v>0.41666666666666635</v>
      </c>
      <c r="C787" s="67"/>
      <c r="D787" s="67"/>
      <c r="E787" s="11"/>
      <c r="F787" s="93" t="str">
        <f t="shared" si="175"/>
        <v/>
      </c>
      <c r="G787" s="67"/>
      <c r="H787" s="67"/>
      <c r="I787" s="67"/>
      <c r="J787" s="13"/>
      <c r="K787" s="13"/>
      <c r="L787" s="86" t="str">
        <f t="shared" si="176"/>
        <v/>
      </c>
      <c r="M787" s="29"/>
      <c r="N787" s="30"/>
    </row>
    <row r="788" spans="1:14" ht="15" customHeight="1" x14ac:dyDescent="0.3">
      <c r="A788" s="58">
        <v>46203</v>
      </c>
      <c r="B788" s="9">
        <f t="shared" si="177"/>
        <v>0.45833333333333304</v>
      </c>
      <c r="C788" s="76"/>
      <c r="D788" s="76"/>
      <c r="E788" s="11"/>
      <c r="F788" s="80" t="str">
        <f t="shared" si="175"/>
        <v/>
      </c>
      <c r="G788" s="76"/>
      <c r="H788" s="76"/>
      <c r="I788" s="76"/>
      <c r="J788" s="13"/>
      <c r="K788" s="13"/>
      <c r="L788" s="77" t="str">
        <f t="shared" si="176"/>
        <v/>
      </c>
      <c r="M788" s="29"/>
      <c r="N788" s="30"/>
    </row>
    <row r="789" spans="1:14" ht="15" customHeight="1" x14ac:dyDescent="0.3">
      <c r="A789" s="59">
        <v>46203</v>
      </c>
      <c r="B789" s="15">
        <f t="shared" si="177"/>
        <v>0.49999999999999972</v>
      </c>
      <c r="C789" s="67"/>
      <c r="D789" s="67"/>
      <c r="E789" s="11"/>
      <c r="F789" s="93" t="str">
        <f t="shared" si="175"/>
        <v/>
      </c>
      <c r="G789" s="67"/>
      <c r="H789" s="67"/>
      <c r="I789" s="67"/>
      <c r="J789" s="13"/>
      <c r="K789" s="13"/>
      <c r="L789" s="86" t="str">
        <f t="shared" si="176"/>
        <v/>
      </c>
      <c r="M789" s="29"/>
      <c r="N789" s="30"/>
    </row>
    <row r="790" spans="1:14" ht="15" customHeight="1" x14ac:dyDescent="0.3">
      <c r="A790" s="58">
        <v>46203</v>
      </c>
      <c r="B790" s="9">
        <f t="shared" si="177"/>
        <v>0.54166666666666641</v>
      </c>
      <c r="C790" s="76"/>
      <c r="D790" s="76"/>
      <c r="E790" s="11"/>
      <c r="F790" s="80" t="str">
        <f t="shared" si="175"/>
        <v/>
      </c>
      <c r="G790" s="76"/>
      <c r="H790" s="76"/>
      <c r="I790" s="76"/>
      <c r="J790" s="13"/>
      <c r="K790" s="13"/>
      <c r="L790" s="77" t="str">
        <f t="shared" si="176"/>
        <v/>
      </c>
      <c r="M790" s="29"/>
      <c r="N790" s="30"/>
    </row>
    <row r="791" spans="1:14" ht="15" customHeight="1" x14ac:dyDescent="0.3">
      <c r="A791" s="59">
        <v>46203</v>
      </c>
      <c r="B791" s="15">
        <f t="shared" si="177"/>
        <v>0.58333333333333304</v>
      </c>
      <c r="C791" s="67"/>
      <c r="D791" s="67"/>
      <c r="E791" s="11"/>
      <c r="F791" s="93" t="str">
        <f t="shared" si="175"/>
        <v/>
      </c>
      <c r="G791" s="67"/>
      <c r="H791" s="67"/>
      <c r="I791" s="67"/>
      <c r="J791" s="13"/>
      <c r="K791" s="13"/>
      <c r="L791" s="86" t="str">
        <f t="shared" si="176"/>
        <v/>
      </c>
      <c r="M791" s="29"/>
      <c r="N791" s="30"/>
    </row>
    <row r="792" spans="1:14" ht="15" customHeight="1" x14ac:dyDescent="0.3">
      <c r="A792" s="58">
        <v>46203</v>
      </c>
      <c r="B792" s="9">
        <f t="shared" si="177"/>
        <v>0.62499999999999967</v>
      </c>
      <c r="C792" s="76"/>
      <c r="D792" s="76"/>
      <c r="E792" s="11"/>
      <c r="F792" s="80" t="str">
        <f t="shared" si="175"/>
        <v/>
      </c>
      <c r="G792" s="76"/>
      <c r="H792" s="76"/>
      <c r="I792" s="76"/>
      <c r="J792" s="13"/>
      <c r="K792" s="13"/>
      <c r="L792" s="77" t="str">
        <f t="shared" si="176"/>
        <v/>
      </c>
      <c r="M792" s="29"/>
      <c r="N792" s="30"/>
    </row>
    <row r="793" spans="1:14" ht="15" customHeight="1" x14ac:dyDescent="0.3">
      <c r="A793" s="59">
        <v>46203</v>
      </c>
      <c r="B793" s="15">
        <f t="shared" si="177"/>
        <v>0.6666666666666663</v>
      </c>
      <c r="C793" s="67"/>
      <c r="D793" s="67"/>
      <c r="E793" s="11"/>
      <c r="F793" s="93" t="str">
        <f t="shared" si="175"/>
        <v/>
      </c>
      <c r="G793" s="67"/>
      <c r="H793" s="67"/>
      <c r="I793" s="67"/>
      <c r="J793" s="13"/>
      <c r="K793" s="13"/>
      <c r="L793" s="86" t="str">
        <f t="shared" si="176"/>
        <v/>
      </c>
      <c r="M793" s="29"/>
      <c r="N793" s="30"/>
    </row>
    <row r="794" spans="1:14" ht="15" customHeight="1" x14ac:dyDescent="0.3">
      <c r="A794" s="58">
        <v>46203</v>
      </c>
      <c r="B794" s="9">
        <f t="shared" si="177"/>
        <v>0.70833333333333293</v>
      </c>
      <c r="C794" s="76"/>
      <c r="D794" s="76"/>
      <c r="E794" s="11"/>
      <c r="F794" s="80" t="str">
        <f t="shared" si="175"/>
        <v/>
      </c>
      <c r="G794" s="76"/>
      <c r="H794" s="76"/>
      <c r="I794" s="76"/>
      <c r="J794" s="13"/>
      <c r="K794" s="13"/>
      <c r="L794" s="77" t="str">
        <f t="shared" si="176"/>
        <v/>
      </c>
      <c r="M794" s="29"/>
      <c r="N794" s="30"/>
    </row>
    <row r="795" spans="1:14" ht="15" customHeight="1" x14ac:dyDescent="0.3">
      <c r="A795" s="59">
        <v>46203</v>
      </c>
      <c r="B795" s="15">
        <f t="shared" si="177"/>
        <v>0.74999999999999956</v>
      </c>
      <c r="C795" s="67"/>
      <c r="D795" s="67"/>
      <c r="E795" s="11"/>
      <c r="F795" s="93" t="str">
        <f t="shared" si="175"/>
        <v/>
      </c>
      <c r="G795" s="67"/>
      <c r="H795" s="67"/>
      <c r="I795" s="67"/>
      <c r="J795" s="13"/>
      <c r="K795" s="13"/>
      <c r="L795" s="86" t="str">
        <f t="shared" si="176"/>
        <v/>
      </c>
      <c r="M795" s="29"/>
      <c r="N795" s="30"/>
    </row>
    <row r="796" spans="1:14" ht="15" customHeight="1" x14ac:dyDescent="0.3">
      <c r="A796" s="58">
        <v>46203</v>
      </c>
      <c r="B796" s="9">
        <f t="shared" si="177"/>
        <v>0.79166666666666619</v>
      </c>
      <c r="C796" s="76"/>
      <c r="D796" s="76"/>
      <c r="E796" s="11"/>
      <c r="F796" s="80" t="str">
        <f t="shared" si="175"/>
        <v/>
      </c>
      <c r="G796" s="76"/>
      <c r="H796" s="76"/>
      <c r="I796" s="76"/>
      <c r="J796" s="13"/>
      <c r="K796" s="13"/>
      <c r="L796" s="77" t="str">
        <f t="shared" si="176"/>
        <v/>
      </c>
      <c r="M796" s="29"/>
      <c r="N796" s="30"/>
    </row>
    <row r="797" spans="1:14" ht="15.75" customHeight="1" x14ac:dyDescent="0.3">
      <c r="A797" s="105" t="s">
        <v>190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 x14ac:dyDescent="0.3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8">IFERROR(IF(K798="","",IF(K798&gt;=J798,K798-J798,K798+1-J798)),"")</f>
        <v/>
      </c>
      <c r="M798" s="29"/>
      <c r="N798" s="30"/>
    </row>
    <row r="799" spans="1:14" ht="15" customHeight="1" x14ac:dyDescent="0.3">
      <c r="A799" s="59">
        <v>46203</v>
      </c>
      <c r="B799" s="15">
        <f t="shared" ref="B799:B809" si="179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8"/>
        <v/>
      </c>
      <c r="M799" s="29"/>
      <c r="N799" s="30"/>
    </row>
    <row r="800" spans="1:14" ht="15" customHeight="1" x14ac:dyDescent="0.3">
      <c r="A800" s="58">
        <v>46203</v>
      </c>
      <c r="B800" s="9">
        <f t="shared" si="179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8"/>
        <v/>
      </c>
      <c r="M800" s="29"/>
      <c r="N800" s="30"/>
    </row>
    <row r="801" spans="1:14" ht="15" customHeight="1" x14ac:dyDescent="0.3">
      <c r="A801" s="59">
        <v>46203</v>
      </c>
      <c r="B801" s="15">
        <f t="shared" si="179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8"/>
        <v/>
      </c>
      <c r="M801" s="29"/>
      <c r="N801" s="30"/>
    </row>
    <row r="802" spans="1:14" ht="15" customHeight="1" x14ac:dyDescent="0.3">
      <c r="A802" s="58">
        <v>46203</v>
      </c>
      <c r="B802" s="9">
        <f t="shared" si="179"/>
        <v>0.99999999999999956</v>
      </c>
      <c r="C802" s="76"/>
      <c r="D802" s="76"/>
      <c r="E802" s="11"/>
      <c r="F802" s="80" t="str">
        <f t="shared" ref="F802:F809" si="180">IF(E802="","",E802*4)</f>
        <v/>
      </c>
      <c r="G802" s="76"/>
      <c r="H802" s="76"/>
      <c r="I802" s="76"/>
      <c r="J802" s="13"/>
      <c r="K802" s="13"/>
      <c r="L802" s="77" t="str">
        <f t="shared" si="178"/>
        <v/>
      </c>
      <c r="M802" s="29"/>
      <c r="N802" s="30"/>
    </row>
    <row r="803" spans="1:14" ht="15" customHeight="1" x14ac:dyDescent="0.3">
      <c r="A803" s="59">
        <v>46203</v>
      </c>
      <c r="B803" s="15">
        <f t="shared" si="179"/>
        <v>1.0416666666666663</v>
      </c>
      <c r="C803" s="67"/>
      <c r="D803" s="67"/>
      <c r="E803" s="11"/>
      <c r="F803" s="93" t="str">
        <f t="shared" si="180"/>
        <v/>
      </c>
      <c r="G803" s="67"/>
      <c r="H803" s="67"/>
      <c r="I803" s="67"/>
      <c r="J803" s="13"/>
      <c r="K803" s="13"/>
      <c r="L803" s="86" t="str">
        <f t="shared" si="178"/>
        <v/>
      </c>
      <c r="M803" s="29"/>
      <c r="N803" s="30"/>
    </row>
    <row r="804" spans="1:14" ht="15" customHeight="1" x14ac:dyDescent="0.3">
      <c r="A804" s="58">
        <v>46203</v>
      </c>
      <c r="B804" s="9">
        <f t="shared" si="179"/>
        <v>1.083333333333333</v>
      </c>
      <c r="C804" s="76"/>
      <c r="D804" s="76"/>
      <c r="E804" s="11"/>
      <c r="F804" s="80" t="str">
        <f t="shared" si="180"/>
        <v/>
      </c>
      <c r="G804" s="76"/>
      <c r="H804" s="76"/>
      <c r="I804" s="76"/>
      <c r="J804" s="13"/>
      <c r="K804" s="13"/>
      <c r="L804" s="77" t="str">
        <f t="shared" si="178"/>
        <v/>
      </c>
      <c r="M804" s="29"/>
      <c r="N804" s="30"/>
    </row>
    <row r="805" spans="1:14" ht="15" customHeight="1" x14ac:dyDescent="0.3">
      <c r="A805" s="59">
        <v>46203</v>
      </c>
      <c r="B805" s="15">
        <f t="shared" si="179"/>
        <v>1.1249999999999998</v>
      </c>
      <c r="C805" s="67"/>
      <c r="D805" s="67"/>
      <c r="E805" s="11"/>
      <c r="F805" s="93" t="str">
        <f t="shared" si="180"/>
        <v/>
      </c>
      <c r="G805" s="67"/>
      <c r="H805" s="67"/>
      <c r="I805" s="67"/>
      <c r="J805" s="13"/>
      <c r="K805" s="13"/>
      <c r="L805" s="86" t="str">
        <f t="shared" si="178"/>
        <v/>
      </c>
      <c r="M805" s="29"/>
      <c r="N805" s="30"/>
    </row>
    <row r="806" spans="1:14" ht="15" customHeight="1" x14ac:dyDescent="0.3">
      <c r="A806" s="58">
        <v>46203</v>
      </c>
      <c r="B806" s="9">
        <f t="shared" si="179"/>
        <v>1.1666666666666665</v>
      </c>
      <c r="C806" s="76"/>
      <c r="D806" s="76"/>
      <c r="E806" s="11"/>
      <c r="F806" s="80" t="str">
        <f t="shared" si="180"/>
        <v/>
      </c>
      <c r="G806" s="76"/>
      <c r="H806" s="76"/>
      <c r="I806" s="76"/>
      <c r="J806" s="13"/>
      <c r="K806" s="13"/>
      <c r="L806" s="77" t="str">
        <f t="shared" si="178"/>
        <v/>
      </c>
      <c r="M806" s="29"/>
      <c r="N806" s="30"/>
    </row>
    <row r="807" spans="1:14" ht="15" customHeight="1" x14ac:dyDescent="0.3">
      <c r="A807" s="59">
        <v>46203</v>
      </c>
      <c r="B807" s="15">
        <f t="shared" si="179"/>
        <v>1.2083333333333333</v>
      </c>
      <c r="C807" s="67"/>
      <c r="D807" s="67"/>
      <c r="E807" s="11"/>
      <c r="F807" s="93" t="str">
        <f t="shared" si="180"/>
        <v/>
      </c>
      <c r="G807" s="67"/>
      <c r="H807" s="67"/>
      <c r="I807" s="67"/>
      <c r="J807" s="13"/>
      <c r="K807" s="13"/>
      <c r="L807" s="86" t="str">
        <f t="shared" si="178"/>
        <v/>
      </c>
      <c r="M807" s="29"/>
      <c r="N807" s="30"/>
    </row>
    <row r="808" spans="1:14" ht="15" customHeight="1" x14ac:dyDescent="0.3">
      <c r="A808" s="58">
        <v>46203</v>
      </c>
      <c r="B808" s="9">
        <f t="shared" si="179"/>
        <v>1.25</v>
      </c>
      <c r="C808" s="76"/>
      <c r="D808" s="76"/>
      <c r="E808" s="11"/>
      <c r="F808" s="80" t="str">
        <f t="shared" si="180"/>
        <v/>
      </c>
      <c r="G808" s="76"/>
      <c r="H808" s="76"/>
      <c r="I808" s="76"/>
      <c r="J808" s="13"/>
      <c r="K808" s="13"/>
      <c r="L808" s="77" t="str">
        <f t="shared" si="178"/>
        <v/>
      </c>
      <c r="M808" s="29"/>
      <c r="N808" s="30"/>
    </row>
    <row r="809" spans="1:14" ht="15" customHeight="1" x14ac:dyDescent="0.3">
      <c r="A809" s="59">
        <v>46203</v>
      </c>
      <c r="B809" s="15">
        <f t="shared" si="179"/>
        <v>1.2916666666666667</v>
      </c>
      <c r="C809" s="67"/>
      <c r="D809" s="67"/>
      <c r="E809" s="11"/>
      <c r="F809" s="93" t="str">
        <f t="shared" si="180"/>
        <v/>
      </c>
      <c r="G809" s="67"/>
      <c r="H809" s="67"/>
      <c r="I809" s="67"/>
      <c r="J809" s="13"/>
      <c r="K809" s="13"/>
      <c r="L809" s="86" t="str">
        <f t="shared" si="178"/>
        <v/>
      </c>
      <c r="M809" s="29"/>
      <c r="N809" s="30"/>
    </row>
    <row r="810" spans="1:14" ht="15.75" customHeight="1" x14ac:dyDescent="0.3">
      <c r="A810" s="105" t="s">
        <v>192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 x14ac:dyDescent="0.3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opLeftCell="C1" zoomScale="80" zoomScaleNormal="80" workbookViewId="0">
      <pane ySplit="1" topLeftCell="A764" activePane="bottomLeft" state="frozen"/>
      <selection pane="bottomLeft" activeCell="C758" sqref="C758:C769"/>
    </sheetView>
  </sheetViews>
  <sheetFormatPr defaultColWidth="8.5546875" defaultRowHeight="14.4" x14ac:dyDescent="0.3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6640625" style="7" customWidth="1"/>
    <col min="8" max="8" width="30.44140625" style="7" customWidth="1"/>
    <col min="9" max="9" width="46.44140625" style="7" customWidth="1"/>
    <col min="10" max="10" width="12" style="7" customWidth="1"/>
    <col min="11" max="11" width="16.44140625" style="7" customWidth="1"/>
    <col min="12" max="12" width="14" style="74" customWidth="1"/>
    <col min="13" max="13" width="43.6640625" style="7" customWidth="1"/>
    <col min="14" max="14" width="14" style="7" customWidth="1"/>
  </cols>
  <sheetData>
    <row r="1" spans="1:14" ht="37.5" customHeight="1" x14ac:dyDescent="0.3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303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 x14ac:dyDescent="0.3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 x14ac:dyDescent="0.3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 x14ac:dyDescent="0.3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 x14ac:dyDescent="0.3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 x14ac:dyDescent="0.3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 x14ac:dyDescent="0.3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 x14ac:dyDescent="0.3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 x14ac:dyDescent="0.3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 x14ac:dyDescent="0.3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 x14ac:dyDescent="0.3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 x14ac:dyDescent="0.3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 x14ac:dyDescent="0.3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 x14ac:dyDescent="0.3">
      <c r="A14" s="105" t="s">
        <v>190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 x14ac:dyDescent="0.3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 x14ac:dyDescent="0.3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 x14ac:dyDescent="0.3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 x14ac:dyDescent="0.3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 x14ac:dyDescent="0.3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 x14ac:dyDescent="0.3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 x14ac:dyDescent="0.3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 x14ac:dyDescent="0.3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 x14ac:dyDescent="0.3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 x14ac:dyDescent="0.3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 x14ac:dyDescent="0.3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 x14ac:dyDescent="0.3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 x14ac:dyDescent="0.3">
      <c r="A27" s="105" t="s">
        <v>192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 x14ac:dyDescent="0.3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 x14ac:dyDescent="0.3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 x14ac:dyDescent="0.3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 x14ac:dyDescent="0.3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 x14ac:dyDescent="0.3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 x14ac:dyDescent="0.3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 x14ac:dyDescent="0.3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 x14ac:dyDescent="0.3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 x14ac:dyDescent="0.3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 x14ac:dyDescent="0.3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 x14ac:dyDescent="0.3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 x14ac:dyDescent="0.3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 x14ac:dyDescent="0.3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3">
      <c r="A41" s="105" t="s">
        <v>190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 x14ac:dyDescent="0.3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 x14ac:dyDescent="0.3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 x14ac:dyDescent="0.3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 x14ac:dyDescent="0.3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 x14ac:dyDescent="0.3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 x14ac:dyDescent="0.3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 x14ac:dyDescent="0.3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 x14ac:dyDescent="0.3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 x14ac:dyDescent="0.3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 x14ac:dyDescent="0.3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 x14ac:dyDescent="0.3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 x14ac:dyDescent="0.3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3">
      <c r="A54" s="105" t="s">
        <v>192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 x14ac:dyDescent="0.3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 x14ac:dyDescent="0.3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 x14ac:dyDescent="0.3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 x14ac:dyDescent="0.3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 x14ac:dyDescent="0.3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 x14ac:dyDescent="0.3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 x14ac:dyDescent="0.3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 x14ac:dyDescent="0.3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 x14ac:dyDescent="0.3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 x14ac:dyDescent="0.3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 x14ac:dyDescent="0.3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 x14ac:dyDescent="0.3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 x14ac:dyDescent="0.3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 x14ac:dyDescent="0.3">
      <c r="A68" s="105" t="s">
        <v>190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 x14ac:dyDescent="0.3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 x14ac:dyDescent="0.3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 x14ac:dyDescent="0.3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 x14ac:dyDescent="0.3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 x14ac:dyDescent="0.3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 x14ac:dyDescent="0.3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 x14ac:dyDescent="0.3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 x14ac:dyDescent="0.3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 x14ac:dyDescent="0.3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 x14ac:dyDescent="0.3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 x14ac:dyDescent="0.3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 x14ac:dyDescent="0.3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304</v>
      </c>
      <c r="I80" s="10" t="s">
        <v>233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 x14ac:dyDescent="0.3">
      <c r="A81" s="105" t="s">
        <v>192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 x14ac:dyDescent="0.3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 x14ac:dyDescent="0.3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 x14ac:dyDescent="0.3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 x14ac:dyDescent="0.3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 x14ac:dyDescent="0.3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 x14ac:dyDescent="0.3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 x14ac:dyDescent="0.3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 x14ac:dyDescent="0.3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 x14ac:dyDescent="0.3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 x14ac:dyDescent="0.3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 x14ac:dyDescent="0.3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 x14ac:dyDescent="0.3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 x14ac:dyDescent="0.3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 x14ac:dyDescent="0.3">
      <c r="A95" s="105" t="s">
        <v>190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 x14ac:dyDescent="0.3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 x14ac:dyDescent="0.3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 x14ac:dyDescent="0.3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 x14ac:dyDescent="0.3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 x14ac:dyDescent="0.3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 x14ac:dyDescent="0.3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 x14ac:dyDescent="0.3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 x14ac:dyDescent="0.3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 x14ac:dyDescent="0.3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 x14ac:dyDescent="0.3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 x14ac:dyDescent="0.3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 x14ac:dyDescent="0.3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 x14ac:dyDescent="0.3">
      <c r="A108" s="105" t="s">
        <v>192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 x14ac:dyDescent="0.3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 x14ac:dyDescent="0.3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 x14ac:dyDescent="0.3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 x14ac:dyDescent="0.3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 x14ac:dyDescent="0.3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 x14ac:dyDescent="0.3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 x14ac:dyDescent="0.3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 x14ac:dyDescent="0.3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 x14ac:dyDescent="0.3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 x14ac:dyDescent="0.3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 x14ac:dyDescent="0.3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 x14ac:dyDescent="0.3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 x14ac:dyDescent="0.3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 x14ac:dyDescent="0.3">
      <c r="A122" s="105" t="s">
        <v>190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 x14ac:dyDescent="0.3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 x14ac:dyDescent="0.3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 x14ac:dyDescent="0.3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 x14ac:dyDescent="0.3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 x14ac:dyDescent="0.3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 x14ac:dyDescent="0.3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 x14ac:dyDescent="0.3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 x14ac:dyDescent="0.3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 x14ac:dyDescent="0.3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 x14ac:dyDescent="0.3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 x14ac:dyDescent="0.3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 x14ac:dyDescent="0.3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 x14ac:dyDescent="0.3">
      <c r="A135" s="105" t="s">
        <v>192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 x14ac:dyDescent="0.3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 x14ac:dyDescent="0.3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 x14ac:dyDescent="0.3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 x14ac:dyDescent="0.3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 x14ac:dyDescent="0.3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 x14ac:dyDescent="0.3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 x14ac:dyDescent="0.3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 x14ac:dyDescent="0.3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 x14ac:dyDescent="0.3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 x14ac:dyDescent="0.3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 x14ac:dyDescent="0.3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 x14ac:dyDescent="0.3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 x14ac:dyDescent="0.3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 x14ac:dyDescent="0.3">
      <c r="A149" s="105" t="s">
        <v>190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 x14ac:dyDescent="0.3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 x14ac:dyDescent="0.3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 x14ac:dyDescent="0.3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 x14ac:dyDescent="0.3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 x14ac:dyDescent="0.3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 x14ac:dyDescent="0.3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 x14ac:dyDescent="0.3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 x14ac:dyDescent="0.3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 x14ac:dyDescent="0.3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 x14ac:dyDescent="0.3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 x14ac:dyDescent="0.3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 x14ac:dyDescent="0.3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 x14ac:dyDescent="0.3">
      <c r="A162" s="105" t="s">
        <v>192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 x14ac:dyDescent="0.3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 x14ac:dyDescent="0.3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 x14ac:dyDescent="0.3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 x14ac:dyDescent="0.3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 x14ac:dyDescent="0.3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 x14ac:dyDescent="0.3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 x14ac:dyDescent="0.3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 x14ac:dyDescent="0.3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 x14ac:dyDescent="0.3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 x14ac:dyDescent="0.3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 x14ac:dyDescent="0.3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 x14ac:dyDescent="0.3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 x14ac:dyDescent="0.3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 x14ac:dyDescent="0.3">
      <c r="A176" s="105" t="s">
        <v>190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 x14ac:dyDescent="0.3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 x14ac:dyDescent="0.3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 x14ac:dyDescent="0.3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 x14ac:dyDescent="0.3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 x14ac:dyDescent="0.3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 x14ac:dyDescent="0.3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 x14ac:dyDescent="0.3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 x14ac:dyDescent="0.3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 x14ac:dyDescent="0.3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 x14ac:dyDescent="0.3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 x14ac:dyDescent="0.3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 x14ac:dyDescent="0.3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 x14ac:dyDescent="0.3">
      <c r="A189" s="105" t="s">
        <v>192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 x14ac:dyDescent="0.3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 x14ac:dyDescent="0.3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 x14ac:dyDescent="0.3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 x14ac:dyDescent="0.3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 x14ac:dyDescent="0.3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 x14ac:dyDescent="0.3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 x14ac:dyDescent="0.3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 x14ac:dyDescent="0.3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 x14ac:dyDescent="0.3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 x14ac:dyDescent="0.3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 x14ac:dyDescent="0.3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 x14ac:dyDescent="0.3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 x14ac:dyDescent="0.3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 x14ac:dyDescent="0.3">
      <c r="A203" s="105" t="s">
        <v>190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 x14ac:dyDescent="0.3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 x14ac:dyDescent="0.3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 x14ac:dyDescent="0.3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 x14ac:dyDescent="0.3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 x14ac:dyDescent="0.3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 x14ac:dyDescent="0.3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 x14ac:dyDescent="0.3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 x14ac:dyDescent="0.3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 x14ac:dyDescent="0.3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 x14ac:dyDescent="0.3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 x14ac:dyDescent="0.3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 x14ac:dyDescent="0.3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 x14ac:dyDescent="0.3">
      <c r="A216" s="105" t="s">
        <v>192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 x14ac:dyDescent="0.3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 x14ac:dyDescent="0.3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 x14ac:dyDescent="0.3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 x14ac:dyDescent="0.3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 x14ac:dyDescent="0.3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 x14ac:dyDescent="0.3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 x14ac:dyDescent="0.3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 x14ac:dyDescent="0.3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 x14ac:dyDescent="0.3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 x14ac:dyDescent="0.3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 x14ac:dyDescent="0.3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 x14ac:dyDescent="0.3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 x14ac:dyDescent="0.3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 x14ac:dyDescent="0.3">
      <c r="A230" s="105" t="s">
        <v>190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 x14ac:dyDescent="0.3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 x14ac:dyDescent="0.3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 x14ac:dyDescent="0.3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 x14ac:dyDescent="0.3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 x14ac:dyDescent="0.3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 x14ac:dyDescent="0.3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 x14ac:dyDescent="0.3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 x14ac:dyDescent="0.3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 x14ac:dyDescent="0.3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 x14ac:dyDescent="0.3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 x14ac:dyDescent="0.3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 x14ac:dyDescent="0.3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 x14ac:dyDescent="0.3">
      <c r="A243" s="105" t="s">
        <v>192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 x14ac:dyDescent="0.3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 x14ac:dyDescent="0.3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305</v>
      </c>
      <c r="N245" s="30"/>
    </row>
    <row r="246" spans="1:14" ht="15" customHeight="1" x14ac:dyDescent="0.3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305</v>
      </c>
      <c r="N246" s="30"/>
    </row>
    <row r="247" spans="1:14" ht="15" customHeight="1" x14ac:dyDescent="0.3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 x14ac:dyDescent="0.3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 x14ac:dyDescent="0.3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 x14ac:dyDescent="0.3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 x14ac:dyDescent="0.3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 x14ac:dyDescent="0.3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 x14ac:dyDescent="0.3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 x14ac:dyDescent="0.3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 x14ac:dyDescent="0.3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 x14ac:dyDescent="0.3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 x14ac:dyDescent="0.3">
      <c r="A257" s="105" t="s">
        <v>190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 x14ac:dyDescent="0.3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244</v>
      </c>
      <c r="N258" s="30"/>
    </row>
    <row r="259" spans="1:14" ht="15" customHeight="1" x14ac:dyDescent="0.3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 x14ac:dyDescent="0.3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 x14ac:dyDescent="0.3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 x14ac:dyDescent="0.3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 x14ac:dyDescent="0.3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 x14ac:dyDescent="0.3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 x14ac:dyDescent="0.3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 x14ac:dyDescent="0.3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 x14ac:dyDescent="0.3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 x14ac:dyDescent="0.3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 x14ac:dyDescent="0.3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 x14ac:dyDescent="0.3">
      <c r="A270" s="105" t="s">
        <v>192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 x14ac:dyDescent="0.3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 x14ac:dyDescent="0.3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 x14ac:dyDescent="0.3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 x14ac:dyDescent="0.3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 x14ac:dyDescent="0.3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 x14ac:dyDescent="0.3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 x14ac:dyDescent="0.3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 x14ac:dyDescent="0.3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 x14ac:dyDescent="0.3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 x14ac:dyDescent="0.3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 x14ac:dyDescent="0.3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 x14ac:dyDescent="0.3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 x14ac:dyDescent="0.3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 x14ac:dyDescent="0.3">
      <c r="A284" s="105" t="s">
        <v>190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 x14ac:dyDescent="0.3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306</v>
      </c>
      <c r="N285" s="30"/>
    </row>
    <row r="286" spans="1:14" ht="15" customHeight="1" x14ac:dyDescent="0.3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 x14ac:dyDescent="0.3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 x14ac:dyDescent="0.3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 x14ac:dyDescent="0.3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 x14ac:dyDescent="0.3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 x14ac:dyDescent="0.3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 x14ac:dyDescent="0.3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 x14ac:dyDescent="0.3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 x14ac:dyDescent="0.3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 x14ac:dyDescent="0.3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 x14ac:dyDescent="0.3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 x14ac:dyDescent="0.3">
      <c r="A297" s="105" t="s">
        <v>192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 x14ac:dyDescent="0.3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 x14ac:dyDescent="0.3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307</v>
      </c>
      <c r="N299" s="30"/>
    </row>
    <row r="300" spans="1:14" ht="15" customHeight="1" x14ac:dyDescent="0.3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 x14ac:dyDescent="0.3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 x14ac:dyDescent="0.3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 x14ac:dyDescent="0.3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 x14ac:dyDescent="0.3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 x14ac:dyDescent="0.3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 x14ac:dyDescent="0.3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 x14ac:dyDescent="0.3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 x14ac:dyDescent="0.3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 x14ac:dyDescent="0.3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 x14ac:dyDescent="0.3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 x14ac:dyDescent="0.3">
      <c r="A311" s="105" t="s">
        <v>190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 x14ac:dyDescent="0.3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 x14ac:dyDescent="0.3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 x14ac:dyDescent="0.3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 x14ac:dyDescent="0.3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 x14ac:dyDescent="0.3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 x14ac:dyDescent="0.3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 x14ac:dyDescent="0.3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 x14ac:dyDescent="0.3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308</v>
      </c>
      <c r="N319" s="30"/>
    </row>
    <row r="320" spans="1:14" ht="15" customHeight="1" x14ac:dyDescent="0.3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 x14ac:dyDescent="0.3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251</v>
      </c>
      <c r="N321" s="30"/>
    </row>
    <row r="322" spans="1:14" ht="15" customHeight="1" x14ac:dyDescent="0.3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 x14ac:dyDescent="0.3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 x14ac:dyDescent="0.3">
      <c r="A324" s="105" t="s">
        <v>192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 x14ac:dyDescent="0.3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 x14ac:dyDescent="0.3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 x14ac:dyDescent="0.3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 x14ac:dyDescent="0.3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 x14ac:dyDescent="0.3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 x14ac:dyDescent="0.3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 x14ac:dyDescent="0.3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 x14ac:dyDescent="0.3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 x14ac:dyDescent="0.3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 x14ac:dyDescent="0.3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 x14ac:dyDescent="0.3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 x14ac:dyDescent="0.3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 x14ac:dyDescent="0.3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 x14ac:dyDescent="0.3">
      <c r="A338" s="105" t="s">
        <v>190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 x14ac:dyDescent="0.3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 x14ac:dyDescent="0.3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 x14ac:dyDescent="0.3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 x14ac:dyDescent="0.3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 x14ac:dyDescent="0.3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 x14ac:dyDescent="0.3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 x14ac:dyDescent="0.3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 x14ac:dyDescent="0.3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256</v>
      </c>
      <c r="N346" s="30"/>
    </row>
    <row r="347" spans="1:14" ht="15" customHeight="1" x14ac:dyDescent="0.3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 x14ac:dyDescent="0.3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 x14ac:dyDescent="0.3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 x14ac:dyDescent="0.3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 x14ac:dyDescent="0.3">
      <c r="A351" s="105" t="s">
        <v>192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 x14ac:dyDescent="0.3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 x14ac:dyDescent="0.3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259</v>
      </c>
      <c r="N353" s="30"/>
    </row>
    <row r="354" spans="1:14" ht="15" customHeight="1" x14ac:dyDescent="0.3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309</v>
      </c>
      <c r="N354" s="30"/>
    </row>
    <row r="355" spans="1:14" ht="15" customHeight="1" x14ac:dyDescent="0.3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 x14ac:dyDescent="0.3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 x14ac:dyDescent="0.3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 x14ac:dyDescent="0.3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 x14ac:dyDescent="0.3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 x14ac:dyDescent="0.3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 x14ac:dyDescent="0.3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 x14ac:dyDescent="0.3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 x14ac:dyDescent="0.3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 x14ac:dyDescent="0.3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 x14ac:dyDescent="0.3">
      <c r="A365" s="105" t="s">
        <v>190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 x14ac:dyDescent="0.3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 x14ac:dyDescent="0.3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 x14ac:dyDescent="0.3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 x14ac:dyDescent="0.3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 x14ac:dyDescent="0.3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 x14ac:dyDescent="0.3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 x14ac:dyDescent="0.3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 x14ac:dyDescent="0.3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 x14ac:dyDescent="0.3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 x14ac:dyDescent="0.3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 x14ac:dyDescent="0.3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 x14ac:dyDescent="0.3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 x14ac:dyDescent="0.3">
      <c r="A378" s="105" t="s">
        <v>192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 x14ac:dyDescent="0.3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 x14ac:dyDescent="0.3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 x14ac:dyDescent="0.3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 x14ac:dyDescent="0.3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 x14ac:dyDescent="0.3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 x14ac:dyDescent="0.3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 x14ac:dyDescent="0.3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 x14ac:dyDescent="0.3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 x14ac:dyDescent="0.3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 x14ac:dyDescent="0.3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 x14ac:dyDescent="0.3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 x14ac:dyDescent="0.3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 x14ac:dyDescent="0.3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 x14ac:dyDescent="0.3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 x14ac:dyDescent="0.3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 x14ac:dyDescent="0.3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 x14ac:dyDescent="0.3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 x14ac:dyDescent="0.3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 x14ac:dyDescent="0.3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 x14ac:dyDescent="0.3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 x14ac:dyDescent="0.3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 x14ac:dyDescent="0.3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 x14ac:dyDescent="0.3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 x14ac:dyDescent="0.3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 x14ac:dyDescent="0.3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 x14ac:dyDescent="0.3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 x14ac:dyDescent="0.3">
      <c r="A405" s="105" t="s">
        <v>192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 x14ac:dyDescent="0.3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 x14ac:dyDescent="0.3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 x14ac:dyDescent="0.3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 x14ac:dyDescent="0.3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 x14ac:dyDescent="0.3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 x14ac:dyDescent="0.3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 x14ac:dyDescent="0.3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 x14ac:dyDescent="0.3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 x14ac:dyDescent="0.3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 x14ac:dyDescent="0.3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 x14ac:dyDescent="0.3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 x14ac:dyDescent="0.3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 x14ac:dyDescent="0.3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 x14ac:dyDescent="0.3">
      <c r="A419" s="105" t="s">
        <v>190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 x14ac:dyDescent="0.3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 x14ac:dyDescent="0.3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 x14ac:dyDescent="0.3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 x14ac:dyDescent="0.3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 x14ac:dyDescent="0.3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 x14ac:dyDescent="0.3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 x14ac:dyDescent="0.3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 x14ac:dyDescent="0.3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 x14ac:dyDescent="0.3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 x14ac:dyDescent="0.3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 x14ac:dyDescent="0.3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 x14ac:dyDescent="0.3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 x14ac:dyDescent="0.3">
      <c r="A432" s="105" t="s">
        <v>192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 x14ac:dyDescent="0.3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 x14ac:dyDescent="0.3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 x14ac:dyDescent="0.3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 x14ac:dyDescent="0.3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 x14ac:dyDescent="0.3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310</v>
      </c>
      <c r="N437" s="30"/>
    </row>
    <row r="438" spans="1:14" ht="15" customHeight="1" x14ac:dyDescent="0.3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 x14ac:dyDescent="0.3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269</v>
      </c>
      <c r="N439" s="30"/>
    </row>
    <row r="440" spans="1:14" ht="15" customHeight="1" x14ac:dyDescent="0.3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 x14ac:dyDescent="0.3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 x14ac:dyDescent="0.3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 x14ac:dyDescent="0.3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 x14ac:dyDescent="0.3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 x14ac:dyDescent="0.3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 x14ac:dyDescent="0.3">
      <c r="A446" s="105" t="s">
        <v>190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 x14ac:dyDescent="0.3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311</v>
      </c>
      <c r="N447" s="30"/>
    </row>
    <row r="448" spans="1:14" ht="15" customHeight="1" x14ac:dyDescent="0.3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 x14ac:dyDescent="0.3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 x14ac:dyDescent="0.3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 x14ac:dyDescent="0.3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 x14ac:dyDescent="0.3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 x14ac:dyDescent="0.3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 x14ac:dyDescent="0.3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 x14ac:dyDescent="0.3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 x14ac:dyDescent="0.3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 x14ac:dyDescent="0.3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 x14ac:dyDescent="0.3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 x14ac:dyDescent="0.3">
      <c r="A459" s="105" t="s">
        <v>192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 x14ac:dyDescent="0.3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 x14ac:dyDescent="0.3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 x14ac:dyDescent="0.3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 x14ac:dyDescent="0.3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 x14ac:dyDescent="0.3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271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273</v>
      </c>
      <c r="N464" s="30"/>
    </row>
    <row r="465" spans="1:14" ht="15" customHeight="1" x14ac:dyDescent="0.3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 x14ac:dyDescent="0.3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 x14ac:dyDescent="0.3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 x14ac:dyDescent="0.3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 x14ac:dyDescent="0.3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 x14ac:dyDescent="0.3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 x14ac:dyDescent="0.3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 x14ac:dyDescent="0.3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273</v>
      </c>
      <c r="N472" s="30"/>
    </row>
    <row r="473" spans="1:14" ht="15.75" customHeight="1" x14ac:dyDescent="0.3">
      <c r="A473" s="105" t="s">
        <v>190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 x14ac:dyDescent="0.3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 x14ac:dyDescent="0.3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 x14ac:dyDescent="0.3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 x14ac:dyDescent="0.3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 x14ac:dyDescent="0.3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 x14ac:dyDescent="0.3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 x14ac:dyDescent="0.3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 x14ac:dyDescent="0.3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 x14ac:dyDescent="0.3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 x14ac:dyDescent="0.3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 x14ac:dyDescent="0.3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 x14ac:dyDescent="0.3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 x14ac:dyDescent="0.3">
      <c r="A486" s="105" t="s">
        <v>192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 x14ac:dyDescent="0.3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 x14ac:dyDescent="0.3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 x14ac:dyDescent="0.3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 x14ac:dyDescent="0.3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 x14ac:dyDescent="0.3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 x14ac:dyDescent="0.3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 x14ac:dyDescent="0.3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 x14ac:dyDescent="0.3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 x14ac:dyDescent="0.3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 x14ac:dyDescent="0.3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 x14ac:dyDescent="0.3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 x14ac:dyDescent="0.3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 x14ac:dyDescent="0.3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 x14ac:dyDescent="0.3">
      <c r="A500" s="105" t="s">
        <v>190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 x14ac:dyDescent="0.3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 x14ac:dyDescent="0.3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 x14ac:dyDescent="0.3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 x14ac:dyDescent="0.3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 x14ac:dyDescent="0.3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 x14ac:dyDescent="0.3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 x14ac:dyDescent="0.3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 x14ac:dyDescent="0.3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 x14ac:dyDescent="0.3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 x14ac:dyDescent="0.3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 x14ac:dyDescent="0.3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 x14ac:dyDescent="0.3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 x14ac:dyDescent="0.3">
      <c r="A513" s="105" t="s">
        <v>192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 x14ac:dyDescent="0.3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 x14ac:dyDescent="0.3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 x14ac:dyDescent="0.3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 x14ac:dyDescent="0.3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 x14ac:dyDescent="0.3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 x14ac:dyDescent="0.3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 x14ac:dyDescent="0.3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 x14ac:dyDescent="0.3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 x14ac:dyDescent="0.3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 x14ac:dyDescent="0.3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 x14ac:dyDescent="0.3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 x14ac:dyDescent="0.3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 x14ac:dyDescent="0.3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 x14ac:dyDescent="0.3">
      <c r="A527" s="105" t="s">
        <v>190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 x14ac:dyDescent="0.3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312</v>
      </c>
      <c r="N528" s="30"/>
    </row>
    <row r="529" spans="1:14" ht="15" customHeight="1" x14ac:dyDescent="0.3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279</v>
      </c>
      <c r="N529" s="30"/>
    </row>
    <row r="530" spans="1:14" ht="15" customHeight="1" x14ac:dyDescent="0.3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 x14ac:dyDescent="0.3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 x14ac:dyDescent="0.3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 x14ac:dyDescent="0.3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 x14ac:dyDescent="0.3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 x14ac:dyDescent="0.3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 x14ac:dyDescent="0.3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 x14ac:dyDescent="0.3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 x14ac:dyDescent="0.3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 x14ac:dyDescent="0.3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 x14ac:dyDescent="0.3">
      <c r="A540" s="105" t="s">
        <v>192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 x14ac:dyDescent="0.3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 x14ac:dyDescent="0.3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267</v>
      </c>
      <c r="N542" s="30"/>
    </row>
    <row r="543" spans="1:14" ht="15" customHeight="1" x14ac:dyDescent="0.3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 x14ac:dyDescent="0.3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 x14ac:dyDescent="0.3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 x14ac:dyDescent="0.3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 x14ac:dyDescent="0.3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 x14ac:dyDescent="0.3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 x14ac:dyDescent="0.3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 x14ac:dyDescent="0.3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 x14ac:dyDescent="0.3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 x14ac:dyDescent="0.3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 x14ac:dyDescent="0.3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 x14ac:dyDescent="0.3">
      <c r="A554" s="105" t="s">
        <v>190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 x14ac:dyDescent="0.3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 x14ac:dyDescent="0.3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 x14ac:dyDescent="0.3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 x14ac:dyDescent="0.3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 x14ac:dyDescent="0.3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 x14ac:dyDescent="0.3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 x14ac:dyDescent="0.3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 x14ac:dyDescent="0.3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 x14ac:dyDescent="0.3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 x14ac:dyDescent="0.3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 x14ac:dyDescent="0.3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 x14ac:dyDescent="0.3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 x14ac:dyDescent="0.3">
      <c r="A567" s="105" t="s">
        <v>192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 x14ac:dyDescent="0.3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 x14ac:dyDescent="0.3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313</v>
      </c>
      <c r="N569" s="30"/>
    </row>
    <row r="570" spans="1:14" ht="15" customHeight="1" x14ac:dyDescent="0.3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 x14ac:dyDescent="0.3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 x14ac:dyDescent="0.3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 x14ac:dyDescent="0.3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 x14ac:dyDescent="0.3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 x14ac:dyDescent="0.3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 x14ac:dyDescent="0.3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 x14ac:dyDescent="0.3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 x14ac:dyDescent="0.3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 x14ac:dyDescent="0.3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 x14ac:dyDescent="0.3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 x14ac:dyDescent="0.3">
      <c r="A581" s="105" t="s">
        <v>190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 x14ac:dyDescent="0.3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 x14ac:dyDescent="0.3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 x14ac:dyDescent="0.3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 x14ac:dyDescent="0.3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 x14ac:dyDescent="0.3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314</v>
      </c>
      <c r="N586" s="30"/>
    </row>
    <row r="587" spans="1:14" ht="15" customHeight="1" x14ac:dyDescent="0.3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 x14ac:dyDescent="0.3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251</v>
      </c>
      <c r="N588" s="30"/>
    </row>
    <row r="589" spans="1:14" ht="15" customHeight="1" x14ac:dyDescent="0.3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 x14ac:dyDescent="0.3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 x14ac:dyDescent="0.3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 x14ac:dyDescent="0.3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 x14ac:dyDescent="0.3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 x14ac:dyDescent="0.3">
      <c r="A594" s="105" t="s">
        <v>192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 x14ac:dyDescent="0.3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 x14ac:dyDescent="0.3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 x14ac:dyDescent="0.3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 x14ac:dyDescent="0.3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 x14ac:dyDescent="0.3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 x14ac:dyDescent="0.3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 x14ac:dyDescent="0.3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 x14ac:dyDescent="0.3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 x14ac:dyDescent="0.3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 x14ac:dyDescent="0.3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 x14ac:dyDescent="0.3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 x14ac:dyDescent="0.3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 x14ac:dyDescent="0.3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 x14ac:dyDescent="0.3">
      <c r="A608" s="105" t="s">
        <v>190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 x14ac:dyDescent="0.3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 x14ac:dyDescent="0.3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 x14ac:dyDescent="0.3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 x14ac:dyDescent="0.3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315</v>
      </c>
      <c r="N612" s="30"/>
    </row>
    <row r="613" spans="1:14" ht="15" customHeight="1" x14ac:dyDescent="0.3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 x14ac:dyDescent="0.3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 x14ac:dyDescent="0.3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 x14ac:dyDescent="0.3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 x14ac:dyDescent="0.3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 x14ac:dyDescent="0.3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 x14ac:dyDescent="0.3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 x14ac:dyDescent="0.3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 x14ac:dyDescent="0.3">
      <c r="A621" s="105" t="s">
        <v>192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 x14ac:dyDescent="0.3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 x14ac:dyDescent="0.3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316</v>
      </c>
      <c r="N623" s="30"/>
    </row>
    <row r="624" spans="1:14" ht="15" customHeight="1" x14ac:dyDescent="0.3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 x14ac:dyDescent="0.3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 x14ac:dyDescent="0.3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 x14ac:dyDescent="0.3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 x14ac:dyDescent="0.3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 x14ac:dyDescent="0.3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 x14ac:dyDescent="0.3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 x14ac:dyDescent="0.3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 x14ac:dyDescent="0.3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 x14ac:dyDescent="0.3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 x14ac:dyDescent="0.3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 x14ac:dyDescent="0.3">
      <c r="A635" s="105" t="s">
        <v>190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 x14ac:dyDescent="0.3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 x14ac:dyDescent="0.3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 x14ac:dyDescent="0.3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317</v>
      </c>
      <c r="N638" s="30"/>
    </row>
    <row r="639" spans="1:14" ht="15" customHeight="1" x14ac:dyDescent="0.3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 x14ac:dyDescent="0.3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 x14ac:dyDescent="0.3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 x14ac:dyDescent="0.3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 x14ac:dyDescent="0.3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 x14ac:dyDescent="0.3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 x14ac:dyDescent="0.3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 x14ac:dyDescent="0.3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 x14ac:dyDescent="0.3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 x14ac:dyDescent="0.3">
      <c r="A648" s="105" t="s">
        <v>192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 x14ac:dyDescent="0.3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 x14ac:dyDescent="0.3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 x14ac:dyDescent="0.3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 x14ac:dyDescent="0.3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 x14ac:dyDescent="0.3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 x14ac:dyDescent="0.3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 x14ac:dyDescent="0.3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 x14ac:dyDescent="0.3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 x14ac:dyDescent="0.3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 x14ac:dyDescent="0.3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 x14ac:dyDescent="0.3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 x14ac:dyDescent="0.3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 x14ac:dyDescent="0.3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 x14ac:dyDescent="0.3">
      <c r="A662" s="105" t="s">
        <v>190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 x14ac:dyDescent="0.3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 x14ac:dyDescent="0.3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 x14ac:dyDescent="0.3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 x14ac:dyDescent="0.3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 x14ac:dyDescent="0.3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 x14ac:dyDescent="0.3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 x14ac:dyDescent="0.3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 x14ac:dyDescent="0.3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 x14ac:dyDescent="0.3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 x14ac:dyDescent="0.3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 x14ac:dyDescent="0.3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 x14ac:dyDescent="0.3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 x14ac:dyDescent="0.3">
      <c r="A675" s="105" t="s">
        <v>192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 x14ac:dyDescent="0.3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 x14ac:dyDescent="0.3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 x14ac:dyDescent="0.3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318</v>
      </c>
      <c r="N678" s="30"/>
    </row>
    <row r="679" spans="1:14" ht="15" customHeight="1" x14ac:dyDescent="0.3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 x14ac:dyDescent="0.3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 x14ac:dyDescent="0.3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 x14ac:dyDescent="0.3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 x14ac:dyDescent="0.3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 x14ac:dyDescent="0.3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 x14ac:dyDescent="0.3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 x14ac:dyDescent="0.3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 x14ac:dyDescent="0.3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 x14ac:dyDescent="0.3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 x14ac:dyDescent="0.3">
      <c r="A689" s="105" t="s">
        <v>190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 x14ac:dyDescent="0.3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 x14ac:dyDescent="0.3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 x14ac:dyDescent="0.3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 x14ac:dyDescent="0.3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 x14ac:dyDescent="0.3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 x14ac:dyDescent="0.3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 x14ac:dyDescent="0.3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 x14ac:dyDescent="0.3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 x14ac:dyDescent="0.3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 x14ac:dyDescent="0.3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 x14ac:dyDescent="0.3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 x14ac:dyDescent="0.3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 x14ac:dyDescent="0.3">
      <c r="A702" s="105" t="s">
        <v>192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 x14ac:dyDescent="0.3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 x14ac:dyDescent="0.3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 x14ac:dyDescent="0.3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 x14ac:dyDescent="0.3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 x14ac:dyDescent="0.3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 x14ac:dyDescent="0.3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 x14ac:dyDescent="0.3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 x14ac:dyDescent="0.3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 x14ac:dyDescent="0.3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 x14ac:dyDescent="0.3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 x14ac:dyDescent="0.3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 x14ac:dyDescent="0.3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 x14ac:dyDescent="0.3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 x14ac:dyDescent="0.3">
      <c r="A716" s="105" t="s">
        <v>190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 x14ac:dyDescent="0.3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 x14ac:dyDescent="0.3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 x14ac:dyDescent="0.3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 x14ac:dyDescent="0.3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 x14ac:dyDescent="0.3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 x14ac:dyDescent="0.3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 x14ac:dyDescent="0.3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 x14ac:dyDescent="0.3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 x14ac:dyDescent="0.3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 x14ac:dyDescent="0.3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 x14ac:dyDescent="0.3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 x14ac:dyDescent="0.3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 x14ac:dyDescent="0.3">
      <c r="A729" s="105" t="s">
        <v>192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 x14ac:dyDescent="0.3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 x14ac:dyDescent="0.3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300</v>
      </c>
      <c r="N731" s="30"/>
    </row>
    <row r="732" spans="1:14" ht="15" customHeight="1" x14ac:dyDescent="0.3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319</v>
      </c>
      <c r="N732" s="30"/>
    </row>
    <row r="733" spans="1:14" ht="15" customHeight="1" x14ac:dyDescent="0.3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 x14ac:dyDescent="0.3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 x14ac:dyDescent="0.3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 x14ac:dyDescent="0.3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 x14ac:dyDescent="0.3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 x14ac:dyDescent="0.3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 x14ac:dyDescent="0.3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 x14ac:dyDescent="0.3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 x14ac:dyDescent="0.3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 x14ac:dyDescent="0.3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 x14ac:dyDescent="0.3">
      <c r="A743" s="105" t="s">
        <v>190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 x14ac:dyDescent="0.3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301</v>
      </c>
      <c r="N744" s="30"/>
    </row>
    <row r="745" spans="1:14" ht="15" customHeight="1" x14ac:dyDescent="0.3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 x14ac:dyDescent="0.3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 x14ac:dyDescent="0.3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 x14ac:dyDescent="0.3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 x14ac:dyDescent="0.3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 x14ac:dyDescent="0.3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 x14ac:dyDescent="0.3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 x14ac:dyDescent="0.3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 x14ac:dyDescent="0.3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 x14ac:dyDescent="0.3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 x14ac:dyDescent="0.3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 x14ac:dyDescent="0.3">
      <c r="A756" s="105" t="s">
        <v>192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 x14ac:dyDescent="0.3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 x14ac:dyDescent="0.3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320</v>
      </c>
      <c r="N758" s="30"/>
    </row>
    <row r="759" spans="1:14" ht="15" customHeight="1" x14ac:dyDescent="0.3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347</v>
      </c>
      <c r="N759" s="30"/>
    </row>
    <row r="760" spans="1:14" ht="15" customHeight="1" x14ac:dyDescent="0.3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 x14ac:dyDescent="0.3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 x14ac:dyDescent="0.3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 x14ac:dyDescent="0.3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 x14ac:dyDescent="0.3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 x14ac:dyDescent="0.3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 x14ac:dyDescent="0.3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 x14ac:dyDescent="0.3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 x14ac:dyDescent="0.3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 x14ac:dyDescent="0.3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 x14ac:dyDescent="0.3">
      <c r="A770" s="105" t="s">
        <v>190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191</v>
      </c>
      <c r="N770" s="20">
        <v>216400</v>
      </c>
    </row>
    <row r="771" spans="1:14" ht="15" customHeight="1" x14ac:dyDescent="0.3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 x14ac:dyDescent="0.3">
      <c r="A772" s="58">
        <v>46202</v>
      </c>
      <c r="B772" s="9">
        <f t="shared" ref="B772:B782" si="173">B771+TIME(0,60,0)</f>
        <v>0.87499999999999967</v>
      </c>
      <c r="C772" s="76" t="s">
        <v>45</v>
      </c>
      <c r="D772" s="7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 x14ac:dyDescent="0.3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 x14ac:dyDescent="0.3">
      <c r="A774" s="58">
        <v>46202</v>
      </c>
      <c r="B774" s="9">
        <f t="shared" si="173"/>
        <v>0.95833333333333293</v>
      </c>
      <c r="C774" s="76" t="s">
        <v>45</v>
      </c>
      <c r="D774" s="7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 x14ac:dyDescent="0.3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 x14ac:dyDescent="0.3">
      <c r="A776" s="58">
        <v>46202</v>
      </c>
      <c r="B776" s="9">
        <f t="shared" si="173"/>
        <v>1.0416666666666663</v>
      </c>
      <c r="C776" s="76" t="s">
        <v>45</v>
      </c>
      <c r="D776" s="7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 x14ac:dyDescent="0.3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 x14ac:dyDescent="0.3">
      <c r="A778" s="58">
        <v>46202</v>
      </c>
      <c r="B778" s="9">
        <f t="shared" si="173"/>
        <v>1.1249999999999998</v>
      </c>
      <c r="C778" s="76" t="s">
        <v>45</v>
      </c>
      <c r="D778" s="7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 x14ac:dyDescent="0.3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 x14ac:dyDescent="0.3">
      <c r="A780" s="58">
        <v>46202</v>
      </c>
      <c r="B780" s="9">
        <f t="shared" si="173"/>
        <v>1.2083333333333333</v>
      </c>
      <c r="C780" s="76" t="s">
        <v>45</v>
      </c>
      <c r="D780" s="7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 x14ac:dyDescent="0.3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 x14ac:dyDescent="0.3">
      <c r="A782" s="58">
        <v>46202</v>
      </c>
      <c r="B782" s="9">
        <f t="shared" si="173"/>
        <v>1.2916666666666667</v>
      </c>
      <c r="C782" s="76" t="s">
        <v>45</v>
      </c>
      <c r="D782" s="7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 x14ac:dyDescent="0.3">
      <c r="A783" s="105" t="s">
        <v>192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>
        <v>357910</v>
      </c>
    </row>
    <row r="784" spans="1:14" ht="18" customHeight="1" x14ac:dyDescent="0.3">
      <c r="A784" s="98" t="s">
        <v>193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194</v>
      </c>
      <c r="N784" s="31">
        <f>IFERROR(N770+N783,"")</f>
        <v>574310</v>
      </c>
    </row>
    <row r="785" spans="1:14" ht="15" customHeight="1" x14ac:dyDescent="0.3">
      <c r="A785" s="59">
        <v>46203</v>
      </c>
      <c r="B785" s="15">
        <v>0.33333333333333298</v>
      </c>
      <c r="C785" s="67"/>
      <c r="D785" s="67"/>
      <c r="E785" s="11"/>
      <c r="F785" s="93" t="str">
        <f t="shared" ref="F785:F796" si="174"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30"/>
    </row>
    <row r="786" spans="1:14" ht="15" customHeight="1" x14ac:dyDescent="0.3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 t="shared" si="174"/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30"/>
    </row>
    <row r="787" spans="1:14" ht="15" customHeight="1" x14ac:dyDescent="0.3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 t="shared" si="174"/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30"/>
    </row>
    <row r="788" spans="1:14" ht="15" customHeight="1" x14ac:dyDescent="0.3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 t="shared" si="174"/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30"/>
    </row>
    <row r="789" spans="1:14" ht="15" customHeight="1" x14ac:dyDescent="0.3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 t="shared" si="174"/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30"/>
    </row>
    <row r="790" spans="1:14" ht="15" customHeight="1" x14ac:dyDescent="0.3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 t="shared" si="174"/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30"/>
    </row>
    <row r="791" spans="1:14" ht="15" customHeight="1" x14ac:dyDescent="0.3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 t="shared" si="174"/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30"/>
    </row>
    <row r="792" spans="1:14" ht="15" customHeight="1" x14ac:dyDescent="0.3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 t="shared" si="174"/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30"/>
    </row>
    <row r="793" spans="1:14" ht="15" customHeight="1" x14ac:dyDescent="0.3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 t="shared" si="174"/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30"/>
    </row>
    <row r="794" spans="1:14" ht="15" customHeight="1" x14ac:dyDescent="0.3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 t="shared" si="174"/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30"/>
    </row>
    <row r="795" spans="1:14" ht="15" customHeight="1" x14ac:dyDescent="0.3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 t="shared" si="174"/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30"/>
    </row>
    <row r="796" spans="1:14" ht="15" customHeight="1" x14ac:dyDescent="0.3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 t="shared" si="174"/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30"/>
    </row>
    <row r="797" spans="1:14" ht="15.75" customHeight="1" x14ac:dyDescent="0.3">
      <c r="A797" s="105" t="s">
        <v>190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 x14ac:dyDescent="0.3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30"/>
    </row>
    <row r="799" spans="1:14" ht="15" customHeight="1" x14ac:dyDescent="0.3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30"/>
    </row>
    <row r="800" spans="1:14" ht="15" customHeight="1" x14ac:dyDescent="0.3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30"/>
    </row>
    <row r="801" spans="1:14" ht="15" customHeight="1" x14ac:dyDescent="0.3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 t="shared" ref="F801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30"/>
    </row>
    <row r="802" spans="1:14" ht="15" customHeight="1" x14ac:dyDescent="0.3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30"/>
    </row>
    <row r="803" spans="1:14" ht="15" customHeight="1" x14ac:dyDescent="0.3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30"/>
    </row>
    <row r="804" spans="1:14" ht="15" customHeight="1" x14ac:dyDescent="0.3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30"/>
    </row>
    <row r="805" spans="1:14" ht="15" customHeight="1" x14ac:dyDescent="0.3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30"/>
    </row>
    <row r="806" spans="1:14" ht="15" customHeight="1" x14ac:dyDescent="0.3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30"/>
    </row>
    <row r="807" spans="1:14" ht="15" customHeight="1" x14ac:dyDescent="0.3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30"/>
    </row>
    <row r="808" spans="1:14" ht="15" customHeight="1" x14ac:dyDescent="0.3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30"/>
    </row>
    <row r="809" spans="1:14" ht="15" customHeight="1" x14ac:dyDescent="0.3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30"/>
    </row>
    <row r="810" spans="1:14" ht="15.75" customHeight="1" x14ac:dyDescent="0.3">
      <c r="A810" s="105" t="s">
        <v>192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 x14ac:dyDescent="0.3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opLeftCell="G1" zoomScale="70" zoomScaleNormal="70" workbookViewId="0">
      <pane ySplit="1" topLeftCell="A756" activePane="bottomLeft" state="frozen"/>
      <selection activeCell="D1" sqref="D1"/>
      <selection pane="bottomLeft" activeCell="N783" sqref="N783"/>
    </sheetView>
  </sheetViews>
  <sheetFormatPr defaultColWidth="8.5546875" defaultRowHeight="14.4" x14ac:dyDescent="0.3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09375" style="37" customWidth="1"/>
    <col min="9" max="9" width="52.109375" style="37" customWidth="1"/>
    <col min="10" max="11" width="12" style="37" customWidth="1"/>
    <col min="12" max="12" width="14" style="75" customWidth="1"/>
    <col min="13" max="13" width="126.33203125" style="37" customWidth="1"/>
    <col min="14" max="14" width="14" style="37" customWidth="1"/>
  </cols>
  <sheetData>
    <row r="1" spans="1:14" ht="37.5" customHeight="1" x14ac:dyDescent="0.3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 x14ac:dyDescent="0.3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322</v>
      </c>
      <c r="I2" s="10" t="s">
        <v>323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 x14ac:dyDescent="0.3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322</v>
      </c>
      <c r="I3" s="16" t="s">
        <v>323</v>
      </c>
      <c r="J3" s="13"/>
      <c r="K3" s="13"/>
      <c r="L3" s="71" t="str">
        <f t="shared" si="1"/>
        <v/>
      </c>
      <c r="M3" s="11"/>
      <c r="N3" s="14"/>
    </row>
    <row r="4" spans="1:14" ht="15" customHeight="1" x14ac:dyDescent="0.3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322</v>
      </c>
      <c r="I4" s="10" t="s">
        <v>323</v>
      </c>
      <c r="J4" s="13"/>
      <c r="K4" s="13"/>
      <c r="L4" s="70" t="str">
        <f t="shared" si="1"/>
        <v/>
      </c>
      <c r="M4" s="11"/>
      <c r="N4" s="14"/>
    </row>
    <row r="5" spans="1:14" ht="15" customHeight="1" x14ac:dyDescent="0.3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322</v>
      </c>
      <c r="I5" s="16" t="s">
        <v>323</v>
      </c>
      <c r="J5" s="13"/>
      <c r="K5" s="13"/>
      <c r="L5" s="71" t="str">
        <f t="shared" si="1"/>
        <v/>
      </c>
      <c r="M5" s="11"/>
      <c r="N5" s="14"/>
    </row>
    <row r="6" spans="1:14" ht="15" customHeight="1" x14ac:dyDescent="0.3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322</v>
      </c>
      <c r="I6" s="10" t="s">
        <v>323</v>
      </c>
      <c r="J6" s="13"/>
      <c r="K6" s="13"/>
      <c r="L6" s="70" t="str">
        <f t="shared" si="1"/>
        <v/>
      </c>
      <c r="M6" s="11"/>
      <c r="N6" s="14"/>
    </row>
    <row r="7" spans="1:14" ht="15" customHeight="1" x14ac:dyDescent="0.3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322</v>
      </c>
      <c r="I7" s="16" t="s">
        <v>323</v>
      </c>
      <c r="J7" s="13"/>
      <c r="K7" s="13"/>
      <c r="L7" s="71" t="str">
        <f t="shared" si="1"/>
        <v/>
      </c>
      <c r="M7" s="11"/>
      <c r="N7" s="14"/>
    </row>
    <row r="8" spans="1:14" ht="15" customHeight="1" x14ac:dyDescent="0.3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322</v>
      </c>
      <c r="I8" s="10" t="s">
        <v>323</v>
      </c>
      <c r="J8" s="13"/>
      <c r="K8" s="13"/>
      <c r="L8" s="70" t="str">
        <f t="shared" si="1"/>
        <v/>
      </c>
      <c r="M8" s="11"/>
      <c r="N8" s="14"/>
    </row>
    <row r="9" spans="1:14" ht="15" customHeight="1" x14ac:dyDescent="0.3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322</v>
      </c>
      <c r="I9" s="16" t="s">
        <v>323</v>
      </c>
      <c r="J9" s="13"/>
      <c r="K9" s="13"/>
      <c r="L9" s="71" t="str">
        <f t="shared" si="1"/>
        <v/>
      </c>
      <c r="M9" s="11"/>
      <c r="N9" s="14"/>
    </row>
    <row r="10" spans="1:14" ht="15" customHeight="1" x14ac:dyDescent="0.3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322</v>
      </c>
      <c r="I10" s="10" t="s">
        <v>323</v>
      </c>
      <c r="J10" s="13"/>
      <c r="K10" s="13"/>
      <c r="L10" s="70" t="str">
        <f t="shared" si="1"/>
        <v/>
      </c>
      <c r="M10" s="11"/>
      <c r="N10" s="14"/>
    </row>
    <row r="11" spans="1:14" ht="15" customHeight="1" x14ac:dyDescent="0.3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322</v>
      </c>
      <c r="I11" s="16" t="s">
        <v>323</v>
      </c>
      <c r="J11" s="13"/>
      <c r="K11" s="13"/>
      <c r="L11" s="71" t="str">
        <f t="shared" si="1"/>
        <v/>
      </c>
      <c r="M11" s="11"/>
      <c r="N11" s="14"/>
    </row>
    <row r="12" spans="1:14" ht="15" customHeight="1" x14ac:dyDescent="0.3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322</v>
      </c>
      <c r="I12" s="10" t="s">
        <v>323</v>
      </c>
      <c r="J12" s="13"/>
      <c r="K12" s="13"/>
      <c r="L12" s="70" t="str">
        <f t="shared" si="1"/>
        <v/>
      </c>
      <c r="M12" s="11"/>
      <c r="N12" s="14"/>
    </row>
    <row r="13" spans="1:14" ht="15" customHeight="1" x14ac:dyDescent="0.3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322</v>
      </c>
      <c r="I13" s="16" t="s">
        <v>323</v>
      </c>
      <c r="J13" s="13"/>
      <c r="K13" s="13"/>
      <c r="L13" s="71" t="str">
        <f t="shared" si="1"/>
        <v/>
      </c>
      <c r="M13" s="11"/>
      <c r="N13" s="14"/>
    </row>
    <row r="14" spans="1:14" ht="15.75" customHeight="1" x14ac:dyDescent="0.3">
      <c r="A14" s="105" t="s">
        <v>190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 x14ac:dyDescent="0.3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 x14ac:dyDescent="0.3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 x14ac:dyDescent="0.3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 x14ac:dyDescent="0.3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 x14ac:dyDescent="0.3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 x14ac:dyDescent="0.3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 x14ac:dyDescent="0.3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 x14ac:dyDescent="0.3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 x14ac:dyDescent="0.3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 x14ac:dyDescent="0.3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 x14ac:dyDescent="0.3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 x14ac:dyDescent="0.3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 x14ac:dyDescent="0.3">
      <c r="A27" s="105" t="s">
        <v>192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 x14ac:dyDescent="0.3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 x14ac:dyDescent="0.3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 x14ac:dyDescent="0.3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325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 x14ac:dyDescent="0.3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 x14ac:dyDescent="0.3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 x14ac:dyDescent="0.3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326</v>
      </c>
      <c r="I33" s="16" t="s">
        <v>327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 x14ac:dyDescent="0.3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 x14ac:dyDescent="0.3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 x14ac:dyDescent="0.3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328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 x14ac:dyDescent="0.3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 x14ac:dyDescent="0.3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 x14ac:dyDescent="0.3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 x14ac:dyDescent="0.3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3">
      <c r="A41" s="105" t="s">
        <v>190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 x14ac:dyDescent="0.3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 x14ac:dyDescent="0.3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 x14ac:dyDescent="0.3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 x14ac:dyDescent="0.3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 x14ac:dyDescent="0.3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 x14ac:dyDescent="0.3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 x14ac:dyDescent="0.3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 x14ac:dyDescent="0.3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 x14ac:dyDescent="0.3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 x14ac:dyDescent="0.3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 x14ac:dyDescent="0.3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 x14ac:dyDescent="0.3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233</v>
      </c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3">
      <c r="A54" s="105" t="s">
        <v>192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 x14ac:dyDescent="0.3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 x14ac:dyDescent="0.3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 x14ac:dyDescent="0.3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 x14ac:dyDescent="0.3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 x14ac:dyDescent="0.3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 x14ac:dyDescent="0.3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 x14ac:dyDescent="0.3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 x14ac:dyDescent="0.3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 x14ac:dyDescent="0.3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 x14ac:dyDescent="0.3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 x14ac:dyDescent="0.3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 x14ac:dyDescent="0.3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 x14ac:dyDescent="0.3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 x14ac:dyDescent="0.3">
      <c r="A68" s="105" t="s">
        <v>190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 x14ac:dyDescent="0.3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 x14ac:dyDescent="0.3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 x14ac:dyDescent="0.3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328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 x14ac:dyDescent="0.3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 x14ac:dyDescent="0.3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 x14ac:dyDescent="0.3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 x14ac:dyDescent="0.3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 x14ac:dyDescent="0.3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 x14ac:dyDescent="0.3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 x14ac:dyDescent="0.3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 x14ac:dyDescent="0.3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 x14ac:dyDescent="0.3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 x14ac:dyDescent="0.3">
      <c r="A81" s="105" t="s">
        <v>192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 x14ac:dyDescent="0.3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 x14ac:dyDescent="0.3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 x14ac:dyDescent="0.3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 x14ac:dyDescent="0.3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 x14ac:dyDescent="0.3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 x14ac:dyDescent="0.3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 x14ac:dyDescent="0.3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 x14ac:dyDescent="0.3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 x14ac:dyDescent="0.3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 x14ac:dyDescent="0.3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 x14ac:dyDescent="0.3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 x14ac:dyDescent="0.3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 x14ac:dyDescent="0.3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 x14ac:dyDescent="0.3">
      <c r="A95" s="105" t="s">
        <v>190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 x14ac:dyDescent="0.3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 x14ac:dyDescent="0.3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 x14ac:dyDescent="0.3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 x14ac:dyDescent="0.3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 x14ac:dyDescent="0.3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 x14ac:dyDescent="0.3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 x14ac:dyDescent="0.3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 x14ac:dyDescent="0.3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 x14ac:dyDescent="0.3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 x14ac:dyDescent="0.3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 x14ac:dyDescent="0.3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 x14ac:dyDescent="0.3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 x14ac:dyDescent="0.3">
      <c r="A108" s="105" t="s">
        <v>192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 x14ac:dyDescent="0.3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 x14ac:dyDescent="0.3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 x14ac:dyDescent="0.3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 x14ac:dyDescent="0.3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 x14ac:dyDescent="0.3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 x14ac:dyDescent="0.3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 x14ac:dyDescent="0.3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 x14ac:dyDescent="0.3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 x14ac:dyDescent="0.3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 x14ac:dyDescent="0.3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 x14ac:dyDescent="0.3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 x14ac:dyDescent="0.3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 x14ac:dyDescent="0.3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 x14ac:dyDescent="0.3">
      <c r="A122" s="105" t="s">
        <v>190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 x14ac:dyDescent="0.3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 x14ac:dyDescent="0.3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 x14ac:dyDescent="0.3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 x14ac:dyDescent="0.3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 x14ac:dyDescent="0.3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 x14ac:dyDescent="0.3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 x14ac:dyDescent="0.3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 x14ac:dyDescent="0.3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 x14ac:dyDescent="0.3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 x14ac:dyDescent="0.3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 x14ac:dyDescent="0.3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 x14ac:dyDescent="0.3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 x14ac:dyDescent="0.3">
      <c r="A135" s="105" t="s">
        <v>192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 x14ac:dyDescent="0.3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 x14ac:dyDescent="0.3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 x14ac:dyDescent="0.3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 x14ac:dyDescent="0.3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 x14ac:dyDescent="0.3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 x14ac:dyDescent="0.3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 x14ac:dyDescent="0.3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 x14ac:dyDescent="0.3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 x14ac:dyDescent="0.3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 x14ac:dyDescent="0.3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 x14ac:dyDescent="0.3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 x14ac:dyDescent="0.3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 x14ac:dyDescent="0.3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 x14ac:dyDescent="0.3">
      <c r="A149" s="105" t="s">
        <v>190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 x14ac:dyDescent="0.3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 x14ac:dyDescent="0.3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 x14ac:dyDescent="0.3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 x14ac:dyDescent="0.3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 x14ac:dyDescent="0.3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 x14ac:dyDescent="0.3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 x14ac:dyDescent="0.3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 x14ac:dyDescent="0.3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 x14ac:dyDescent="0.3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 x14ac:dyDescent="0.3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 x14ac:dyDescent="0.3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 x14ac:dyDescent="0.3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 x14ac:dyDescent="0.3">
      <c r="A162" s="105" t="s">
        <v>192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 x14ac:dyDescent="0.3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 x14ac:dyDescent="0.3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 x14ac:dyDescent="0.3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 x14ac:dyDescent="0.3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 x14ac:dyDescent="0.3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 x14ac:dyDescent="0.3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 x14ac:dyDescent="0.3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 x14ac:dyDescent="0.3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 x14ac:dyDescent="0.3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 x14ac:dyDescent="0.3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 x14ac:dyDescent="0.3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 x14ac:dyDescent="0.3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 x14ac:dyDescent="0.3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 x14ac:dyDescent="0.3">
      <c r="A176" s="105" t="s">
        <v>190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 x14ac:dyDescent="0.3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 x14ac:dyDescent="0.3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 x14ac:dyDescent="0.3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 x14ac:dyDescent="0.3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 x14ac:dyDescent="0.3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 x14ac:dyDescent="0.3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 x14ac:dyDescent="0.3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 x14ac:dyDescent="0.3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 x14ac:dyDescent="0.3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 x14ac:dyDescent="0.3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 x14ac:dyDescent="0.3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 x14ac:dyDescent="0.3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 x14ac:dyDescent="0.3">
      <c r="A189" s="105" t="s">
        <v>192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 x14ac:dyDescent="0.3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 x14ac:dyDescent="0.3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 x14ac:dyDescent="0.3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 x14ac:dyDescent="0.3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 x14ac:dyDescent="0.3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 x14ac:dyDescent="0.3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 x14ac:dyDescent="0.3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 x14ac:dyDescent="0.3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 x14ac:dyDescent="0.3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 x14ac:dyDescent="0.3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 x14ac:dyDescent="0.3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 x14ac:dyDescent="0.3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 x14ac:dyDescent="0.3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 x14ac:dyDescent="0.3">
      <c r="A203" s="105" t="s">
        <v>190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 x14ac:dyDescent="0.3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 x14ac:dyDescent="0.3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 x14ac:dyDescent="0.3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236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 x14ac:dyDescent="0.3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 x14ac:dyDescent="0.3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 x14ac:dyDescent="0.3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 x14ac:dyDescent="0.3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 x14ac:dyDescent="0.3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 x14ac:dyDescent="0.3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 x14ac:dyDescent="0.3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 x14ac:dyDescent="0.3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 x14ac:dyDescent="0.3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 x14ac:dyDescent="0.3">
      <c r="A216" s="105" t="s">
        <v>192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 x14ac:dyDescent="0.3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 x14ac:dyDescent="0.3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 x14ac:dyDescent="0.3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 x14ac:dyDescent="0.3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251</v>
      </c>
      <c r="N220" s="41"/>
    </row>
    <row r="221" spans="1:14" ht="15" customHeight="1" x14ac:dyDescent="0.3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 x14ac:dyDescent="0.3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 x14ac:dyDescent="0.3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 x14ac:dyDescent="0.3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 x14ac:dyDescent="0.3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 x14ac:dyDescent="0.3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 x14ac:dyDescent="0.3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 x14ac:dyDescent="0.3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 x14ac:dyDescent="0.3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 x14ac:dyDescent="0.3">
      <c r="A230" s="105" t="s">
        <v>190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 x14ac:dyDescent="0.3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 x14ac:dyDescent="0.3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 x14ac:dyDescent="0.3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 x14ac:dyDescent="0.3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 x14ac:dyDescent="0.3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 x14ac:dyDescent="0.3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 x14ac:dyDescent="0.3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 x14ac:dyDescent="0.3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 x14ac:dyDescent="0.3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 x14ac:dyDescent="0.3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 x14ac:dyDescent="0.3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 x14ac:dyDescent="0.3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 x14ac:dyDescent="0.3">
      <c r="A243" s="105" t="s">
        <v>192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 x14ac:dyDescent="0.3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 x14ac:dyDescent="0.3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 x14ac:dyDescent="0.3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332</v>
      </c>
      <c r="N246" s="41"/>
    </row>
    <row r="247" spans="1:14" ht="15" customHeight="1" x14ac:dyDescent="0.3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 x14ac:dyDescent="0.3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 x14ac:dyDescent="0.3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 x14ac:dyDescent="0.3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 x14ac:dyDescent="0.3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 x14ac:dyDescent="0.3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 x14ac:dyDescent="0.3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 x14ac:dyDescent="0.3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 x14ac:dyDescent="0.3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 x14ac:dyDescent="0.3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 x14ac:dyDescent="0.3">
      <c r="A257" s="105" t="s">
        <v>190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 x14ac:dyDescent="0.3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 x14ac:dyDescent="0.3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 x14ac:dyDescent="0.3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 x14ac:dyDescent="0.3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 x14ac:dyDescent="0.3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 x14ac:dyDescent="0.3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 x14ac:dyDescent="0.3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 x14ac:dyDescent="0.3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 x14ac:dyDescent="0.3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 x14ac:dyDescent="0.3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 x14ac:dyDescent="0.3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 x14ac:dyDescent="0.3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 x14ac:dyDescent="0.3">
      <c r="A270" s="105" t="s">
        <v>192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 x14ac:dyDescent="0.3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 x14ac:dyDescent="0.3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 x14ac:dyDescent="0.3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 x14ac:dyDescent="0.3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333</v>
      </c>
      <c r="N274" s="41"/>
    </row>
    <row r="275" spans="1:14" ht="15" customHeight="1" x14ac:dyDescent="0.3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 x14ac:dyDescent="0.3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 x14ac:dyDescent="0.3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 x14ac:dyDescent="0.3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 x14ac:dyDescent="0.3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 x14ac:dyDescent="0.3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 x14ac:dyDescent="0.3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 x14ac:dyDescent="0.3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 x14ac:dyDescent="0.3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 x14ac:dyDescent="0.3">
      <c r="A284" s="105" t="s">
        <v>190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 x14ac:dyDescent="0.3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 x14ac:dyDescent="0.3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 x14ac:dyDescent="0.3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336</v>
      </c>
      <c r="N287" s="41"/>
    </row>
    <row r="288" spans="1:14" ht="15" customHeight="1" x14ac:dyDescent="0.3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 x14ac:dyDescent="0.3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 x14ac:dyDescent="0.3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 x14ac:dyDescent="0.3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 x14ac:dyDescent="0.3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 x14ac:dyDescent="0.3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 x14ac:dyDescent="0.3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 x14ac:dyDescent="0.3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 x14ac:dyDescent="0.3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 x14ac:dyDescent="0.3">
      <c r="A297" s="105" t="s">
        <v>192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 x14ac:dyDescent="0.3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 x14ac:dyDescent="0.3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337</v>
      </c>
      <c r="N299" s="41"/>
    </row>
    <row r="300" spans="1:14" ht="15" customHeight="1" x14ac:dyDescent="0.3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307</v>
      </c>
      <c r="N300" s="41"/>
    </row>
    <row r="301" spans="1:14" ht="15" customHeight="1" x14ac:dyDescent="0.3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 x14ac:dyDescent="0.3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 x14ac:dyDescent="0.3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 x14ac:dyDescent="0.3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 x14ac:dyDescent="0.3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 x14ac:dyDescent="0.3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 x14ac:dyDescent="0.3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 x14ac:dyDescent="0.3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 x14ac:dyDescent="0.3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 x14ac:dyDescent="0.3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 x14ac:dyDescent="0.3">
      <c r="A311" s="105" t="s">
        <v>190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 x14ac:dyDescent="0.3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 x14ac:dyDescent="0.3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338</v>
      </c>
      <c r="N313" s="41"/>
    </row>
    <row r="314" spans="1:14" ht="15" customHeight="1" x14ac:dyDescent="0.3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338</v>
      </c>
      <c r="N314" s="41"/>
    </row>
    <row r="315" spans="1:14" ht="15" customHeight="1" x14ac:dyDescent="0.3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 x14ac:dyDescent="0.3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 x14ac:dyDescent="0.3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338</v>
      </c>
      <c r="N317" s="41"/>
    </row>
    <row r="318" spans="1:14" ht="15" customHeight="1" x14ac:dyDescent="0.3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339</v>
      </c>
      <c r="N318" s="41"/>
    </row>
    <row r="319" spans="1:14" ht="15" customHeight="1" x14ac:dyDescent="0.3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 x14ac:dyDescent="0.3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 x14ac:dyDescent="0.3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 x14ac:dyDescent="0.3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 x14ac:dyDescent="0.3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 x14ac:dyDescent="0.3">
      <c r="A324" s="105" t="s">
        <v>192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 x14ac:dyDescent="0.3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 x14ac:dyDescent="0.3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 x14ac:dyDescent="0.3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 x14ac:dyDescent="0.3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 x14ac:dyDescent="0.3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 x14ac:dyDescent="0.3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 x14ac:dyDescent="0.3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 x14ac:dyDescent="0.3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 x14ac:dyDescent="0.3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 x14ac:dyDescent="0.3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 x14ac:dyDescent="0.3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 x14ac:dyDescent="0.3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 x14ac:dyDescent="0.3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 x14ac:dyDescent="0.3">
      <c r="A338" s="105" t="s">
        <v>190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 x14ac:dyDescent="0.3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340</v>
      </c>
      <c r="N339" s="41"/>
    </row>
    <row r="340" spans="1:14" ht="15" customHeight="1" x14ac:dyDescent="0.3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256</v>
      </c>
      <c r="N340" s="41"/>
    </row>
    <row r="341" spans="1:14" ht="15" customHeight="1" x14ac:dyDescent="0.3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 x14ac:dyDescent="0.3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 x14ac:dyDescent="0.3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 x14ac:dyDescent="0.3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 x14ac:dyDescent="0.3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 x14ac:dyDescent="0.3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 x14ac:dyDescent="0.3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 x14ac:dyDescent="0.3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 x14ac:dyDescent="0.3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 x14ac:dyDescent="0.3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 x14ac:dyDescent="0.3">
      <c r="A351" s="105" t="s">
        <v>192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 x14ac:dyDescent="0.3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 x14ac:dyDescent="0.3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341</v>
      </c>
      <c r="N353" s="41"/>
    </row>
    <row r="354" spans="1:14" ht="15" customHeight="1" x14ac:dyDescent="0.3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342</v>
      </c>
      <c r="N354" s="41"/>
    </row>
    <row r="355" spans="1:14" ht="15" customHeight="1" x14ac:dyDescent="0.3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309</v>
      </c>
      <c r="N355" s="41"/>
    </row>
    <row r="356" spans="1:14" ht="15" customHeight="1" x14ac:dyDescent="0.3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 x14ac:dyDescent="0.3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 x14ac:dyDescent="0.3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 x14ac:dyDescent="0.3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 x14ac:dyDescent="0.3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 x14ac:dyDescent="0.3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 x14ac:dyDescent="0.3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 x14ac:dyDescent="0.3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 x14ac:dyDescent="0.3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 x14ac:dyDescent="0.3">
      <c r="A365" s="105" t="s">
        <v>190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 x14ac:dyDescent="0.3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 x14ac:dyDescent="0.3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 x14ac:dyDescent="0.3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 x14ac:dyDescent="0.3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 x14ac:dyDescent="0.3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 x14ac:dyDescent="0.3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 x14ac:dyDescent="0.3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 x14ac:dyDescent="0.3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 x14ac:dyDescent="0.3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 x14ac:dyDescent="0.3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 x14ac:dyDescent="0.3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 x14ac:dyDescent="0.3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 x14ac:dyDescent="0.3">
      <c r="A378" s="105" t="s">
        <v>192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 x14ac:dyDescent="0.3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 x14ac:dyDescent="0.3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 x14ac:dyDescent="0.3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 x14ac:dyDescent="0.3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 x14ac:dyDescent="0.3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 x14ac:dyDescent="0.3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 x14ac:dyDescent="0.3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 x14ac:dyDescent="0.3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 x14ac:dyDescent="0.3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 x14ac:dyDescent="0.3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 x14ac:dyDescent="0.3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 x14ac:dyDescent="0.3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 x14ac:dyDescent="0.3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 x14ac:dyDescent="0.3">
      <c r="A392" s="105" t="s">
        <v>190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 x14ac:dyDescent="0.3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 x14ac:dyDescent="0.3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 x14ac:dyDescent="0.3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 x14ac:dyDescent="0.3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 x14ac:dyDescent="0.3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 x14ac:dyDescent="0.3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 x14ac:dyDescent="0.3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 x14ac:dyDescent="0.3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 x14ac:dyDescent="0.3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 x14ac:dyDescent="0.3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 x14ac:dyDescent="0.3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 x14ac:dyDescent="0.3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 x14ac:dyDescent="0.3">
      <c r="A405" s="105" t="s">
        <v>192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 x14ac:dyDescent="0.3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 x14ac:dyDescent="0.3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343</v>
      </c>
      <c r="N407" s="41"/>
    </row>
    <row r="408" spans="1:14" ht="15" customHeight="1" x14ac:dyDescent="0.3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 x14ac:dyDescent="0.3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344</v>
      </c>
      <c r="N409" s="41"/>
    </row>
    <row r="410" spans="1:14" ht="15" customHeight="1" x14ac:dyDescent="0.3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345</v>
      </c>
      <c r="N410" s="41"/>
    </row>
    <row r="411" spans="1:14" ht="15" customHeight="1" x14ac:dyDescent="0.3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 x14ac:dyDescent="0.3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 x14ac:dyDescent="0.3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 x14ac:dyDescent="0.3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 x14ac:dyDescent="0.3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 x14ac:dyDescent="0.3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 x14ac:dyDescent="0.3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 x14ac:dyDescent="0.3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 x14ac:dyDescent="0.3">
      <c r="A419" s="105" t="s">
        <v>190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 x14ac:dyDescent="0.3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 x14ac:dyDescent="0.3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 x14ac:dyDescent="0.3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 x14ac:dyDescent="0.3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 x14ac:dyDescent="0.3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 x14ac:dyDescent="0.3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 x14ac:dyDescent="0.3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 x14ac:dyDescent="0.3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 x14ac:dyDescent="0.3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 x14ac:dyDescent="0.3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 x14ac:dyDescent="0.3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 x14ac:dyDescent="0.3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 x14ac:dyDescent="0.3">
      <c r="A432" s="105" t="s">
        <v>192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 x14ac:dyDescent="0.3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 x14ac:dyDescent="0.3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 x14ac:dyDescent="0.3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 x14ac:dyDescent="0.3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 x14ac:dyDescent="0.3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 x14ac:dyDescent="0.3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 x14ac:dyDescent="0.3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 x14ac:dyDescent="0.3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 x14ac:dyDescent="0.3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 x14ac:dyDescent="0.3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 x14ac:dyDescent="0.3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 x14ac:dyDescent="0.3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 x14ac:dyDescent="0.3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 x14ac:dyDescent="0.3">
      <c r="A446" s="105" t="s">
        <v>190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 x14ac:dyDescent="0.3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 x14ac:dyDescent="0.3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 x14ac:dyDescent="0.3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 x14ac:dyDescent="0.3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 x14ac:dyDescent="0.3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 x14ac:dyDescent="0.3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 x14ac:dyDescent="0.3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 x14ac:dyDescent="0.3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 x14ac:dyDescent="0.3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 x14ac:dyDescent="0.3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 x14ac:dyDescent="0.3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 x14ac:dyDescent="0.3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 x14ac:dyDescent="0.3">
      <c r="A459" s="105" t="s">
        <v>192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 x14ac:dyDescent="0.3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 x14ac:dyDescent="0.3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 x14ac:dyDescent="0.3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 x14ac:dyDescent="0.3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 x14ac:dyDescent="0.3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 x14ac:dyDescent="0.3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 x14ac:dyDescent="0.3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 x14ac:dyDescent="0.3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 x14ac:dyDescent="0.3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273</v>
      </c>
      <c r="N468" s="41"/>
    </row>
    <row r="469" spans="1:14" ht="15" customHeight="1" x14ac:dyDescent="0.3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 x14ac:dyDescent="0.3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 x14ac:dyDescent="0.3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 x14ac:dyDescent="0.3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273</v>
      </c>
      <c r="N472" s="41"/>
    </row>
    <row r="473" spans="1:14" ht="15.75" customHeight="1" x14ac:dyDescent="0.3">
      <c r="A473" s="105" t="s">
        <v>190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 x14ac:dyDescent="0.3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346</v>
      </c>
      <c r="N474" s="41"/>
    </row>
    <row r="475" spans="1:14" ht="15" customHeight="1" x14ac:dyDescent="0.3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 x14ac:dyDescent="0.3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347</v>
      </c>
      <c r="N476" s="41"/>
    </row>
    <row r="477" spans="1:14" ht="15" customHeight="1" x14ac:dyDescent="0.3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348</v>
      </c>
      <c r="N477" s="41"/>
    </row>
    <row r="478" spans="1:14" ht="15" customHeight="1" x14ac:dyDescent="0.3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 x14ac:dyDescent="0.3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 x14ac:dyDescent="0.3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 x14ac:dyDescent="0.3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 x14ac:dyDescent="0.3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 x14ac:dyDescent="0.3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 x14ac:dyDescent="0.3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 x14ac:dyDescent="0.3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 x14ac:dyDescent="0.3">
      <c r="A486" s="105" t="s">
        <v>192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 x14ac:dyDescent="0.3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 x14ac:dyDescent="0.3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 x14ac:dyDescent="0.3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 x14ac:dyDescent="0.3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 x14ac:dyDescent="0.3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 x14ac:dyDescent="0.3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 x14ac:dyDescent="0.3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 x14ac:dyDescent="0.3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 x14ac:dyDescent="0.3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 x14ac:dyDescent="0.3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 x14ac:dyDescent="0.3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 x14ac:dyDescent="0.3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 x14ac:dyDescent="0.3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 x14ac:dyDescent="0.3">
      <c r="A500" s="105" t="s">
        <v>190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 x14ac:dyDescent="0.3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349</v>
      </c>
      <c r="N501" s="41"/>
    </row>
    <row r="502" spans="1:14" ht="15" customHeight="1" x14ac:dyDescent="0.3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 x14ac:dyDescent="0.3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 x14ac:dyDescent="0.3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 x14ac:dyDescent="0.3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 x14ac:dyDescent="0.3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 x14ac:dyDescent="0.3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350</v>
      </c>
      <c r="N507" s="41"/>
    </row>
    <row r="508" spans="1:14" ht="15" customHeight="1" x14ac:dyDescent="0.3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 x14ac:dyDescent="0.3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 x14ac:dyDescent="0.3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 x14ac:dyDescent="0.3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 x14ac:dyDescent="0.3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 x14ac:dyDescent="0.3">
      <c r="A513" s="105" t="s">
        <v>192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 x14ac:dyDescent="0.3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 x14ac:dyDescent="0.3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 x14ac:dyDescent="0.3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 x14ac:dyDescent="0.3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 x14ac:dyDescent="0.3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 x14ac:dyDescent="0.3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 x14ac:dyDescent="0.3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 x14ac:dyDescent="0.3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 x14ac:dyDescent="0.3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 x14ac:dyDescent="0.3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 x14ac:dyDescent="0.3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 x14ac:dyDescent="0.3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 x14ac:dyDescent="0.3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 x14ac:dyDescent="0.3">
      <c r="A527" s="105" t="s">
        <v>190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 x14ac:dyDescent="0.3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 x14ac:dyDescent="0.3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 x14ac:dyDescent="0.3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351</v>
      </c>
      <c r="N530" s="41"/>
    </row>
    <row r="531" spans="1:14" ht="15" customHeight="1" x14ac:dyDescent="0.3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352</v>
      </c>
      <c r="N531" s="41"/>
    </row>
    <row r="532" spans="1:14" ht="15" customHeight="1" x14ac:dyDescent="0.3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 x14ac:dyDescent="0.3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 x14ac:dyDescent="0.3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 x14ac:dyDescent="0.3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251</v>
      </c>
      <c r="N535" s="41"/>
    </row>
    <row r="536" spans="1:14" ht="15" customHeight="1" x14ac:dyDescent="0.3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 x14ac:dyDescent="0.3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 x14ac:dyDescent="0.3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 x14ac:dyDescent="0.3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 x14ac:dyDescent="0.3">
      <c r="A540" s="105" t="s">
        <v>192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 x14ac:dyDescent="0.3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 x14ac:dyDescent="0.3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353</v>
      </c>
      <c r="N542" s="41"/>
    </row>
    <row r="543" spans="1:14" ht="15" customHeight="1" x14ac:dyDescent="0.3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 x14ac:dyDescent="0.3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 x14ac:dyDescent="0.3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354</v>
      </c>
      <c r="N545" s="41"/>
    </row>
    <row r="546" spans="1:14" ht="15" customHeight="1" x14ac:dyDescent="0.3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 x14ac:dyDescent="0.3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 x14ac:dyDescent="0.3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 x14ac:dyDescent="0.3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 x14ac:dyDescent="0.3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 x14ac:dyDescent="0.3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 x14ac:dyDescent="0.3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 x14ac:dyDescent="0.3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 x14ac:dyDescent="0.3">
      <c r="A554" s="105" t="s">
        <v>190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 x14ac:dyDescent="0.3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 x14ac:dyDescent="0.3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 x14ac:dyDescent="0.3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355</v>
      </c>
      <c r="N557" s="41"/>
    </row>
    <row r="558" spans="1:14" ht="15" customHeight="1" x14ac:dyDescent="0.3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 x14ac:dyDescent="0.3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 x14ac:dyDescent="0.3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 x14ac:dyDescent="0.3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 x14ac:dyDescent="0.3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 x14ac:dyDescent="0.3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 x14ac:dyDescent="0.3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 x14ac:dyDescent="0.3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 x14ac:dyDescent="0.3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 x14ac:dyDescent="0.3">
      <c r="A567" s="105" t="s">
        <v>192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 x14ac:dyDescent="0.3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 x14ac:dyDescent="0.3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 x14ac:dyDescent="0.3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 x14ac:dyDescent="0.3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356</v>
      </c>
      <c r="N571" s="41"/>
    </row>
    <row r="572" spans="1:14" ht="15" customHeight="1" x14ac:dyDescent="0.3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357</v>
      </c>
      <c r="N572" s="41"/>
    </row>
    <row r="573" spans="1:14" ht="15" customHeight="1" x14ac:dyDescent="0.3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 x14ac:dyDescent="0.3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 x14ac:dyDescent="0.3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 x14ac:dyDescent="0.3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 x14ac:dyDescent="0.3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 x14ac:dyDescent="0.3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 x14ac:dyDescent="0.3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 x14ac:dyDescent="0.3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 x14ac:dyDescent="0.3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 x14ac:dyDescent="0.3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358</v>
      </c>
      <c r="N582" s="41"/>
    </row>
    <row r="583" spans="1:14" ht="15" customHeight="1" x14ac:dyDescent="0.3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 x14ac:dyDescent="0.3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 x14ac:dyDescent="0.3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277</v>
      </c>
      <c r="N585" s="41"/>
    </row>
    <row r="586" spans="1:14" ht="15" customHeight="1" x14ac:dyDescent="0.3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251</v>
      </c>
      <c r="N586" s="41"/>
    </row>
    <row r="587" spans="1:14" ht="15" customHeight="1" x14ac:dyDescent="0.3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 x14ac:dyDescent="0.3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 x14ac:dyDescent="0.3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 x14ac:dyDescent="0.3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 x14ac:dyDescent="0.3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 x14ac:dyDescent="0.3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 x14ac:dyDescent="0.3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 x14ac:dyDescent="0.3">
      <c r="A594" s="105" t="s">
        <v>192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 x14ac:dyDescent="0.3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 x14ac:dyDescent="0.3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 x14ac:dyDescent="0.3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 x14ac:dyDescent="0.3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 x14ac:dyDescent="0.3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 x14ac:dyDescent="0.3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359</v>
      </c>
      <c r="N600" s="41"/>
    </row>
    <row r="601" spans="1:14" ht="15" customHeight="1" x14ac:dyDescent="0.3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 x14ac:dyDescent="0.3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 x14ac:dyDescent="0.3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 x14ac:dyDescent="0.3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 x14ac:dyDescent="0.3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 x14ac:dyDescent="0.3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 x14ac:dyDescent="0.3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 x14ac:dyDescent="0.3">
      <c r="A608" s="105" t="s">
        <v>190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 x14ac:dyDescent="0.3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 x14ac:dyDescent="0.3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 x14ac:dyDescent="0.3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 x14ac:dyDescent="0.3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 x14ac:dyDescent="0.3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 x14ac:dyDescent="0.3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 x14ac:dyDescent="0.3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 x14ac:dyDescent="0.3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 x14ac:dyDescent="0.3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360</v>
      </c>
      <c r="N617" s="41"/>
    </row>
    <row r="618" spans="1:14" ht="15" customHeight="1" x14ac:dyDescent="0.3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 x14ac:dyDescent="0.3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 x14ac:dyDescent="0.3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 x14ac:dyDescent="0.3">
      <c r="A621" s="105" t="s">
        <v>192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 x14ac:dyDescent="0.3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 x14ac:dyDescent="0.3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347</v>
      </c>
      <c r="N623" s="41"/>
    </row>
    <row r="624" spans="1:14" ht="15" customHeight="1" x14ac:dyDescent="0.3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 x14ac:dyDescent="0.3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 x14ac:dyDescent="0.3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 x14ac:dyDescent="0.3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 x14ac:dyDescent="0.3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 x14ac:dyDescent="0.3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 x14ac:dyDescent="0.3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 x14ac:dyDescent="0.3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 x14ac:dyDescent="0.3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 x14ac:dyDescent="0.3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 x14ac:dyDescent="0.3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 x14ac:dyDescent="0.3">
      <c r="A635" s="105" t="s">
        <v>190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 x14ac:dyDescent="0.3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361</v>
      </c>
      <c r="N636" s="41"/>
    </row>
    <row r="637" spans="1:14" ht="15" customHeight="1" x14ac:dyDescent="0.3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362</v>
      </c>
      <c r="N637" s="41"/>
    </row>
    <row r="638" spans="1:14" ht="15" customHeight="1" x14ac:dyDescent="0.3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 x14ac:dyDescent="0.3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 x14ac:dyDescent="0.3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 x14ac:dyDescent="0.3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 x14ac:dyDescent="0.3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 x14ac:dyDescent="0.3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 x14ac:dyDescent="0.3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 x14ac:dyDescent="0.3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 x14ac:dyDescent="0.3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 x14ac:dyDescent="0.3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 x14ac:dyDescent="0.3">
      <c r="A648" s="105" t="s">
        <v>192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 x14ac:dyDescent="0.3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 x14ac:dyDescent="0.3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 x14ac:dyDescent="0.3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 x14ac:dyDescent="0.3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 x14ac:dyDescent="0.3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 x14ac:dyDescent="0.3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 x14ac:dyDescent="0.3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 x14ac:dyDescent="0.3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 x14ac:dyDescent="0.3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 x14ac:dyDescent="0.3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 x14ac:dyDescent="0.3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 x14ac:dyDescent="0.3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 x14ac:dyDescent="0.3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 x14ac:dyDescent="0.3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 x14ac:dyDescent="0.3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363</v>
      </c>
      <c r="N663" s="41"/>
    </row>
    <row r="664" spans="1:14" ht="15" customHeight="1" x14ac:dyDescent="0.3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 x14ac:dyDescent="0.3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 x14ac:dyDescent="0.3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 x14ac:dyDescent="0.3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 x14ac:dyDescent="0.3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 x14ac:dyDescent="0.3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 x14ac:dyDescent="0.3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 x14ac:dyDescent="0.3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 x14ac:dyDescent="0.3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 x14ac:dyDescent="0.3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 x14ac:dyDescent="0.3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 x14ac:dyDescent="0.3">
      <c r="A675" s="105" t="s">
        <v>192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 x14ac:dyDescent="0.3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 x14ac:dyDescent="0.3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 x14ac:dyDescent="0.3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 x14ac:dyDescent="0.3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 x14ac:dyDescent="0.3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 x14ac:dyDescent="0.3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 x14ac:dyDescent="0.3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 x14ac:dyDescent="0.3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 x14ac:dyDescent="0.3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 x14ac:dyDescent="0.3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 x14ac:dyDescent="0.3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 x14ac:dyDescent="0.3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 x14ac:dyDescent="0.3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 x14ac:dyDescent="0.3">
      <c r="A689" s="105" t="s">
        <v>190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 x14ac:dyDescent="0.3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 x14ac:dyDescent="0.3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364</v>
      </c>
      <c r="N691" s="41"/>
    </row>
    <row r="692" spans="1:14" ht="15" customHeight="1" x14ac:dyDescent="0.3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 x14ac:dyDescent="0.3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365</v>
      </c>
      <c r="N693" s="41"/>
    </row>
    <row r="694" spans="1:14" ht="15" customHeight="1" x14ac:dyDescent="0.3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 x14ac:dyDescent="0.3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 x14ac:dyDescent="0.3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 x14ac:dyDescent="0.3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 x14ac:dyDescent="0.3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 x14ac:dyDescent="0.3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 x14ac:dyDescent="0.3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 x14ac:dyDescent="0.3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 x14ac:dyDescent="0.3">
      <c r="A702" s="105" t="s">
        <v>192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 x14ac:dyDescent="0.3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 x14ac:dyDescent="0.3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366</v>
      </c>
      <c r="N704" s="41"/>
    </row>
    <row r="705" spans="1:14" ht="15" customHeight="1" x14ac:dyDescent="0.3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 x14ac:dyDescent="0.3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 x14ac:dyDescent="0.3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368</v>
      </c>
      <c r="N707" s="41"/>
    </row>
    <row r="708" spans="1:14" ht="15" customHeight="1" x14ac:dyDescent="0.3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 x14ac:dyDescent="0.3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 x14ac:dyDescent="0.3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 x14ac:dyDescent="0.3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 x14ac:dyDescent="0.3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 x14ac:dyDescent="0.3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 x14ac:dyDescent="0.3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 x14ac:dyDescent="0.3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 x14ac:dyDescent="0.3">
      <c r="A716" s="105" t="s">
        <v>190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 x14ac:dyDescent="0.3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369</v>
      </c>
      <c r="N717" s="41"/>
    </row>
    <row r="718" spans="1:14" ht="15" customHeight="1" x14ac:dyDescent="0.3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370</v>
      </c>
      <c r="N718" s="41"/>
    </row>
    <row r="719" spans="1:14" ht="15" customHeight="1" x14ac:dyDescent="0.3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 x14ac:dyDescent="0.3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 x14ac:dyDescent="0.3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 x14ac:dyDescent="0.3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 x14ac:dyDescent="0.3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 x14ac:dyDescent="0.3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 x14ac:dyDescent="0.3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 x14ac:dyDescent="0.3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 x14ac:dyDescent="0.3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 x14ac:dyDescent="0.3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 x14ac:dyDescent="0.3">
      <c r="A729" s="105" t="s">
        <v>192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 x14ac:dyDescent="0.3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 x14ac:dyDescent="0.3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371</v>
      </c>
      <c r="N731" s="41"/>
    </row>
    <row r="732" spans="1:14" ht="15" customHeight="1" x14ac:dyDescent="0.3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300</v>
      </c>
      <c r="N732" s="41"/>
    </row>
    <row r="733" spans="1:14" ht="15" customHeight="1" x14ac:dyDescent="0.3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319</v>
      </c>
      <c r="N733" s="41"/>
    </row>
    <row r="734" spans="1:14" ht="15" customHeight="1" x14ac:dyDescent="0.3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 x14ac:dyDescent="0.3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 x14ac:dyDescent="0.3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 x14ac:dyDescent="0.3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 x14ac:dyDescent="0.3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 x14ac:dyDescent="0.3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 x14ac:dyDescent="0.3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 x14ac:dyDescent="0.3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 x14ac:dyDescent="0.3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 x14ac:dyDescent="0.3">
      <c r="A743" s="105" t="s">
        <v>190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 x14ac:dyDescent="0.3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301</v>
      </c>
      <c r="N744" s="41"/>
    </row>
    <row r="745" spans="1:14" ht="15" customHeight="1" x14ac:dyDescent="0.3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 x14ac:dyDescent="0.3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 x14ac:dyDescent="0.3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 x14ac:dyDescent="0.3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 x14ac:dyDescent="0.3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 x14ac:dyDescent="0.3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 x14ac:dyDescent="0.3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 x14ac:dyDescent="0.3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 x14ac:dyDescent="0.3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 x14ac:dyDescent="0.3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 x14ac:dyDescent="0.3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 x14ac:dyDescent="0.3">
      <c r="A756" s="105" t="s">
        <v>192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 x14ac:dyDescent="0.3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 x14ac:dyDescent="0.3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 x14ac:dyDescent="0.3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372</v>
      </c>
      <c r="N759" s="41"/>
    </row>
    <row r="760" spans="1:14" ht="15" customHeight="1" x14ac:dyDescent="0.3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320</v>
      </c>
      <c r="N760" s="41"/>
    </row>
    <row r="761" spans="1:14" ht="15" customHeight="1" x14ac:dyDescent="0.3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 x14ac:dyDescent="0.3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 x14ac:dyDescent="0.3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 x14ac:dyDescent="0.3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 x14ac:dyDescent="0.3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 x14ac:dyDescent="0.3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 x14ac:dyDescent="0.3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 x14ac:dyDescent="0.3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 x14ac:dyDescent="0.3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 x14ac:dyDescent="0.3">
      <c r="A770" s="106" t="s">
        <v>190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191</v>
      </c>
      <c r="N770" s="20">
        <v>769540</v>
      </c>
    </row>
    <row r="771" spans="1:14" ht="15" customHeight="1" x14ac:dyDescent="0.3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 x14ac:dyDescent="0.3">
      <c r="A772" s="58">
        <v>46202</v>
      </c>
      <c r="B772" s="9">
        <f t="shared" ref="B772:B782" si="174">B771+TIME(0,60,0)</f>
        <v>0.87499999999999967</v>
      </c>
      <c r="C772" s="76" t="s">
        <v>45</v>
      </c>
      <c r="D772" s="87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 x14ac:dyDescent="0.3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 x14ac:dyDescent="0.3">
      <c r="A774" s="58">
        <v>46202</v>
      </c>
      <c r="B774" s="9">
        <f t="shared" si="174"/>
        <v>0.95833333333333293</v>
      </c>
      <c r="C774" s="76" t="s">
        <v>45</v>
      </c>
      <c r="D774" s="87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 x14ac:dyDescent="0.3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>IF(E775="","",E775*4)</f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 x14ac:dyDescent="0.3">
      <c r="A776" s="58">
        <v>46202</v>
      </c>
      <c r="B776" s="9">
        <f t="shared" si="174"/>
        <v>1.0416666666666663</v>
      </c>
      <c r="C776" s="76" t="s">
        <v>45</v>
      </c>
      <c r="D776" s="87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 x14ac:dyDescent="0.3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 x14ac:dyDescent="0.3">
      <c r="A778" s="58">
        <v>46202</v>
      </c>
      <c r="B778" s="9">
        <f t="shared" si="174"/>
        <v>1.1249999999999998</v>
      </c>
      <c r="C778" s="76" t="s">
        <v>45</v>
      </c>
      <c r="D778" s="87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 x14ac:dyDescent="0.3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 x14ac:dyDescent="0.3">
      <c r="A780" s="58">
        <v>46202</v>
      </c>
      <c r="B780" s="9">
        <f t="shared" si="174"/>
        <v>1.2083333333333333</v>
      </c>
      <c r="C780" s="76" t="s">
        <v>45</v>
      </c>
      <c r="D780" s="87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 x14ac:dyDescent="0.3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 x14ac:dyDescent="0.3">
      <c r="A782" s="58">
        <v>46202</v>
      </c>
      <c r="B782" s="9">
        <f t="shared" si="174"/>
        <v>1.2916666666666667</v>
      </c>
      <c r="C782" s="76" t="s">
        <v>45</v>
      </c>
      <c r="D782" s="87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 x14ac:dyDescent="0.3">
      <c r="A783" s="105" t="s">
        <v>192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191</v>
      </c>
      <c r="N783" s="20">
        <v>1318280</v>
      </c>
    </row>
    <row r="784" spans="1:14" ht="18" customHeight="1" x14ac:dyDescent="0.3">
      <c r="A784" s="98" t="s">
        <v>193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194</v>
      </c>
      <c r="N784" s="31">
        <f>IFERROR(N770+N783,"")</f>
        <v>2087820</v>
      </c>
    </row>
    <row r="785" spans="1:14" ht="15" customHeight="1" x14ac:dyDescent="0.3">
      <c r="A785" s="90">
        <v>46203</v>
      </c>
      <c r="B785" s="91">
        <v>0.33333333333333298</v>
      </c>
      <c r="C785" s="67"/>
      <c r="D785" s="92"/>
      <c r="E785" s="11"/>
      <c r="F785" s="93" t="str">
        <f t="shared" ref="F785:F796" si="175">IF(E785="","",E785*4)</f>
        <v/>
      </c>
      <c r="G785" s="67"/>
      <c r="H785" s="67"/>
      <c r="I785" s="67"/>
      <c r="J785" s="13"/>
      <c r="K785" s="13"/>
      <c r="L785" s="86" t="str">
        <f t="shared" ref="L785:L796" si="176">IFERROR(IF(K785="","",IF(K785&gt;=J785,K785-J785,K785+1-J785)),"")</f>
        <v/>
      </c>
      <c r="M785" s="11"/>
      <c r="N785" s="41"/>
    </row>
    <row r="786" spans="1:14" ht="15" customHeight="1" x14ac:dyDescent="0.3">
      <c r="A786" s="94">
        <v>46203</v>
      </c>
      <c r="B786" s="95">
        <f t="shared" ref="B786:B796" si="177">B785+TIME(0,60,0)</f>
        <v>0.37499999999999967</v>
      </c>
      <c r="C786" s="76"/>
      <c r="D786" s="87"/>
      <c r="E786" s="11"/>
      <c r="F786" s="80" t="str">
        <f t="shared" si="175"/>
        <v/>
      </c>
      <c r="G786" s="76"/>
      <c r="H786" s="76"/>
      <c r="I786" s="76"/>
      <c r="J786" s="13"/>
      <c r="K786" s="13"/>
      <c r="L786" s="77" t="str">
        <f t="shared" si="176"/>
        <v/>
      </c>
      <c r="M786" s="11"/>
      <c r="N786" s="41"/>
    </row>
    <row r="787" spans="1:14" ht="15" customHeight="1" x14ac:dyDescent="0.3">
      <c r="A787" s="90">
        <v>46203</v>
      </c>
      <c r="B787" s="91">
        <f t="shared" si="177"/>
        <v>0.41666666666666635</v>
      </c>
      <c r="C787" s="67"/>
      <c r="D787" s="92"/>
      <c r="E787" s="11"/>
      <c r="F787" s="93" t="str">
        <f t="shared" si="175"/>
        <v/>
      </c>
      <c r="G787" s="67"/>
      <c r="H787" s="67"/>
      <c r="I787" s="67"/>
      <c r="J787" s="13"/>
      <c r="K787" s="13"/>
      <c r="L787" s="86" t="str">
        <f t="shared" si="176"/>
        <v/>
      </c>
      <c r="M787" s="11"/>
      <c r="N787" s="41"/>
    </row>
    <row r="788" spans="1:14" ht="15" customHeight="1" x14ac:dyDescent="0.3">
      <c r="A788" s="94">
        <v>46203</v>
      </c>
      <c r="B788" s="95">
        <f t="shared" si="177"/>
        <v>0.45833333333333304</v>
      </c>
      <c r="C788" s="76"/>
      <c r="D788" s="87"/>
      <c r="E788" s="11"/>
      <c r="F788" s="80" t="str">
        <f t="shared" si="175"/>
        <v/>
      </c>
      <c r="G788" s="76"/>
      <c r="H788" s="76"/>
      <c r="I788" s="76"/>
      <c r="J788" s="13"/>
      <c r="K788" s="13"/>
      <c r="L788" s="77" t="str">
        <f t="shared" si="176"/>
        <v/>
      </c>
      <c r="M788" s="11"/>
      <c r="N788" s="41"/>
    </row>
    <row r="789" spans="1:14" ht="15" customHeight="1" x14ac:dyDescent="0.3">
      <c r="A789" s="90">
        <v>46203</v>
      </c>
      <c r="B789" s="91">
        <f t="shared" si="177"/>
        <v>0.49999999999999972</v>
      </c>
      <c r="C789" s="67"/>
      <c r="D789" s="92"/>
      <c r="E789" s="11"/>
      <c r="F789" s="93" t="str">
        <f t="shared" si="175"/>
        <v/>
      </c>
      <c r="G789" s="67"/>
      <c r="H789" s="67"/>
      <c r="I789" s="67"/>
      <c r="J789" s="13"/>
      <c r="K789" s="13"/>
      <c r="L789" s="86" t="str">
        <f t="shared" si="176"/>
        <v/>
      </c>
      <c r="M789" s="11"/>
      <c r="N789" s="41"/>
    </row>
    <row r="790" spans="1:14" ht="15" customHeight="1" x14ac:dyDescent="0.3">
      <c r="A790" s="94">
        <v>46203</v>
      </c>
      <c r="B790" s="95">
        <f t="shared" si="177"/>
        <v>0.54166666666666641</v>
      </c>
      <c r="C790" s="76"/>
      <c r="D790" s="87"/>
      <c r="E790" s="11"/>
      <c r="F790" s="80" t="str">
        <f t="shared" si="175"/>
        <v/>
      </c>
      <c r="G790" s="76"/>
      <c r="H790" s="76"/>
      <c r="I790" s="76"/>
      <c r="J790" s="13"/>
      <c r="K790" s="13"/>
      <c r="L790" s="77" t="str">
        <f t="shared" si="176"/>
        <v/>
      </c>
      <c r="M790" s="11"/>
      <c r="N790" s="41"/>
    </row>
    <row r="791" spans="1:14" ht="15" customHeight="1" x14ac:dyDescent="0.3">
      <c r="A791" s="90">
        <v>46203</v>
      </c>
      <c r="B791" s="91">
        <f t="shared" si="177"/>
        <v>0.58333333333333304</v>
      </c>
      <c r="C791" s="67"/>
      <c r="D791" s="92"/>
      <c r="E791" s="11"/>
      <c r="F791" s="93" t="str">
        <f t="shared" si="175"/>
        <v/>
      </c>
      <c r="G791" s="67"/>
      <c r="H791" s="67"/>
      <c r="I791" s="67"/>
      <c r="J791" s="13"/>
      <c r="K791" s="13"/>
      <c r="L791" s="86" t="str">
        <f t="shared" si="176"/>
        <v/>
      </c>
      <c r="M791" s="11"/>
      <c r="N791" s="41"/>
    </row>
    <row r="792" spans="1:14" ht="15" customHeight="1" x14ac:dyDescent="0.3">
      <c r="A792" s="94">
        <v>46203</v>
      </c>
      <c r="B792" s="95">
        <f t="shared" si="177"/>
        <v>0.62499999999999967</v>
      </c>
      <c r="C792" s="76"/>
      <c r="D792" s="87"/>
      <c r="E792" s="11"/>
      <c r="F792" s="80" t="str">
        <f t="shared" si="175"/>
        <v/>
      </c>
      <c r="G792" s="76"/>
      <c r="H792" s="76"/>
      <c r="I792" s="76"/>
      <c r="J792" s="13"/>
      <c r="K792" s="13"/>
      <c r="L792" s="77" t="str">
        <f t="shared" si="176"/>
        <v/>
      </c>
      <c r="M792" s="11"/>
      <c r="N792" s="41"/>
    </row>
    <row r="793" spans="1:14" ht="15" customHeight="1" x14ac:dyDescent="0.3">
      <c r="A793" s="90">
        <v>46203</v>
      </c>
      <c r="B793" s="91">
        <f t="shared" si="177"/>
        <v>0.6666666666666663</v>
      </c>
      <c r="C793" s="67"/>
      <c r="D793" s="92"/>
      <c r="E793" s="11"/>
      <c r="F793" s="93" t="str">
        <f t="shared" si="175"/>
        <v/>
      </c>
      <c r="G793" s="67"/>
      <c r="H793" s="67"/>
      <c r="I793" s="67"/>
      <c r="J793" s="13"/>
      <c r="K793" s="13"/>
      <c r="L793" s="86" t="str">
        <f t="shared" si="176"/>
        <v/>
      </c>
      <c r="M793" s="11"/>
      <c r="N793" s="41"/>
    </row>
    <row r="794" spans="1:14" ht="15" customHeight="1" x14ac:dyDescent="0.3">
      <c r="A794" s="94">
        <v>46203</v>
      </c>
      <c r="B794" s="95">
        <f t="shared" si="177"/>
        <v>0.70833333333333293</v>
      </c>
      <c r="C794" s="76"/>
      <c r="D794" s="87"/>
      <c r="E794" s="11"/>
      <c r="F794" s="80" t="str">
        <f t="shared" si="175"/>
        <v/>
      </c>
      <c r="G794" s="76"/>
      <c r="H794" s="76"/>
      <c r="I794" s="76"/>
      <c r="J794" s="13"/>
      <c r="K794" s="13"/>
      <c r="L794" s="77" t="str">
        <f t="shared" si="176"/>
        <v/>
      </c>
      <c r="M794" s="11"/>
      <c r="N794" s="41"/>
    </row>
    <row r="795" spans="1:14" ht="15" customHeight="1" x14ac:dyDescent="0.3">
      <c r="A795" s="90">
        <v>46203</v>
      </c>
      <c r="B795" s="91">
        <f t="shared" si="177"/>
        <v>0.74999999999999956</v>
      </c>
      <c r="C795" s="67"/>
      <c r="D795" s="92"/>
      <c r="E795" s="11"/>
      <c r="F795" s="93" t="str">
        <f t="shared" si="175"/>
        <v/>
      </c>
      <c r="G795" s="67"/>
      <c r="H795" s="67"/>
      <c r="I795" s="67"/>
      <c r="J795" s="13"/>
      <c r="K795" s="13"/>
      <c r="L795" s="86" t="str">
        <f t="shared" si="176"/>
        <v/>
      </c>
      <c r="M795" s="11"/>
      <c r="N795" s="41"/>
    </row>
    <row r="796" spans="1:14" ht="15" customHeight="1" x14ac:dyDescent="0.3">
      <c r="A796" s="94">
        <v>46203</v>
      </c>
      <c r="B796" s="95">
        <f t="shared" si="177"/>
        <v>0.79166666666666619</v>
      </c>
      <c r="C796" s="76"/>
      <c r="D796" s="87"/>
      <c r="E796" s="11"/>
      <c r="F796" s="80" t="str">
        <f t="shared" si="175"/>
        <v/>
      </c>
      <c r="G796" s="76"/>
      <c r="H796" s="76"/>
      <c r="I796" s="76"/>
      <c r="J796" s="13"/>
      <c r="K796" s="13"/>
      <c r="L796" s="77" t="str">
        <f t="shared" si="176"/>
        <v/>
      </c>
      <c r="M796" s="11"/>
      <c r="N796" s="41"/>
    </row>
    <row r="797" spans="1:14" ht="15.75" customHeight="1" x14ac:dyDescent="0.3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 x14ac:dyDescent="0.3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8">IFERROR(IF(K798="","",IF(K798&gt;=J798,K798-J798,K798+1-J798)),"")</f>
        <v/>
      </c>
      <c r="M798" s="11"/>
      <c r="N798" s="41"/>
    </row>
    <row r="799" spans="1:14" ht="15" customHeight="1" x14ac:dyDescent="0.3">
      <c r="A799" s="90">
        <v>46203</v>
      </c>
      <c r="B799" s="91">
        <f t="shared" ref="B799:B809" si="179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8"/>
        <v/>
      </c>
      <c r="M799" s="11"/>
      <c r="N799" s="41"/>
    </row>
    <row r="800" spans="1:14" ht="15" customHeight="1" x14ac:dyDescent="0.3">
      <c r="A800" s="94">
        <v>46203</v>
      </c>
      <c r="B800" s="95">
        <f t="shared" si="179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8"/>
        <v/>
      </c>
      <c r="M800" s="11"/>
      <c r="N800" s="41"/>
    </row>
    <row r="801" spans="1:14" ht="15" customHeight="1" x14ac:dyDescent="0.3">
      <c r="A801" s="90">
        <v>46203</v>
      </c>
      <c r="B801" s="91">
        <f t="shared" si="179"/>
        <v>0.95833333333333293</v>
      </c>
      <c r="C801" s="67"/>
      <c r="D801" s="92"/>
      <c r="E801" s="11"/>
      <c r="F801" s="93" t="str">
        <f t="shared" ref="F801:F809" si="180">IF(E801="","",E801*4)</f>
        <v/>
      </c>
      <c r="G801" s="67"/>
      <c r="H801" s="67"/>
      <c r="I801" s="67"/>
      <c r="J801" s="13"/>
      <c r="K801" s="13"/>
      <c r="L801" s="86" t="str">
        <f t="shared" si="178"/>
        <v/>
      </c>
      <c r="M801" s="11"/>
      <c r="N801" s="41"/>
    </row>
    <row r="802" spans="1:14" ht="15" customHeight="1" x14ac:dyDescent="0.3">
      <c r="A802" s="94">
        <v>46203</v>
      </c>
      <c r="B802" s="95">
        <f t="shared" si="179"/>
        <v>0.99999999999999956</v>
      </c>
      <c r="C802" s="76"/>
      <c r="D802" s="87"/>
      <c r="E802" s="11"/>
      <c r="F802" s="80" t="str">
        <f t="shared" si="180"/>
        <v/>
      </c>
      <c r="G802" s="76"/>
      <c r="H802" s="76"/>
      <c r="I802" s="76"/>
      <c r="J802" s="13"/>
      <c r="K802" s="13"/>
      <c r="L802" s="77" t="str">
        <f t="shared" si="178"/>
        <v/>
      </c>
      <c r="M802" s="11"/>
      <c r="N802" s="41"/>
    </row>
    <row r="803" spans="1:14" ht="15" customHeight="1" x14ac:dyDescent="0.3">
      <c r="A803" s="90">
        <v>46203</v>
      </c>
      <c r="B803" s="91">
        <f t="shared" si="179"/>
        <v>1.0416666666666663</v>
      </c>
      <c r="C803" s="67"/>
      <c r="D803" s="92"/>
      <c r="E803" s="11"/>
      <c r="F803" s="93" t="str">
        <f t="shared" si="180"/>
        <v/>
      </c>
      <c r="G803" s="67"/>
      <c r="H803" s="67"/>
      <c r="I803" s="67"/>
      <c r="J803" s="13"/>
      <c r="K803" s="13"/>
      <c r="L803" s="86" t="str">
        <f t="shared" si="178"/>
        <v/>
      </c>
      <c r="M803" s="11"/>
      <c r="N803" s="41"/>
    </row>
    <row r="804" spans="1:14" ht="15" customHeight="1" x14ac:dyDescent="0.3">
      <c r="A804" s="94">
        <v>46203</v>
      </c>
      <c r="B804" s="95">
        <f t="shared" si="179"/>
        <v>1.083333333333333</v>
      </c>
      <c r="C804" s="76"/>
      <c r="D804" s="87"/>
      <c r="E804" s="11"/>
      <c r="F804" s="80" t="str">
        <f t="shared" si="180"/>
        <v/>
      </c>
      <c r="G804" s="76"/>
      <c r="H804" s="76"/>
      <c r="I804" s="76"/>
      <c r="J804" s="13"/>
      <c r="K804" s="13"/>
      <c r="L804" s="77" t="str">
        <f t="shared" si="178"/>
        <v/>
      </c>
      <c r="M804" s="11"/>
      <c r="N804" s="41"/>
    </row>
    <row r="805" spans="1:14" ht="15" customHeight="1" x14ac:dyDescent="0.3">
      <c r="A805" s="90">
        <v>46203</v>
      </c>
      <c r="B805" s="91">
        <f t="shared" si="179"/>
        <v>1.1249999999999998</v>
      </c>
      <c r="C805" s="67"/>
      <c r="D805" s="92"/>
      <c r="E805" s="11"/>
      <c r="F805" s="93" t="str">
        <f t="shared" si="180"/>
        <v/>
      </c>
      <c r="G805" s="67"/>
      <c r="H805" s="67"/>
      <c r="I805" s="67"/>
      <c r="J805" s="13"/>
      <c r="K805" s="13"/>
      <c r="L805" s="86" t="str">
        <f t="shared" si="178"/>
        <v/>
      </c>
      <c r="M805" s="11"/>
      <c r="N805" s="41"/>
    </row>
    <row r="806" spans="1:14" ht="15" customHeight="1" x14ac:dyDescent="0.3">
      <c r="A806" s="94">
        <v>46203</v>
      </c>
      <c r="B806" s="95">
        <f t="shared" si="179"/>
        <v>1.1666666666666665</v>
      </c>
      <c r="C806" s="76"/>
      <c r="D806" s="87"/>
      <c r="E806" s="11"/>
      <c r="F806" s="80" t="str">
        <f t="shared" si="180"/>
        <v/>
      </c>
      <c r="G806" s="76"/>
      <c r="H806" s="76"/>
      <c r="I806" s="76"/>
      <c r="J806" s="13"/>
      <c r="K806" s="13"/>
      <c r="L806" s="77" t="str">
        <f t="shared" si="178"/>
        <v/>
      </c>
      <c r="M806" s="11"/>
      <c r="N806" s="41"/>
    </row>
    <row r="807" spans="1:14" ht="15" customHeight="1" x14ac:dyDescent="0.3">
      <c r="A807" s="90">
        <v>46203</v>
      </c>
      <c r="B807" s="91">
        <f t="shared" si="179"/>
        <v>1.2083333333333333</v>
      </c>
      <c r="C807" s="67"/>
      <c r="D807" s="92"/>
      <c r="E807" s="11"/>
      <c r="F807" s="93" t="str">
        <f t="shared" si="180"/>
        <v/>
      </c>
      <c r="G807" s="67"/>
      <c r="H807" s="67"/>
      <c r="I807" s="67"/>
      <c r="J807" s="13"/>
      <c r="K807" s="13"/>
      <c r="L807" s="86" t="str">
        <f t="shared" si="178"/>
        <v/>
      </c>
      <c r="M807" s="11"/>
      <c r="N807" s="41"/>
    </row>
    <row r="808" spans="1:14" ht="15" customHeight="1" x14ac:dyDescent="0.3">
      <c r="A808" s="94">
        <v>46203</v>
      </c>
      <c r="B808" s="95">
        <f t="shared" si="179"/>
        <v>1.25</v>
      </c>
      <c r="C808" s="76"/>
      <c r="D808" s="87"/>
      <c r="E808" s="11"/>
      <c r="F808" s="80" t="str">
        <f t="shared" si="180"/>
        <v/>
      </c>
      <c r="G808" s="76"/>
      <c r="H808" s="76"/>
      <c r="I808" s="76"/>
      <c r="J808" s="13"/>
      <c r="K808" s="13"/>
      <c r="L808" s="77" t="str">
        <f t="shared" si="178"/>
        <v/>
      </c>
      <c r="M808" s="11"/>
      <c r="N808" s="41"/>
    </row>
    <row r="809" spans="1:14" ht="15" customHeight="1" x14ac:dyDescent="0.3">
      <c r="A809" s="90">
        <v>46203</v>
      </c>
      <c r="B809" s="91">
        <f t="shared" si="179"/>
        <v>1.2916666666666667</v>
      </c>
      <c r="C809" s="67"/>
      <c r="D809" s="92"/>
      <c r="E809" s="11"/>
      <c r="F809" s="93" t="str">
        <f t="shared" si="180"/>
        <v/>
      </c>
      <c r="G809" s="67"/>
      <c r="H809" s="67"/>
      <c r="I809" s="67"/>
      <c r="J809" s="13"/>
      <c r="K809" s="13"/>
      <c r="L809" s="86" t="str">
        <f t="shared" si="178"/>
        <v/>
      </c>
      <c r="M809" s="11"/>
      <c r="N809" s="41"/>
    </row>
    <row r="810" spans="1:14" ht="15.75" customHeight="1" x14ac:dyDescent="0.3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 x14ac:dyDescent="0.3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0CAD78A7-70F4-47FD-AA51-B85539CA803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14D07B3-4831-4991-A053-ED05E81548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2026-06-30T10:49:42Z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