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705" documentId="8_{C51EB6CB-002B-4D6B-B68F-DDEBDB4460C0}" xr6:coauthVersionLast="47" xr6:coauthVersionMax="47" xr10:uidLastSave="{5C322804-2AD3-4530-A3C7-1C4017298E36}"/>
  <bookViews>
    <workbookView xWindow="-120" yWindow="-12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<sst xmlns="http://schemas.openxmlformats.org/spreadsheetml/2006/main" count="5502" uniqueCount="335">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</sst>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1583020</v>
      </c>
      <c r="D14" s="8">
        <f>IFERROR('Linha 1'!O298,"")</f>
        <v>571950</v>
      </c>
      <c r="E14" s="8">
        <f>IFERROR('Linha 2'!O298,"")</f>
        <v>373120</v>
      </c>
      <c r="F14" s="8">
        <f>IFERROR('Linha 3'!O298,"")</f>
        <v>762600</v>
      </c>
      <c r="G14" s="9">
        <f t="shared" si="0"/>
        <v>1707670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35714910</v>
      </c>
      <c r="D35" s="13">
        <f>IFERROR(SUM(D4:D34),"")</f>
        <v>11855370</v>
      </c>
      <c r="E35" s="13">
        <f>IFERROR(SUM(E4:E34),"")</f>
        <v>5810400</v>
      </c>
      <c r="F35" s="13">
        <f>IFERROR(SUM(F4:F34),"")</f>
        <v>14648740</v>
      </c>
      <c r="G35" s="13">
        <f>IFERROR(SUM(G4:G34),"")</f>
        <v>32314510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6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6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6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6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6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6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6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6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6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6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6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6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6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6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6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6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6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6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6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6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6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6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6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6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6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6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6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6"/>
      <c r="I58" s="16"/>
      <c r="J58" s="16"/>
      <c r="K58" s="16" t="s">
        <v>208</v>
      </c>
      <c r="L58" s="16"/>
      <c r="M58" s="16"/>
    </row>
    <row r="59" spans="1:13" ht="15" customHeight="1">
      <c r="H59" s="116"/>
      <c r="I59" s="17"/>
      <c r="J59" s="17"/>
      <c r="K59" s="17" t="s">
        <v>209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210</v>
      </c>
      <c r="L61" s="17"/>
      <c r="M61" s="17"/>
    </row>
    <row r="62" spans="1:13" ht="15" customHeight="1">
      <c r="H62" s="116"/>
      <c r="I62" s="16"/>
      <c r="J62" s="16"/>
      <c r="K62" s="16" t="s">
        <v>211</v>
      </c>
      <c r="L62" s="16"/>
      <c r="M62" s="16"/>
    </row>
    <row r="63" spans="1:13" ht="15" customHeight="1">
      <c r="H63" s="116"/>
      <c r="I63" s="17"/>
      <c r="J63" s="17"/>
      <c r="K63" s="17" t="s">
        <v>212</v>
      </c>
      <c r="L63" s="17"/>
      <c r="M63" s="17"/>
    </row>
    <row r="64" spans="1:13" ht="15" customHeight="1">
      <c r="H64" s="116"/>
      <c r="I64" s="16"/>
      <c r="J64" s="16"/>
      <c r="K64" s="16" t="s">
        <v>213</v>
      </c>
      <c r="L64" s="16"/>
      <c r="M64" s="16"/>
    </row>
    <row r="65" spans="8:13" ht="15" customHeight="1">
      <c r="H65" s="116"/>
      <c r="I65" s="17"/>
      <c r="J65" s="17"/>
      <c r="K65" s="17" t="s">
        <v>214</v>
      </c>
      <c r="L65" s="17"/>
      <c r="M65" s="17"/>
    </row>
    <row r="66" spans="8:13" ht="15" customHeight="1">
      <c r="H66" s="116"/>
      <c r="I66" s="16"/>
      <c r="J66" s="16"/>
      <c r="K66" s="16" t="s">
        <v>215</v>
      </c>
      <c r="L66" s="16"/>
      <c r="M66" s="16"/>
    </row>
    <row r="67" spans="8:13" ht="15" customHeight="1">
      <c r="H67" s="116"/>
      <c r="I67" s="17"/>
      <c r="J67" s="17"/>
      <c r="K67" s="17" t="s">
        <v>216</v>
      </c>
      <c r="L67" s="17"/>
      <c r="M67" s="17"/>
    </row>
    <row r="68" spans="8:13" ht="15" customHeight="1">
      <c r="H68" s="116"/>
      <c r="I68" s="16"/>
      <c r="J68" s="16"/>
      <c r="K68" s="16" t="s">
        <v>217</v>
      </c>
      <c r="L68" s="16"/>
      <c r="M68" s="16"/>
    </row>
    <row r="69" spans="8:13" ht="15" customHeight="1">
      <c r="H69" s="116"/>
      <c r="I69" s="17"/>
      <c r="J69" s="17"/>
      <c r="K69" s="17" t="s">
        <v>218</v>
      </c>
      <c r="L69" s="17"/>
      <c r="M69" s="17"/>
    </row>
    <row r="70" spans="8:13" ht="15" customHeight="1">
      <c r="H70" s="116"/>
      <c r="I70" s="16"/>
      <c r="J70" s="16"/>
      <c r="K70" s="16" t="s">
        <v>219</v>
      </c>
      <c r="L70" s="16"/>
      <c r="M70" s="16"/>
    </row>
    <row r="71" spans="8:13" ht="15" customHeight="1">
      <c r="H71" s="116"/>
      <c r="I71" s="17"/>
      <c r="J71" s="17"/>
      <c r="K71" s="17" t="s">
        <v>220</v>
      </c>
      <c r="L71" s="17"/>
      <c r="M71" s="17"/>
    </row>
    <row r="72" spans="8:13" ht="15" customHeight="1">
      <c r="H72" s="116"/>
      <c r="I72" s="16"/>
      <c r="J72" s="16"/>
      <c r="K72" s="16" t="s">
        <v>221</v>
      </c>
      <c r="L72" s="16"/>
      <c r="M72" s="16"/>
    </row>
    <row r="73" spans="8:13" ht="15" customHeight="1">
      <c r="H73" s="116"/>
      <c r="I73" s="17"/>
      <c r="J73" s="17"/>
      <c r="K73" s="17" t="s">
        <v>222</v>
      </c>
      <c r="L73" s="17"/>
      <c r="M73" s="17"/>
    </row>
    <row r="74" spans="8:13" ht="15" customHeight="1">
      <c r="H74" s="116"/>
      <c r="I74" s="16"/>
      <c r="J74" s="16"/>
      <c r="K74" s="16" t="s">
        <v>223</v>
      </c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67" activePane="bottomLeft" state="frozen"/>
      <selection pane="bottomLeft" activeCell="F295" sqref="F295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324</v>
      </c>
      <c r="G297" s="36">
        <f>SUM(G285:G296)</f>
        <v>1360.8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587</v>
      </c>
      <c r="G298" s="40">
        <f>G284+G297</f>
        <v>2675.8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1583020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61" activePane="bottomLeft" state="frozen"/>
      <selection pane="bottomLeft" activeCell="F295" sqref="F295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8.8533680551336147E-2</v>
      </c>
      <c r="N53" s="46" t="s">
        <v>266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0.22742256944022504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0.31214479166244735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268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269</v>
      </c>
      <c r="M96" s="30" t="str">
        <f t="shared" ref="M96:M107" ca="1" si="22">IFERROR(IF(K96="","",IF(L96="",MOD(NOW()-K96,1),IF(L96&gt;=K96,L96-K96,L96+1-K96))),"")</f>
        <v/>
      </c>
      <c r="N96" s="46" t="s">
        <v>270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278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275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279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280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273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267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282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283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284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285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286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287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122</v>
      </c>
      <c r="G297" s="36">
        <f>SUM(G285:G296)</f>
        <v>576.4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244</v>
      </c>
      <c r="G298" s="40">
        <f>G284+G297</f>
        <v>1065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571950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9" zoomScale="68" zoomScaleNormal="68" workbookViewId="0">
      <selection activeCell="F295" sqref="F295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279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301</v>
      </c>
      <c r="M222" s="30" t="str">
        <f t="shared" ca="1" si="49"/>
        <v/>
      </c>
      <c r="N222" s="27" t="s">
        <v>302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303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267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1.5617013887094799E-2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7.7422569442650344E-2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0.13853368055376153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67</v>
      </c>
      <c r="G297" s="36">
        <f>SUM(G285:G296)</f>
        <v>330.2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162</v>
      </c>
      <c r="G298" s="40">
        <f>G284+G297</f>
        <v>737.2</v>
      </c>
      <c r="H298" s="41"/>
      <c r="I298" s="41"/>
      <c r="J298" s="41"/>
      <c r="K298" s="41"/>
      <c r="L298" s="41"/>
      <c r="M298" s="42">
        <f ca="1">IFERROR(M284+M297,"")</f>
        <v>0.13680555555555557</v>
      </c>
      <c r="N298" s="40" t="s">
        <v>240</v>
      </c>
      <c r="O298" s="48">
        <f>IFERROR(O284+O297,"")</f>
        <v>373120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85" zoomScaleNormal="85" workbookViewId="0">
      <pane ySplit="1" topLeftCell="A259" activePane="bottomLeft" state="frozen"/>
      <selection pane="bottomLeft" activeCell="F295" sqref="F295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328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329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295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330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331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332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333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334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127</v>
      </c>
      <c r="G297" s="36">
        <f>SUM(G285:G296)</f>
        <v>613.4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299</v>
      </c>
      <c r="G298" s="40">
        <f>G284+G297</f>
        <v>1335.8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762600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2026-08-12T09:02:59Z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