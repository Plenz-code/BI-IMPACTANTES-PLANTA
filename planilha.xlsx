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782" documentId="8_{AF585B22-221D-4780-BB9C-493D365A6A02}" xr6:coauthVersionLast="47" xr6:coauthVersionMax="47" xr10:uidLastSave="{3708C28A-DC0F-4BD6-BE9A-0D215896719D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<sst xmlns="http://schemas.openxmlformats.org/spreadsheetml/2006/main" count="8585" uniqueCount="365">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</sst>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10" fillId="2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activeCellId="1" sqref="G24:G34 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62385151</v>
      </c>
      <c r="D35" s="13">
        <f>IFERROR(SUM(D4:D34),"")</f>
        <v>23768360</v>
      </c>
      <c r="E35" s="13">
        <f>IFERROR(SUM(E4:E34),"")</f>
        <v>13840110</v>
      </c>
      <c r="F35" s="13">
        <f>IFERROR(SUM(F4:F34),"")</f>
        <v>27641240</v>
      </c>
      <c r="G35" s="13">
        <f>IFERROR(SUM(G4:G34),"")</f>
        <v>65249710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24" activePane="bottomLeft" state="frozen"/>
      <selection pane="bottomLeft" activeCell="J542" sqref="J54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4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/>
      <c r="M542" s="30">
        <f t="shared" ref="M542:M553" ca="1" si="121">IFERROR(IF(K542="","",IF(L542="",MOD(NOW()-K542,1),IF(L542&gt;=K542,L542-K542,L542+1-K542))),"")</f>
        <v>8.6160879625822417E-2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5</v>
      </c>
      <c r="G554" s="36">
        <f>SUM(G542:G553)</f>
        <v>25</v>
      </c>
      <c r="H554" s="37"/>
      <c r="I554" s="37"/>
      <c r="J554" s="37"/>
      <c r="K554" s="37"/>
      <c r="L554" s="37"/>
      <c r="M554" s="38">
        <f ca="1">IFERROR(SUM(M542:M553),"")</f>
        <v>8.6160879625822417E-2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5</v>
      </c>
      <c r="G568" s="40">
        <f>G554+G567</f>
        <v>25</v>
      </c>
      <c r="H568" s="41"/>
      <c r="I568" s="41"/>
      <c r="J568" s="41"/>
      <c r="K568" s="41"/>
      <c r="L568" s="41"/>
      <c r="M568" s="42">
        <f ca="1">IFERROR(M554+M567,"")</f>
        <v>8.6160879625822417E-2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526" activePane="bottomLeft" state="frozen"/>
      <selection pane="bottomLeft" activeCell="J543" sqref="J54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259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260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261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264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265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266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267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268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270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274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275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276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277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272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279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280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281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283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284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287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288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0.14866087962582242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0.3062997685147113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0.41602199073693347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272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289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290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0.12713310185063165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0.29796643518396504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0.44310532407285391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293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294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295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296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297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298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299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11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300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/>
      <c r="M543" s="35">
        <f t="shared" ca="1" si="121"/>
        <v>2.8275462973397225E-3</v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255</v>
      </c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255</v>
      </c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255</v>
      </c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255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255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255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255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30</v>
      </c>
      <c r="G554" s="36">
        <f>SUM(G542:G553)</f>
        <v>126.00000000000001</v>
      </c>
      <c r="H554" s="37"/>
      <c r="I554" s="37"/>
      <c r="J554" s="37"/>
      <c r="K554" s="37"/>
      <c r="L554" s="37"/>
      <c r="M554" s="38">
        <f ca="1">IFERROR(SUM(M542:M553),"")</f>
        <v>1.4633101852895292E-2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30</v>
      </c>
      <c r="G568" s="40">
        <f>G554+G567</f>
        <v>126.00000000000001</v>
      </c>
      <c r="H568" s="41"/>
      <c r="I568" s="41"/>
      <c r="J568" s="41"/>
      <c r="K568" s="41"/>
      <c r="L568" s="41"/>
      <c r="M568" s="42">
        <f ca="1">IFERROR(M554+M567,"")</f>
        <v>1.4633101852895292E-2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17" zoomScale="50" zoomScaleNormal="50" workbookViewId="0">
      <selection activeCell="F544" sqref="F54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301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302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304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294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305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271</v>
      </c>
      <c r="K141" s="29">
        <v>0.71597222222222223</v>
      </c>
      <c r="L141" s="29" t="s">
        <v>307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309</v>
      </c>
      <c r="N166" s="27" t="s">
        <v>310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311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312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313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317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321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322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323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324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255</v>
      </c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255</v>
      </c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255</v>
      </c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255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255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255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255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5</v>
      </c>
      <c r="G554" s="36">
        <f>SUM(G542:G553)</f>
        <v>21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5</v>
      </c>
      <c r="G568" s="40">
        <f>G554+G567</f>
        <v>21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24" activePane="bottomLeft" state="frozen"/>
      <selection pane="bottomLeft" activeCell="E553" sqref="E55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294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329</v>
      </c>
      <c r="L58" s="29">
        <v>0.54097222222222219</v>
      </c>
      <c r="M58" s="30" t="str">
        <f t="shared" ca="1" si="13"/>
        <v/>
      </c>
      <c r="N58" s="27" t="s">
        <v>330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301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0.13893865740828915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269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0.33824421296384477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0.7056053240749558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266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294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358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359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360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361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362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363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364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255</v>
      </c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255</v>
      </c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255</v>
      </c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255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255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255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255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40</v>
      </c>
      <c r="G554" s="36">
        <f>SUM(G542:G553)</f>
        <v>168</v>
      </c>
      <c r="H554" s="37"/>
      <c r="I554" s="37"/>
      <c r="J554" s="37"/>
      <c r="K554" s="61"/>
      <c r="L554" s="61"/>
      <c r="M554" s="38">
        <f ca="1">IFERROR(SUM(M542:M553),"")</f>
        <v>1.4583333333333337E-2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40</v>
      </c>
      <c r="G568" s="40">
        <f>G554+G567</f>
        <v>168</v>
      </c>
      <c r="H568" s="41"/>
      <c r="I568" s="41"/>
      <c r="J568" s="41"/>
      <c r="K568" s="63"/>
      <c r="L568" s="63"/>
      <c r="M568" s="42">
        <f ca="1">IFERROR(M554+M567,"")</f>
        <v>1.4583333333333337E-2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2026-07-21T13:21:24Z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