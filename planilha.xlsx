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429" documentId="8_{AF585B22-221D-4780-BB9C-493D365A6A02}" xr6:coauthVersionLast="47" xr6:coauthVersionMax="47" xr10:uidLastSave="{7C75C298-ABC1-4D18-A9F6-4CFEC45DD67E}"/>
  <bookViews>
    <workbookView xWindow="-110" yWindow="-110" windowWidth="25820" windowHeight="15500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98" i="3" l="1"/>
  <c r="G799" i="3"/>
  <c r="G800" i="3"/>
  <c r="G801" i="3"/>
  <c r="G802" i="3"/>
  <c r="G803" i="3"/>
  <c r="G804" i="3"/>
  <c r="G805" i="3"/>
  <c r="G806" i="3"/>
  <c r="G807" i="3"/>
  <c r="G808" i="3"/>
  <c r="G809" i="3"/>
  <c r="G786" i="6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96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<sst xmlns="http://schemas.openxmlformats.org/spreadsheetml/2006/main" count="12145" uniqueCount="437">
  <si>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</si>
  <si>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</si>
  <si>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</si>
  <si>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</si>
  <si>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</si>
  <si>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</si>
  <si>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</si>
  <si>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</si>
  <si>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</si>
  <si>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</si>
  <si>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</si>
  <si>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</si>
  <si>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</si>
  <si>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</si>
  <si>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</si>
  <si>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</si>
  <si>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</si>
  <si>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</si>
  <si>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</si>
  <si>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</si>
  <si>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</si>
  <si>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</si>
  <si>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</si>
  <si>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</si>
  <si>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</si>
  <si>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</si>
  <si>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</si>
  <si>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</si>
  <si>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</si>
  <si>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</si>
  <si>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</si>
  <si>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</si>
  <si>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</si>
  <si>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</si>
  <si>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</si>
  <si>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</si>
  <si>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</si>
  <si>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</si>
  <si>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</si>
  <si>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</si>
  <si>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</si>
  <si>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</si>
  <si>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</si>
  <si>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</si>
  <si>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</si>
  <si>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</si>
  <si>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</si>
  <si>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</si>
  <si>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</si>
  <si>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</si>
  <si>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</si>
  <si>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</si>
  <si>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</si>
  <si>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</si>
  <si>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</si>
  <si>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</si>
  <si>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</si>
  <si>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</si>
  <si>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</si>
  <si>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</si>
  <si>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</si>
  <si>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</si>
  <si>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</si>
  <si>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</si>
  <si>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</si>
  <si>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</si>
  <si>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</si>
  <si>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</si>
  <si>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</si>
  <si>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</si>
  <si>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</si>
  <si>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</si>
  <si>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</si>
  <si>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</si>
  <si>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</si>
  <si>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</si>
  <si>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</si>
  <si>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</si>
  <si>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</si>
  <si>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</si>
  <si>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</si>
  <si>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</si>
  <si>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</si>
  <si>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</si>
  <si>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</si>
  <si>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</si>
  <si>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</si>
  <si>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</si>
  <si>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</si>
  <si>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</si>
  <si>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</si>
  <si>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</si>
  <si>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</si>
  <si>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</si>
  <si>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</si>
  <si>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</si>
  <si>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</si>
  <si>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</si>
  <si>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</si>
  <si>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</si>
  <si>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</si>
  <si>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</si>
  <si>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</si>
  <si>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</si>
  <si>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</si>
  <si>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</si>
  <si>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</si>
  <si>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</si>
  <si>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</si>
  <si>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</si>
  <si>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</si>
  <si>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</si>
  <si>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</si>
  <si>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</si>
  <si>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</si>
  <si>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</si>
  <si>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</si>
  <si>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</si>
  <si>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</si>
  <si>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</si>
  <si>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</si>
  <si>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</si>
  <si>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</si>
  <si>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</si>
  <si>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</si>
  <si>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</si>
  <si>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</si>
  <si>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</si>
  <si>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</si>
  <si>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</si>
  <si>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</si>
  <si>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</si>
  <si>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</si>
  <si>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</si>
  <si>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</si>
  <si>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</si>
  <si>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</si>
  <si>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</si>
  <si>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</si>
  <si>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</si>
  <si>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</si>
  <si>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</si>
  <si>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</si>
  <si>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</si>
  <si>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</si>
  <si>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</si>
  <si>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</si>
  <si>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</si>
  <si>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</si>
  <si>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</si>
  <si>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</si>
  <si>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</si>
  <si>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</si>
  <si>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</si>
  <si>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</si>
  <si>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</si>
  <si>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</si>
  <si>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</si>
  <si>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</si>
  <si>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</si>
  <si>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</si>
  <si>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</si>
  <si>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</si>
  <si>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</si>
  <si>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</si>
  <si>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</si>
  <si>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</si>
  <si>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</si>
  <si>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</si>
  <si>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</si>
  <si>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</si>
  <si>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</si>
  <si>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</si>
  <si>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</si>
  <si>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</si>
  <si>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</si>
  <si>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</si>
  <si>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</si>
  <si>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</si>
  <si>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</si>
  <si>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</si>
  <si>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</si>
  <si>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</si>
  <si>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</si>
  <si>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</si>
  <si>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</si>
  <si>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</si>
  <si>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</si>
  <si>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</si>
  <si>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</si>
  <si>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</si>
  <si>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</si>
  <si>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</si>
  <si>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</si>
  <si>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</si>
  <si>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</si>
  <si>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</si>
  <si>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</si>
  <si>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</si>
  <si>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</si>
  <si>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</si>
  <si>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</si>
  <si>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</si>
  <si>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</si>
  <si>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</si>
  <si>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</si>
  <si>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</si>
  <si>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</si>
  <si>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</si>
  <si>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</si>
  <si>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</si>
  <si>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</si>
  <si>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</si>
  <si>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</si>
  <si>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</si>
  <si>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</si>
  <si>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</si>
  <si>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</si>
  <si>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</si>
  <si>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</si>
  <si>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</si>
  <si>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</si>
  <si>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</si>
  <si>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</si>
  <si>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</si>
  <si>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</si>
  <si>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</si>
  <si>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</si>
  <si>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</si>
  <si>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</si>
  <si>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</si>
  <si>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</si>
  <si>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</si>
  <si>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</si>
  <si>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</si>
  <si>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</si>
  <si>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</si>
  <si>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</si>
  <si>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</si>
  <si>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</si>
  <si>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</si>
  <si>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</si>
  <si>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</si>
  <si>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</si>
  <si>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</si>
  <si>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</si>
  <si>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</si>
  <si>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</si>
  <si>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</si>
  <si>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</si>
  <si>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</si>
  <si>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</si>
  <si>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</si>
  <si>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</si>
  <si>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</si>
  <si>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</si>
  <si>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</si>
  <si>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</si>
  <si>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</si>
  <si>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</si>
  <si>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</si>
  <si>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</si>
  <si>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</si>
  <si>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</si>
  <si>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</si>
  <si>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</si>
  <si>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</si>
  <si>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</si>
  <si>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</si>
  <si>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</si>
  <si>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</si>
  <si>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</si>
  <si>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</si>
  <si>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</si>
  <si>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</si>
  <si>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</si>
  <si>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foram feitas 8 viagens com caminhão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</si>
  <si>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</si>
  <si>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</si>
  <si>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</si>
  <si>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</si>
  <si>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</si>
  <si>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</si>
  <si>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</si>
  <si>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</si>
  <si>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</si>
  <si>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</si>
  <si>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</si>
  <si>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</si>
  <si>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</si>
  <si>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</si>
  <si>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</si>
  <si>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</si>
  <si>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</si>
  <si>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</si>
  <si>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</si>
  <si>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</si>
  <si>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</si>
  <si>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</si>
  <si>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</si>
  <si>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</si>
  <si>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</si>
  <si>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</si>
  <si>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</si>
  <si>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</si>
  <si>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</si>
  <si>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</si>
  <si>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</si>
  <si>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</si>
  <si>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</si>
  <si>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</si>
  <si>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</si>
  <si>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</si>
  <si>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</si>
  <si>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</si>
  <si>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</si>
  <si>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</si>
  <si>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</si>
  <si>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</si>
  <si>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</si>
  <si>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</si>
  <si>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</si>
  <si>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</si>
  <si>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</si>
  <si>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</si>
  <si>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</si>
  <si>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</si>
  <si>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</si>
  <si>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</si>
  <si>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</si>
  <si>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</si>
  <si>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</si>
  <si>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</si>
  <si>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</si>
  <si>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</si>
  <si>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</si>
  <si>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</si>
  <si>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</si>
  <si>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</si>
  <si>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</si>
  <si>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</si>
  <si>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</si>
  <si>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</si>
  <si>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</si>
  <si>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</si>
  <si>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</si>
  <si>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</si>
  <si>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</si>
  <si>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</si>
  <si>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</si>
  <si>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</si>
  <si>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</si>
  <si>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</si>
  <si>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</si>
  <si>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</si>
  <si>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</si>
  <si>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</si>
  <si>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</si>
  <si>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</si>
  <si>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</si>
  <si>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</si>
  <si>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</si>
  <si>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</si>
  <si>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</si>
  <si>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</si>
  <si>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</si>
  <si>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</si>
  <si>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</si>
  <si>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</si>
  <si>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</si>
  <si>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</si>
  <si>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</si>
  <si>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</si>
  <si>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</si>
  <si>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</si>
  <si>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</si>
  <si>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</si>
  <si>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</si>
  <si>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</si>
  <si>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</si>
  <si>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</si>
  <si>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</si>
  <si>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</si>
  <si>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</si>
  <si>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</si>
  <si>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</si>
  <si>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</si>
  <si>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</si>
  <si>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</si>
  <si>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</si>
  <si>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</si>
  <si>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</si>
  <si>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</si>
  <si>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</si>
  <si>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</si>
  <si>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</si>
  <si>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</si>
  <si>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</si>
  <si>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</si>
  <si>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</si>
  <si>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</si>
  <si>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</si>
  <si>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</si>
  <si>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</si>
  <si>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</si>
  <si>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</si>
  <si>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</si>
  <si>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</si>
  <si>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</si>
  <si>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</si>
  <si>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</si>
  <si>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</si>
  <si>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</si>
  <si>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</si>
  <si>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</si>
  <si>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</si>
  <si>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</si>
  <si>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</si>
  <si>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</si>
  <si>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</si>
  <si>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</si>
  <si>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</si>
  <si>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</si>
  <si>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</si>
  <si>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</si>
  <si>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</si>
  <si>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</si>
  <si>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</si>
  <si>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</si>
  <si>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</si>
  <si>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</si>
  <si>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</si>
  <si>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</si>
  <si>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</si>
  <si>
    <t>foi trocado martelo as 10:55</t>
  </si>
  <si>
    <t xml:space="preserve">foi feito colagem na correia transportadora </t>
  </si>
  <si>
    <t>a linha 3 ficou parada para manutenção programada e para manuenção na correia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</si>
</sst>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J786" sqref="J78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2191180</v>
      </c>
      <c r="D33" s="11">
        <f>IFERROR('Linha 1'!O811,"")</f>
        <v>648030</v>
      </c>
      <c r="E33" s="11">
        <f>IFERROR('Linha 2'!O811,"")</f>
        <v>419450</v>
      </c>
      <c r="F33" s="11">
        <f>IFERROR('Linha 3'!O811,"")</f>
        <v>99040</v>
      </c>
      <c r="G33" s="12">
        <f t="shared" si="0"/>
        <v>1166520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92221798</v>
      </c>
      <c r="D35" s="13">
        <f>IFERROR(SUM(D4:D34),"")</f>
        <v>36740850</v>
      </c>
      <c r="E35" s="13">
        <f>IFERROR(SUM(E4:E34),"")</f>
        <v>20561990</v>
      </c>
      <c r="F35" s="13">
        <f>IFERROR(SUM(F4:F34),"")</f>
        <v>36889040</v>
      </c>
      <c r="G35" s="13">
        <f>IFERROR(SUM(G4:G34),"")</f>
        <v>94191880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9" sqref="M5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3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13"/>
      <c r="I59" s="17"/>
      <c r="J59" s="17"/>
      <c r="K59" s="17" t="s">
        <v>208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209</v>
      </c>
      <c r="L61" s="17"/>
      <c r="M61" s="17"/>
    </row>
    <row r="62" spans="1:13" ht="15" customHeight="1">
      <c r="H62" s="113"/>
      <c r="I62" s="16"/>
      <c r="J62" s="16"/>
      <c r="K62" s="16" t="s">
        <v>210</v>
      </c>
      <c r="L62" s="16"/>
      <c r="M62" s="16"/>
    </row>
    <row r="63" spans="1:13" ht="15" customHeight="1">
      <c r="H63" s="113"/>
      <c r="I63" s="17"/>
      <c r="J63" s="17"/>
      <c r="K63" s="17" t="s">
        <v>211</v>
      </c>
      <c r="L63" s="17"/>
      <c r="M63" s="17"/>
    </row>
    <row r="64" spans="1:13" ht="15" customHeight="1">
      <c r="H64" s="113"/>
      <c r="I64" s="16"/>
      <c r="J64" s="16"/>
      <c r="K64" s="16" t="s">
        <v>212</v>
      </c>
      <c r="L64" s="16"/>
      <c r="M64" s="16"/>
    </row>
    <row r="65" spans="8:13" ht="15" customHeight="1">
      <c r="H65" s="113"/>
      <c r="I65" s="17"/>
      <c r="J65" s="17"/>
      <c r="K65" s="17" t="s">
        <v>213</v>
      </c>
      <c r="L65" s="17"/>
      <c r="M65" s="17"/>
    </row>
    <row r="66" spans="8:13" ht="15" customHeight="1">
      <c r="H66" s="113"/>
      <c r="I66" s="16"/>
      <c r="J66" s="16"/>
      <c r="K66" s="16" t="s">
        <v>214</v>
      </c>
      <c r="L66" s="16"/>
      <c r="M66" s="16"/>
    </row>
    <row r="67" spans="8:13" ht="15" customHeight="1">
      <c r="H67" s="113"/>
      <c r="I67" s="17"/>
      <c r="J67" s="17"/>
      <c r="K67" s="17" t="s">
        <v>215</v>
      </c>
      <c r="L67" s="17"/>
      <c r="M67" s="17"/>
    </row>
    <row r="68" spans="8:13" ht="15" customHeight="1">
      <c r="H68" s="113"/>
      <c r="I68" s="16"/>
      <c r="J68" s="16"/>
      <c r="K68" s="16" t="s">
        <v>216</v>
      </c>
      <c r="L68" s="16"/>
      <c r="M68" s="16"/>
    </row>
    <row r="69" spans="8:13" ht="15" customHeight="1">
      <c r="H69" s="113"/>
      <c r="I69" s="17"/>
      <c r="J69" s="17"/>
      <c r="K69" s="17" t="s">
        <v>217</v>
      </c>
      <c r="L69" s="17"/>
      <c r="M69" s="17"/>
    </row>
    <row r="70" spans="8:13" ht="15" customHeight="1">
      <c r="H70" s="113"/>
      <c r="I70" s="16"/>
      <c r="J70" s="16"/>
      <c r="K70" s="16" t="s">
        <v>218</v>
      </c>
      <c r="L70" s="16"/>
      <c r="M70" s="16"/>
    </row>
    <row r="71" spans="8:13" ht="15" customHeight="1">
      <c r="H71" s="113"/>
      <c r="I71" s="17"/>
      <c r="J71" s="17"/>
      <c r="K71" s="17" t="s">
        <v>219</v>
      </c>
      <c r="L71" s="17"/>
      <c r="M71" s="17"/>
    </row>
    <row r="72" spans="8:13" ht="15" customHeight="1">
      <c r="H72" s="113"/>
      <c r="I72" s="16"/>
      <c r="J72" s="16"/>
      <c r="K72" s="16" t="s">
        <v>220</v>
      </c>
      <c r="L72" s="16"/>
      <c r="M72" s="16"/>
    </row>
    <row r="73" spans="8:13" ht="15" customHeight="1">
      <c r="H73" s="113"/>
      <c r="I73" s="17"/>
      <c r="J73" s="17"/>
      <c r="K73" s="17" t="s">
        <v>221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771" activePane="bottomLeft" state="frozen"/>
      <selection pane="bottomLeft" activeCell="F801" sqref="F80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232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234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236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236</v>
      </c>
      <c r="O27" s="39">
        <v>1183060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239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240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236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236</v>
      </c>
      <c r="O54" s="39">
        <v>959290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239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236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241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236</v>
      </c>
      <c r="O81" s="39">
        <v>878050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239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236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1700000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239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236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236</v>
      </c>
      <c r="O135" s="39">
        <v>862330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239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236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236</v>
      </c>
      <c r="O162" s="44">
        <v>1546080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239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236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236</v>
      </c>
      <c r="O189" s="39">
        <v>2355810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239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236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236</v>
      </c>
      <c r="O216" s="45">
        <v>2013260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239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244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236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236</v>
      </c>
      <c r="O243" s="39">
        <v>1545480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239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236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>
        <v>1182690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239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236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246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247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247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247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247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247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247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247</v>
      </c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236</v>
      </c>
      <c r="O297" s="39">
        <v>1843460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239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248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249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236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250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250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250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250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>
        <v>1940000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239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233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233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233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233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233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233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233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233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233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233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236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233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233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233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233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233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233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233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233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233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233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233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233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236</v>
      </c>
      <c r="O351" s="39">
        <v>701874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239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252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233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233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233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233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233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233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233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233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233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233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233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236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233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233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233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233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233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233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233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233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233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233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233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236</v>
      </c>
      <c r="O378" s="39">
        <v>1088710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239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233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233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253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233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254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233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233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233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233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233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233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233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233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236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233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233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255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233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233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233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233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233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233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233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233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233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236</v>
      </c>
      <c r="O405" s="39">
        <v>1202270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239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233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256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233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233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257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233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233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233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233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233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258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258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233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236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233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233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233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233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233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233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233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233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233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233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233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>
        <v>1801910</v>
      </c>
    </row>
    <row r="433" spans="1:15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239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233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233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233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233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233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233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233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233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233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233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233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233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236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260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260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260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260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260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260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260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260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260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260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260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260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236</v>
      </c>
      <c r="O459" s="39">
        <v>2675000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239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>
        <v>2310070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233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233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233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233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233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236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233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233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233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233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233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233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233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233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233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233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233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>
        <v>1298429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239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233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261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233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233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233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233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233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233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233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233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233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233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233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236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233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233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262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233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233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233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233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233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233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233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233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233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233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236</v>
      </c>
      <c r="O540" s="39">
        <v>1240140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239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233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233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233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233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233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233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233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233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233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233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233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233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236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233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233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233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233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233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233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233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233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233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233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233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233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236</v>
      </c>
      <c r="O567" s="39">
        <v>1482110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239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233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233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233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233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233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233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236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233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233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233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233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233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233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233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233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233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233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236</v>
      </c>
      <c r="O594" s="39">
        <v>1036800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239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233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233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233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233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233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233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233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233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233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233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233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233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236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264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233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233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233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233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233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233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233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233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233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236</v>
      </c>
      <c r="O621" s="39">
        <v>1295785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239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233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233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233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233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233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233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233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233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233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233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233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233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233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265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233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233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233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233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233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233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233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233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233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233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233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236</v>
      </c>
      <c r="O648" s="39">
        <v>1954490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239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233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233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233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233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233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233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233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233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233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233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233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236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233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266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233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233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233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233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233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233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233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233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233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233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233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236</v>
      </c>
      <c r="O675" s="39">
        <v>471180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239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233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267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233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268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233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233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233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233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233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233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233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233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233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233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236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233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269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233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233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233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233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233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233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233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233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233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236</v>
      </c>
      <c r="O702" s="39">
        <v>1620480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239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233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233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233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233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233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233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233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233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233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233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233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233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236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233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270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233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233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233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233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233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233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260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260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260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236</v>
      </c>
      <c r="O729" s="39">
        <v>1145450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239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271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233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233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233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233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233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233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233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233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233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233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233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233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272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233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233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233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233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233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233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233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233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233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233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233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236</v>
      </c>
      <c r="O756" s="39">
        <v>1649510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239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233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273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233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274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233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233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233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233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233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233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233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233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233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236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233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275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233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233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233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233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233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233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233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233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233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233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236</v>
      </c>
      <c r="O783" s="39">
        <v>2113690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239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233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233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233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/>
      <c r="M787" s="35">
        <f t="shared" ca="1" si="174"/>
        <v>0.15585613426083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233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233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 t="s">
        <v>276</v>
      </c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233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233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233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233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233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233</v>
      </c>
      <c r="F796" s="27">
        <v>0</v>
      </c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291</v>
      </c>
      <c r="G797" s="37"/>
      <c r="H797" s="37"/>
      <c r="I797" s="37"/>
      <c r="J797" s="37"/>
      <c r="K797" s="37"/>
      <c r="L797" s="37"/>
      <c r="M797" s="38">
        <f ca="1">IFERROR(SUM(M785:M796),"")</f>
        <v>0.19891168981638552</v>
      </c>
      <c r="N797" s="36" t="s">
        <v>236</v>
      </c>
      <c r="O797" s="39">
        <v>2191180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233</v>
      </c>
      <c r="F798" s="27">
        <v>35</v>
      </c>
      <c r="G798" s="28">
        <f t="shared" ref="G796:G809" si="176">IF(F798="","",IF(E798="PC 17",F798*4.2,IF(E798="PC 19",F798*5,"")))</f>
        <v>175</v>
      </c>
      <c r="H798" s="26"/>
      <c r="I798" s="26"/>
      <c r="J798" s="26"/>
      <c r="K798" s="29"/>
      <c r="L798" s="29"/>
      <c r="M798" s="30" t="str">
        <f t="shared" ref="M798:M809" ca="1" si="177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26</v>
      </c>
      <c r="G799" s="28">
        <f t="shared" si="176"/>
        <v>109.2</v>
      </c>
      <c r="H799" s="33"/>
      <c r="I799" s="33"/>
      <c r="J799" s="33"/>
      <c r="K799" s="29"/>
      <c r="L799" s="29"/>
      <c r="M799" s="35" t="str">
        <f t="shared" ca="1" si="177"/>
        <v/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233</v>
      </c>
      <c r="F800" s="27">
        <v>39</v>
      </c>
      <c r="G800" s="28">
        <f t="shared" si="176"/>
        <v>195</v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233</v>
      </c>
      <c r="F801" s="27"/>
      <c r="G801" s="28" t="str">
        <f t="shared" si="176"/>
        <v/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233</v>
      </c>
      <c r="F802" s="27"/>
      <c r="G802" s="28" t="str">
        <f t="shared" si="176"/>
        <v/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233</v>
      </c>
      <c r="F803" s="27"/>
      <c r="G803" s="28" t="str">
        <f t="shared" si="176"/>
        <v/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233</v>
      </c>
      <c r="F804" s="27"/>
      <c r="G804" s="28" t="str">
        <f t="shared" si="176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233</v>
      </c>
      <c r="F805" s="27"/>
      <c r="G805" s="28" t="str">
        <f t="shared" si="176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233</v>
      </c>
      <c r="F806" s="27"/>
      <c r="G806" s="28" t="str">
        <f t="shared" si="176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233</v>
      </c>
      <c r="F807" s="27"/>
      <c r="G807" s="28" t="str">
        <f t="shared" si="176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233</v>
      </c>
      <c r="F808" s="27"/>
      <c r="G808" s="28" t="str">
        <f t="shared" si="176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233</v>
      </c>
      <c r="F809" s="27"/>
      <c r="G809" s="28" t="str">
        <f t="shared" si="176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100</v>
      </c>
      <c r="G810" s="36">
        <f>SUM(G798:G809)</f>
        <v>479.2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59" t="s">
        <v>233</v>
      </c>
      <c r="B811" s="91"/>
      <c r="C811" s="91"/>
      <c r="D811" s="91"/>
      <c r="E811" s="92">
        <f>E797+E810</f>
        <v>0</v>
      </c>
      <c r="F811" s="40">
        <f>F797+F810</f>
        <v>391</v>
      </c>
      <c r="G811" s="40">
        <f>G797+G810</f>
        <v>479.2</v>
      </c>
      <c r="H811" s="41"/>
      <c r="I811" s="41"/>
      <c r="J811" s="41"/>
      <c r="K811" s="41"/>
      <c r="L811" s="41"/>
      <c r="M811" s="42">
        <f ca="1">IFERROR(M797+M810,"")</f>
        <v>0.19891168981638552</v>
      </c>
      <c r="N811" s="40" t="s">
        <v>239</v>
      </c>
      <c r="O811" s="43">
        <f>IFERROR(O797+O810,"")</f>
        <v>2191180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 G797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71" activePane="bottomLeft" state="frozen"/>
      <selection pane="bottomLeft" activeCell="F801" sqref="F80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236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236</v>
      </c>
      <c r="O27" s="77">
        <v>393200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239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236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260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84">
        <v>276360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239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236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236</v>
      </c>
      <c r="O81" s="54">
        <v>787860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239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236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236</v>
      </c>
      <c r="O108" s="54">
        <v>1087080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239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236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251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236</v>
      </c>
      <c r="O135" s="54">
        <v>794480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239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236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236</v>
      </c>
      <c r="O162" s="54">
        <v>882280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239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236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236</v>
      </c>
      <c r="O189" s="77"/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239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236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236</v>
      </c>
      <c r="O216" s="77">
        <v>648410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239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235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236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260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236</v>
      </c>
      <c r="O243" s="77">
        <v>849060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239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236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236</v>
      </c>
      <c r="O270" s="77">
        <v>625070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239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236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236</v>
      </c>
      <c r="O297" s="77">
        <v>761660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239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236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236</v>
      </c>
      <c r="O324" s="77">
        <v>524410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239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260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260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260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260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260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260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260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260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236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236</v>
      </c>
      <c r="O351" s="77">
        <v>598420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239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236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0.66974502314405981</v>
      </c>
      <c r="N377" s="46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0.8273839120329487</v>
      </c>
      <c r="N378" s="36" t="s">
        <v>236</v>
      </c>
      <c r="O378" s="77">
        <v>511980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0.93710613425517086</v>
      </c>
      <c r="N379" s="40" t="s">
        <v>239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236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260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251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236</v>
      </c>
      <c r="O405" s="77">
        <v>552440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239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260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236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0.64821724536886904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0.81905057870220244</v>
      </c>
      <c r="N432" s="36" t="s">
        <v>236</v>
      </c>
      <c r="O432" s="77">
        <v>484540</v>
      </c>
    </row>
    <row r="433" spans="1:15" ht="18" customHeight="1">
      <c r="A433" s="93" t="s">
        <v>238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0.96418946759109136</v>
      </c>
      <c r="N433" s="40" t="s">
        <v>239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236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236</v>
      </c>
      <c r="O459" s="77">
        <v>631190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239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236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236</v>
      </c>
      <c r="O486" s="77">
        <v>969510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239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236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236</v>
      </c>
      <c r="O513" s="77">
        <v>556040</v>
      </c>
    </row>
    <row r="514" spans="1:15" ht="18" customHeight="1">
      <c r="A514" s="93" t="s">
        <v>238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239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236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236</v>
      </c>
      <c r="O540" s="77">
        <v>548610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239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320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236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321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236</v>
      </c>
      <c r="O567" s="77">
        <v>722660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239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322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236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236</v>
      </c>
      <c r="O594" s="77">
        <v>644900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239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236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324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236</v>
      </c>
      <c r="O621" s="77">
        <v>348050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239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260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260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260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260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260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260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260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236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236</v>
      </c>
      <c r="O648" s="77">
        <v>757160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239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327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328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236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236</v>
      </c>
      <c r="O675" s="77">
        <v>681950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239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260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330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235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236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331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332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236</v>
      </c>
      <c r="O702" s="77">
        <v>813880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239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334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335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236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260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336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233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260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260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260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337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260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260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260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233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233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260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236</v>
      </c>
      <c r="O729" s="77">
        <v>766420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239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338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339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236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236</v>
      </c>
      <c r="O756" s="39">
        <v>605420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239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340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341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342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260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260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260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260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260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260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236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260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260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260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236</v>
      </c>
      <c r="O783" s="39">
        <v>882130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239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9</v>
      </c>
      <c r="G786" s="34">
        <f t="shared" ref="G786:G796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345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154</v>
      </c>
      <c r="G797" s="36">
        <f>SUM(G785:G796)</f>
        <v>652.4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236</v>
      </c>
      <c r="O797" s="77">
        <v>648030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23</v>
      </c>
      <c r="G798" s="28"/>
      <c r="H798" s="26"/>
      <c r="I798" s="26"/>
      <c r="J798" s="26"/>
      <c r="K798" s="29"/>
      <c r="L798" s="29"/>
      <c r="M798" s="30" t="str">
        <f t="shared" ref="M798:M809" ca="1" si="177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8</v>
      </c>
      <c r="G799" s="34"/>
      <c r="H799" s="33"/>
      <c r="I799" s="33"/>
      <c r="J799" s="33"/>
      <c r="K799" s="29"/>
      <c r="L799" s="29"/>
      <c r="M799" s="35" t="str">
        <f t="shared" ca="1" si="177"/>
        <v/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>
        <v>19</v>
      </c>
      <c r="G800" s="28"/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/>
      <c r="G801" s="34" t="str">
        <f t="shared" ref="G801:G809" si="179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/>
      <c r="G802" s="28" t="str">
        <f t="shared" si="179"/>
        <v/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/>
      <c r="G803" s="34" t="str">
        <f t="shared" si="179"/>
        <v/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/>
      <c r="G804" s="28" t="str">
        <f t="shared" si="179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/>
      <c r="G805" s="34" t="str">
        <f t="shared" si="179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/>
      <c r="G806" s="28" t="str">
        <f t="shared" si="179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/>
      <c r="G807" s="34" t="str">
        <f t="shared" si="179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/>
      <c r="G808" s="28" t="str">
        <f t="shared" si="179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/>
      <c r="G809" s="34" t="str">
        <f t="shared" si="179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50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204</v>
      </c>
      <c r="G811" s="40">
        <f>G797+G810</f>
        <v>652.4</v>
      </c>
      <c r="H811" s="41"/>
      <c r="I811" s="41"/>
      <c r="J811" s="41"/>
      <c r="K811" s="41"/>
      <c r="L811" s="41"/>
      <c r="M811" s="42">
        <f ca="1">IFERROR(M797+M810,"")</f>
        <v>0.12083333333333324</v>
      </c>
      <c r="N811" s="40" t="s">
        <v>239</v>
      </c>
      <c r="O811" s="82">
        <f>IFERROR(O797+O810,"")</f>
        <v>648030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64" zoomScale="50" zoomScaleNormal="50" workbookViewId="0">
      <selection activeCell="F800" sqref="F80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327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346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236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236</v>
      </c>
      <c r="O27" s="39">
        <v>308500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239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236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39">
        <v>124290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239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348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236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236</v>
      </c>
      <c r="O81" s="39">
        <v>396340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239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349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236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236</v>
      </c>
      <c r="O108" s="39">
        <v>41230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239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236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236</v>
      </c>
      <c r="O135" s="39">
        <v>381250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239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290</v>
      </c>
      <c r="K141" s="29">
        <v>0.71597222222222223</v>
      </c>
      <c r="L141" s="29" t="s">
        <v>351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236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236</v>
      </c>
      <c r="O162" s="39">
        <v>337120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239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353</v>
      </c>
      <c r="N166" s="27" t="s">
        <v>354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236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236</v>
      </c>
      <c r="O189" s="39">
        <v>747210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239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355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236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236</v>
      </c>
      <c r="O216" s="39">
        <v>468430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239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260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260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260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260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236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236</v>
      </c>
      <c r="O243" s="39">
        <v>575930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239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260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260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260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236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356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357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236</v>
      </c>
      <c r="O270" s="39">
        <v>483510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239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236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260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359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236</v>
      </c>
      <c r="O297" s="39">
        <v>487980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239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236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361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236</v>
      </c>
      <c r="O324" s="39">
        <v>609460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239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260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363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260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233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260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350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260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260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260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260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260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236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236</v>
      </c>
      <c r="O351" s="39">
        <v>437940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239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260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260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236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236</v>
      </c>
      <c r="O378" s="39">
        <v>473310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239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260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260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260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260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260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260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260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260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260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236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236</v>
      </c>
      <c r="O405" s="39">
        <v>507450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239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260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260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260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260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260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260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260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233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233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260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260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236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236</v>
      </c>
      <c r="O432" s="39">
        <v>229150</v>
      </c>
    </row>
    <row r="433" spans="1:15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239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236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236</v>
      </c>
      <c r="O459" s="39">
        <v>409980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239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233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233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233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233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236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236</v>
      </c>
      <c r="O486" s="39">
        <v>341550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239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365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233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236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236</v>
      </c>
      <c r="O513" s="39">
        <v>276610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239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236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366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367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368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236</v>
      </c>
      <c r="O540" s="39">
        <v>194990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239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369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236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370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236</v>
      </c>
      <c r="O567" s="39">
        <v>315860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239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371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236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236</v>
      </c>
      <c r="O594" s="39">
        <v>424930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239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372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236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236</v>
      </c>
      <c r="O621" s="39">
        <v>377360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239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236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236</v>
      </c>
      <c r="O648" s="39">
        <v>319500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239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373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329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236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374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236</v>
      </c>
      <c r="O675" s="39">
        <v>323580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239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236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236</v>
      </c>
      <c r="O702" s="39">
        <v>349730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239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236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236</v>
      </c>
      <c r="O729" s="39">
        <v>175420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239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260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260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327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260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260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260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327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260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260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260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260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260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260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236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375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376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236</v>
      </c>
      <c r="O756" s="39">
        <v>154160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239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377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327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260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260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260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260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378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236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236</v>
      </c>
      <c r="O783" s="39">
        <v>265740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239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11</v>
      </c>
      <c r="G786" s="34">
        <f t="shared" ref="G786:G796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345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379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8</v>
      </c>
      <c r="G791" s="34">
        <f t="shared" si="176"/>
        <v>33.6</v>
      </c>
      <c r="H791" s="33" t="s">
        <v>16</v>
      </c>
      <c r="I791" s="33" t="s">
        <v>141</v>
      </c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327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94</v>
      </c>
      <c r="G797" s="36">
        <f>SUM(G785:G796)</f>
        <v>400.4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236</v>
      </c>
      <c r="O797" s="39">
        <v>419450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4</v>
      </c>
      <c r="G798" s="28"/>
      <c r="H798" s="26" t="s">
        <v>20</v>
      </c>
      <c r="I798" s="26" t="s">
        <v>47</v>
      </c>
      <c r="J798" s="26" t="s">
        <v>36</v>
      </c>
      <c r="K798" s="29">
        <v>0.90277777777777779</v>
      </c>
      <c r="L798" s="29"/>
      <c r="M798" s="30">
        <f t="shared" ref="M798:M809" ca="1" si="177">IFERROR(IF(K798="","",IF(L798="",MOD(NOW()-K798,1),IF(L798&gt;=K798,L798-K798,L798+1-K798))),"")</f>
        <v>6.5505786988069303E-3</v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2</v>
      </c>
      <c r="G799" s="34"/>
      <c r="H799" s="33"/>
      <c r="I799" s="33"/>
      <c r="J799" s="33"/>
      <c r="K799" s="29"/>
      <c r="L799" s="29"/>
      <c r="M799" s="35" t="str">
        <f t="shared" ca="1" si="177"/>
        <v/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>
        <v>3</v>
      </c>
      <c r="G800" s="28"/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/>
      <c r="G801" s="34" t="str">
        <f t="shared" ref="G801:G809" si="179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/>
      <c r="G802" s="28" t="str">
        <f t="shared" si="179"/>
        <v/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/>
      <c r="G803" s="34" t="str">
        <f t="shared" si="179"/>
        <v/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/>
      <c r="G804" s="28" t="str">
        <f t="shared" si="179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/>
      <c r="G805" s="34" t="str">
        <f t="shared" si="179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/>
      <c r="G806" s="28" t="str">
        <f t="shared" si="179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/>
      <c r="G807" s="34" t="str">
        <f t="shared" si="179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/>
      <c r="G808" s="28" t="str">
        <f t="shared" si="179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/>
      <c r="G809" s="34" t="str">
        <f t="shared" si="179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9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6.5505786988069303E-3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103</v>
      </c>
      <c r="G811" s="40">
        <f>G797+G810</f>
        <v>400.4</v>
      </c>
      <c r="H811" s="41"/>
      <c r="I811" s="41"/>
      <c r="J811" s="41"/>
      <c r="K811" s="41"/>
      <c r="L811" s="41"/>
      <c r="M811" s="42">
        <f ca="1">IFERROR(M797+M810,"")</f>
        <v>0.10932835647658462</v>
      </c>
      <c r="N811" s="40" t="s">
        <v>239</v>
      </c>
      <c r="O811" s="43">
        <f>IFERROR(O797+O810,"")</f>
        <v>419450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70" activePane="bottomLeft" state="frozen"/>
      <selection pane="bottomLeft" activeCell="F801" sqref="F80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236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236</v>
      </c>
      <c r="O27" s="39">
        <v>202230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239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236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236</v>
      </c>
      <c r="O54" s="39">
        <v>473910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239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384</v>
      </c>
      <c r="L58" s="29">
        <v>0.54097222222222219</v>
      </c>
      <c r="M58" s="30" t="str">
        <f t="shared" ca="1" si="13"/>
        <v/>
      </c>
      <c r="N58" s="27" t="s">
        <v>385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236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327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386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389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236</v>
      </c>
      <c r="O81" s="39">
        <v>565120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239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236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236</v>
      </c>
      <c r="O108" s="39">
        <v>558590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239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236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0.66002280092652654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0.85932835648208217</v>
      </c>
      <c r="N135" s="36" t="s">
        <v>236</v>
      </c>
      <c r="O135" s="39">
        <v>729290</v>
      </c>
    </row>
    <row r="136" spans="1:18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1.2266894675931932</v>
      </c>
      <c r="N136" s="40" t="s">
        <v>239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236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236</v>
      </c>
      <c r="O162" s="39">
        <v>697320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239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260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396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236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236</v>
      </c>
      <c r="O189" s="39">
        <v>973580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239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236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399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236</v>
      </c>
      <c r="O216" s="45">
        <v>1060630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239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236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236</v>
      </c>
      <c r="O243" s="39">
        <v>982340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239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236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236</v>
      </c>
      <c r="O270" s="39">
        <v>1208450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239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236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236</v>
      </c>
      <c r="O297" s="39">
        <v>1049090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239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236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236</v>
      </c>
      <c r="O324" s="39">
        <v>1063720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239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260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260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260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260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260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260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260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260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260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260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236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406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236</v>
      </c>
      <c r="O351" s="39">
        <v>696140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239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350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236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260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260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260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236</v>
      </c>
      <c r="O378" s="39">
        <v>704750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239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409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396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236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236</v>
      </c>
      <c r="O405" s="39">
        <v>958130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239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236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236</v>
      </c>
      <c r="O432" s="39">
        <v>605220</v>
      </c>
    </row>
    <row r="433" spans="1:17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239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236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236</v>
      </c>
      <c r="O459" s="39">
        <v>615330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239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413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414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389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236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236</v>
      </c>
      <c r="O486" s="39">
        <v>1120830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239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389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233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233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233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260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260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260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260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260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236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415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236</v>
      </c>
      <c r="O513" s="39">
        <v>416720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239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416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417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236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236</v>
      </c>
      <c r="O540" s="39">
        <v>404370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239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418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419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420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236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260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421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260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260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260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260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260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236</v>
      </c>
      <c r="O567" s="39">
        <v>499820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239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422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236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260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260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260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260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260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260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260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260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236</v>
      </c>
      <c r="O594" s="39">
        <v>572580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239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423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236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260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260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236</v>
      </c>
      <c r="O621" s="39">
        <v>414860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239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424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236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425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236</v>
      </c>
      <c r="O648" s="39">
        <v>284850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239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426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236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427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236</v>
      </c>
      <c r="O675" s="39">
        <v>486620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239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260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236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428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429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236</v>
      </c>
      <c r="O702" s="39">
        <v>988790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239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285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327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236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430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236</v>
      </c>
      <c r="O729" s="39">
        <v>852470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239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431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432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236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236</v>
      </c>
      <c r="O756" s="39">
        <v>545970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239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342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236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429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433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236</v>
      </c>
      <c r="O783" s="39">
        <v>747380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239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796" si="176">IF(F786="","",IF(E786="PC 17",F786*4.2,IF(E786="PC 19",F786*5,"")))</f>
        <v/>
      </c>
      <c r="H786" s="26"/>
      <c r="I786" s="26"/>
      <c r="J786" s="26"/>
      <c r="K786" s="29"/>
      <c r="L786" s="29"/>
      <c r="M786" s="30" t="str">
        <f t="shared" ca="1" si="174"/>
        <v/>
      </c>
      <c r="N786" s="27" t="s">
        <v>434</v>
      </c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0.67708333333333337</v>
      </c>
      <c r="M787" s="35">
        <f t="shared" ca="1" si="174"/>
        <v>6.597222222222221E-2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221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 t="s">
        <v>435</v>
      </c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 t="s">
        <v>436</v>
      </c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0</v>
      </c>
      <c r="G796" s="34">
        <f t="shared" si="176"/>
        <v>0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0.44930555555555546</v>
      </c>
      <c r="N797" s="36" t="s">
        <v>236</v>
      </c>
      <c r="O797" s="39">
        <v>99040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0</v>
      </c>
      <c r="G798" s="28"/>
      <c r="H798" s="26" t="s">
        <v>18</v>
      </c>
      <c r="I798" s="26" t="s">
        <v>75</v>
      </c>
      <c r="J798" s="26" t="s">
        <v>100</v>
      </c>
      <c r="K798" s="29">
        <v>0.79166666666666663</v>
      </c>
      <c r="L798" s="29">
        <v>0.89583333333333337</v>
      </c>
      <c r="M798" s="30">
        <f t="shared" ref="M798:M809" ca="1" si="177">IFERROR(IF(K798="","",IF(L798="",MOD(NOW()-K798,1),IF(L798&gt;=K798,L798-K798,L798+1-K798))),"")</f>
        <v>0.10416666666666674</v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0</v>
      </c>
      <c r="G799" s="34"/>
      <c r="H799" s="33"/>
      <c r="I799" s="33"/>
      <c r="J799" s="33"/>
      <c r="K799" s="29"/>
      <c r="L799" s="29"/>
      <c r="M799" s="35" t="str">
        <f t="shared" ca="1" si="177"/>
        <v/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>
        <v>11</v>
      </c>
      <c r="G800" s="28"/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/>
      <c r="G801" s="34" t="str">
        <f t="shared" ref="G801:G809" si="179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/>
      <c r="G802" s="28" t="str">
        <f t="shared" si="179"/>
        <v/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/>
      <c r="G803" s="34" t="str">
        <f t="shared" si="179"/>
        <v/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/>
      <c r="G804" s="28" t="str">
        <f t="shared" si="179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/>
      <c r="G805" s="34" t="str">
        <f t="shared" si="179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/>
      <c r="G806" s="28" t="str">
        <f t="shared" si="179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/>
      <c r="G807" s="34" t="str">
        <f t="shared" si="179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/>
      <c r="G808" s="28" t="str">
        <f t="shared" si="179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/>
      <c r="G809" s="34" t="str">
        <f t="shared" si="179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11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0.10416666666666674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33</v>
      </c>
      <c r="G811" s="40">
        <f>G797+G810</f>
        <v>92.4</v>
      </c>
      <c r="H811" s="41"/>
      <c r="I811" s="41"/>
      <c r="J811" s="41"/>
      <c r="K811" s="63"/>
      <c r="L811" s="63"/>
      <c r="M811" s="42">
        <f ca="1">IFERROR(M797+M810,"")</f>
        <v>0.55347222222222214</v>
      </c>
      <c r="N811" s="40" t="s">
        <v>239</v>
      </c>
      <c r="O811" s="43">
        <f>IFERROR(O797+O810,"")</f>
        <v>99040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2026-07-31T01:49:59Z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