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293" documentId="13_ncr:1_{A6DBCFB4-28D9-4249-9038-216934055CA6}" xr6:coauthVersionLast="47" xr6:coauthVersionMax="47" xr10:uidLastSave="{D24B96C7-E219-44BE-8C0E-8214F8311EC8}"/>
  <bookViews>
    <workbookView xWindow="-120" yWindow="-12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6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7" i="1"/>
  <c r="J29" i="1"/>
  <c r="J30" i="1"/>
  <c r="J31" i="1"/>
  <c r="J32" i="1"/>
  <c r="J33" i="1"/>
  <c r="J3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676" i="5" l="1"/>
  <c r="K595" i="5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541" i="5"/>
  <c r="T541" i="5" s="1"/>
  <c r="J622" i="6"/>
  <c r="T622" i="6" s="1"/>
  <c r="H26" i="1" s="1"/>
  <c r="H33" i="1"/>
  <c r="H31" i="1"/>
  <c r="H30" i="1"/>
  <c r="H25" i="1"/>
  <c r="H23" i="1"/>
  <c r="H22" i="1"/>
  <c r="H20" i="1"/>
  <c r="H18" i="1"/>
  <c r="H16" i="1"/>
  <c r="H34" i="1"/>
  <c r="H32" i="1"/>
  <c r="H29" i="1"/>
  <c r="H27" i="1"/>
  <c r="H21" i="1"/>
  <c r="H19" i="1"/>
  <c r="H17" i="1"/>
  <c r="H15" i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<sst xmlns="http://schemas.openxmlformats.org/spreadsheetml/2006/main" count="11048" uniqueCount="447">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</sst>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4" width="8.5703125" customWidth="1"/>
  </cols>
  <sheetData>
    <row r="1" spans="1:12" ht="31.5" customHeight="1">
      <c r="A1" s="162" t="s">
        <v>0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</row>
    <row r="2" spans="1:12" ht="30" customHeight="1">
      <c r="A2" s="163"/>
      <c r="B2" s="16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2220720</v>
      </c>
      <c r="D28" s="19">
        <f>IFERROR('Linha 1'!S676,"")</f>
        <v>261620</v>
      </c>
      <c r="E28" s="19">
        <f>IFERROR('Linha 2'!S676,"")</f>
        <v>24120</v>
      </c>
      <c r="F28" s="19">
        <f>IFERROR('Linha 3'!S676,"")</f>
        <v>597370</v>
      </c>
      <c r="G28" s="20">
        <f t="shared" si="0"/>
        <v>883110</v>
      </c>
      <c r="H28" s="21">
        <f>IFERROR('Linha 1'!T676+'Linha 2'!T676+'Linha 3'!T676,0)</f>
        <v>185.45309999999998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4" t="s">
        <v>16</v>
      </c>
      <c r="B35" s="164"/>
      <c r="C35" s="30">
        <f t="shared" ref="C35:I35" si="1">IFERROR(SUM(C4:C34),"")</f>
        <v>90445770</v>
      </c>
      <c r="D35" s="30">
        <f t="shared" si="1"/>
        <v>28186290</v>
      </c>
      <c r="E35" s="30">
        <f t="shared" si="1"/>
        <v>15912690</v>
      </c>
      <c r="F35" s="30">
        <f t="shared" si="1"/>
        <v>38210940</v>
      </c>
      <c r="G35" s="30">
        <f t="shared" si="1"/>
        <v>82309920</v>
      </c>
      <c r="H35" s="31">
        <f t="shared" si="1"/>
        <v>8863.8676946384148</v>
      </c>
      <c r="I35" s="31">
        <f t="shared" si="1"/>
        <v>9156.869999999999</v>
      </c>
      <c r="J35" s="32">
        <f>IFERROR(IF(H35&gt;I35,MAX(0,2-H35/I35),H35/I35),"")</f>
        <v>0.96800191491616849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r3XIo71h0/l39sS9U5Ji6OyAkkljO6Xc89dheQfNXAJ7ZWvgaiVsmf/cxxO0PPMSrf7cCW/vu4RjHJoK+2mC1g==" saltValue="Rbm/NLSQOx0VbKKqbXZYE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5" t="s">
        <v>17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6"/>
      <c r="N1" s="167" t="s">
        <v>18</v>
      </c>
      <c r="O1" s="167"/>
      <c r="P1" s="167"/>
      <c r="Q1" s="167"/>
      <c r="R1" s="167"/>
    </row>
    <row r="2" spans="1:18" ht="4.5" customHeight="1">
      <c r="M2" s="16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6"/>
      <c r="N61" s="39"/>
      <c r="O61" s="39"/>
      <c r="P61" s="39" t="s">
        <v>227</v>
      </c>
      <c r="Q61" s="39"/>
      <c r="R61" s="39"/>
    </row>
    <row r="62" spans="1:18" ht="15" customHeight="1">
      <c r="M62" s="166"/>
      <c r="N62" s="36"/>
      <c r="O62" s="36"/>
      <c r="P62" s="36" t="s">
        <v>228</v>
      </c>
      <c r="Q62" s="36"/>
      <c r="R62" s="36"/>
    </row>
    <row r="63" spans="1:18" ht="15" customHeight="1">
      <c r="M63" s="166"/>
      <c r="N63" s="39"/>
      <c r="O63" s="39"/>
      <c r="P63" s="39" t="s">
        <v>229</v>
      </c>
      <c r="Q63" s="39"/>
      <c r="R63" s="39"/>
    </row>
    <row r="64" spans="1:18" ht="15" customHeight="1">
      <c r="M64" s="166"/>
      <c r="N64" s="36"/>
      <c r="O64" s="36"/>
      <c r="P64" s="36" t="s">
        <v>230</v>
      </c>
      <c r="Q64" s="36"/>
      <c r="R64" s="36"/>
    </row>
    <row r="65" spans="13:18" ht="15" customHeight="1">
      <c r="M65" s="166"/>
      <c r="N65" s="39"/>
      <c r="O65" s="39"/>
      <c r="P65" s="39" t="s">
        <v>231</v>
      </c>
      <c r="Q65" s="39"/>
      <c r="R65" s="39"/>
    </row>
    <row r="66" spans="13:18" ht="15" customHeight="1">
      <c r="M66" s="166"/>
      <c r="N66" s="36"/>
      <c r="O66" s="36"/>
      <c r="P66" s="36" t="s">
        <v>232</v>
      </c>
      <c r="Q66" s="36"/>
      <c r="R66" s="36"/>
    </row>
    <row r="67" spans="13:18" ht="15" customHeight="1">
      <c r="M67" s="166"/>
      <c r="N67" s="39"/>
      <c r="O67" s="39"/>
      <c r="P67" s="39" t="s">
        <v>233</v>
      </c>
      <c r="Q67" s="39"/>
      <c r="R67" s="39"/>
    </row>
    <row r="68" spans="13:18" ht="15" customHeight="1">
      <c r="M68" s="166"/>
      <c r="N68" s="36"/>
      <c r="O68" s="36"/>
      <c r="P68" s="36" t="s">
        <v>234</v>
      </c>
      <c r="Q68" s="36"/>
      <c r="R68" s="36"/>
    </row>
    <row r="69" spans="13:18" ht="15" customHeight="1">
      <c r="M69" s="166"/>
      <c r="N69" s="39"/>
      <c r="O69" s="39"/>
      <c r="P69" s="39" t="s">
        <v>235</v>
      </c>
      <c r="Q69" s="39"/>
      <c r="R69" s="39"/>
    </row>
    <row r="70" spans="13:18" ht="15" customHeight="1">
      <c r="M70" s="166"/>
      <c r="N70" s="36"/>
      <c r="O70" s="36"/>
      <c r="P70" s="36" t="s">
        <v>236</v>
      </c>
      <c r="Q70" s="36"/>
      <c r="R70" s="36"/>
    </row>
    <row r="71" spans="13:18" ht="15" customHeight="1">
      <c r="M71" s="166"/>
      <c r="N71" s="39"/>
      <c r="O71" s="39"/>
      <c r="P71" s="39" t="s">
        <v>237</v>
      </c>
      <c r="Q71" s="39"/>
      <c r="R71" s="39"/>
    </row>
    <row r="72" spans="13:18" ht="15" customHeight="1">
      <c r="M72" s="166"/>
      <c r="N72" s="36"/>
      <c r="O72" s="36"/>
      <c r="P72" s="36" t="s">
        <v>238</v>
      </c>
      <c r="Q72" s="36"/>
      <c r="R72" s="36"/>
    </row>
    <row r="73" spans="13:18" ht="15" customHeight="1">
      <c r="M73" s="166"/>
      <c r="N73" s="39"/>
      <c r="O73" s="39"/>
      <c r="P73" s="39" t="s">
        <v>239</v>
      </c>
      <c r="Q73" s="39"/>
      <c r="R73" s="39"/>
    </row>
    <row r="74" spans="13:18" ht="15" customHeight="1">
      <c r="M74" s="166"/>
      <c r="N74" s="36"/>
      <c r="O74" s="36"/>
      <c r="P74" s="36" t="s">
        <v>240</v>
      </c>
      <c r="Q74" s="36"/>
      <c r="R74" s="36"/>
    </row>
    <row r="75" spans="13:18" ht="15" customHeight="1">
      <c r="M75" s="16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8" t="s">
        <v>253</v>
      </c>
      <c r="B4" s="168"/>
      <c r="C4" s="168"/>
      <c r="D4" s="16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8" t="s">
        <v>253</v>
      </c>
      <c r="B7" s="168"/>
      <c r="C7" s="168"/>
      <c r="D7" s="16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8" t="s">
        <v>253</v>
      </c>
      <c r="B10" s="168"/>
      <c r="C10" s="168"/>
      <c r="D10" s="16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8" t="s">
        <v>253</v>
      </c>
      <c r="B13" s="168"/>
      <c r="C13" s="168"/>
      <c r="D13" s="16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8" t="s">
        <v>253</v>
      </c>
      <c r="B16" s="168"/>
      <c r="C16" s="168"/>
      <c r="D16" s="16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8" t="s">
        <v>253</v>
      </c>
      <c r="B19" s="168"/>
      <c r="C19" s="168"/>
      <c r="D19" s="16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8" t="s">
        <v>253</v>
      </c>
      <c r="B22" s="168"/>
      <c r="C22" s="168"/>
      <c r="D22" s="16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8" t="s">
        <v>253</v>
      </c>
      <c r="B25" s="168"/>
      <c r="C25" s="168"/>
      <c r="D25" s="16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8" t="s">
        <v>253</v>
      </c>
      <c r="B28" s="168"/>
      <c r="C28" s="168"/>
      <c r="D28" s="16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8" t="s">
        <v>253</v>
      </c>
      <c r="B31" s="168"/>
      <c r="C31" s="168"/>
      <c r="D31" s="16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8" t="s">
        <v>253</v>
      </c>
      <c r="B34" s="168"/>
      <c r="C34" s="168"/>
      <c r="D34" s="16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8" t="s">
        <v>253</v>
      </c>
      <c r="B37" s="168"/>
      <c r="C37" s="168"/>
      <c r="D37" s="16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8" t="s">
        <v>253</v>
      </c>
      <c r="B40" s="168"/>
      <c r="C40" s="168"/>
      <c r="D40" s="16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8" t="s">
        <v>253</v>
      </c>
      <c r="B43" s="168"/>
      <c r="C43" s="168"/>
      <c r="D43" s="16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8" t="s">
        <v>253</v>
      </c>
      <c r="B46" s="168"/>
      <c r="C46" s="168"/>
      <c r="D46" s="16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8" t="s">
        <v>253</v>
      </c>
      <c r="B49" s="168"/>
      <c r="C49" s="168"/>
      <c r="D49" s="16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8" t="s">
        <v>253</v>
      </c>
      <c r="B52" s="168"/>
      <c r="C52" s="168"/>
      <c r="D52" s="16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8" t="s">
        <v>253</v>
      </c>
      <c r="B55" s="168"/>
      <c r="C55" s="168"/>
      <c r="D55" s="16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8" t="s">
        <v>253</v>
      </c>
      <c r="B58" s="168"/>
      <c r="C58" s="168"/>
      <c r="D58" s="16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8" t="s">
        <v>253</v>
      </c>
      <c r="B61" s="168"/>
      <c r="C61" s="168"/>
      <c r="D61" s="16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8" t="s">
        <v>253</v>
      </c>
      <c r="B64" s="168"/>
      <c r="C64" s="168"/>
      <c r="D64" s="16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8" t="s">
        <v>253</v>
      </c>
      <c r="B67" s="168"/>
      <c r="C67" s="168"/>
      <c r="D67" s="16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8" t="s">
        <v>253</v>
      </c>
      <c r="B70" s="168"/>
      <c r="C70" s="168"/>
      <c r="D70" s="16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8" t="s">
        <v>253</v>
      </c>
      <c r="B73" s="168"/>
      <c r="C73" s="168"/>
      <c r="D73" s="16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8" t="s">
        <v>253</v>
      </c>
      <c r="B76" s="168"/>
      <c r="C76" s="168"/>
      <c r="D76" s="16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8" t="s">
        <v>253</v>
      </c>
      <c r="B79" s="168"/>
      <c r="C79" s="168"/>
      <c r="D79" s="16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8" t="s">
        <v>253</v>
      </c>
      <c r="B82" s="168"/>
      <c r="C82" s="168"/>
      <c r="D82" s="16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8" t="s">
        <v>253</v>
      </c>
      <c r="B85" s="168"/>
      <c r="C85" s="168"/>
      <c r="D85" s="16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8" t="s">
        <v>253</v>
      </c>
      <c r="B88" s="168"/>
      <c r="C88" s="168"/>
      <c r="D88" s="16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8" t="s">
        <v>253</v>
      </c>
      <c r="B91" s="168"/>
      <c r="C91" s="168"/>
      <c r="D91" s="16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8" t="s">
        <v>253</v>
      </c>
      <c r="B94" s="168"/>
      <c r="C94" s="168"/>
      <c r="D94" s="16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42" activePane="bottomLeft" state="frozen"/>
      <selection pane="bottomLeft" activeCell="I664" sqref="I664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0" t="s">
        <v>264</v>
      </c>
      <c r="B14" s="160"/>
      <c r="C14" s="160"/>
      <c r="D14" s="160"/>
      <c r="E14" s="16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0" t="s">
        <v>267</v>
      </c>
      <c r="B27" s="160"/>
      <c r="C27" s="160"/>
      <c r="D27" s="160"/>
      <c r="E27" s="16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1" t="s">
        <v>253</v>
      </c>
      <c r="B28" s="161"/>
      <c r="C28" s="161"/>
      <c r="D28" s="161"/>
      <c r="E28" s="16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0" t="s">
        <v>264</v>
      </c>
      <c r="B41" s="160"/>
      <c r="C41" s="160"/>
      <c r="D41" s="160"/>
      <c r="E41" s="16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0" t="s">
        <v>267</v>
      </c>
      <c r="B54" s="160"/>
      <c r="C54" s="160"/>
      <c r="D54" s="160"/>
      <c r="E54" s="16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1" t="s">
        <v>253</v>
      </c>
      <c r="B55" s="161"/>
      <c r="C55" s="161"/>
      <c r="D55" s="161"/>
      <c r="E55" s="16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0" t="s">
        <v>264</v>
      </c>
      <c r="B68" s="160"/>
      <c r="C68" s="160"/>
      <c r="D68" s="160"/>
      <c r="E68" s="16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0" t="s">
        <v>267</v>
      </c>
      <c r="B81" s="160"/>
      <c r="C81" s="160"/>
      <c r="D81" s="160"/>
      <c r="E81" s="16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1" t="s">
        <v>253</v>
      </c>
      <c r="B82" s="161"/>
      <c r="C82" s="161"/>
      <c r="D82" s="161"/>
      <c r="E82" s="16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0" t="s">
        <v>264</v>
      </c>
      <c r="B95" s="160"/>
      <c r="C95" s="160"/>
      <c r="D95" s="160"/>
      <c r="E95" s="16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0" t="s">
        <v>267</v>
      </c>
      <c r="B108" s="160"/>
      <c r="C108" s="160"/>
      <c r="D108" s="160"/>
      <c r="E108" s="16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1" t="s">
        <v>253</v>
      </c>
      <c r="B109" s="161"/>
      <c r="C109" s="161"/>
      <c r="D109" s="161"/>
      <c r="E109" s="16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0" t="s">
        <v>264</v>
      </c>
      <c r="B122" s="160"/>
      <c r="C122" s="160"/>
      <c r="D122" s="160"/>
      <c r="E122" s="16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0" t="s">
        <v>267</v>
      </c>
      <c r="B135" s="160"/>
      <c r="C135" s="160"/>
      <c r="D135" s="160"/>
      <c r="E135" s="16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1" t="s">
        <v>253</v>
      </c>
      <c r="B136" s="161"/>
      <c r="C136" s="161"/>
      <c r="D136" s="161"/>
      <c r="E136" s="16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0" t="s">
        <v>264</v>
      </c>
      <c r="B149" s="160"/>
      <c r="C149" s="160"/>
      <c r="D149" s="160"/>
      <c r="E149" s="16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0" t="s">
        <v>267</v>
      </c>
      <c r="B162" s="160"/>
      <c r="C162" s="160"/>
      <c r="D162" s="160"/>
      <c r="E162" s="16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1" t="s">
        <v>253</v>
      </c>
      <c r="B163" s="161"/>
      <c r="C163" s="161"/>
      <c r="D163" s="161"/>
      <c r="E163" s="16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0" t="s">
        <v>264</v>
      </c>
      <c r="B176" s="160"/>
      <c r="C176" s="160"/>
      <c r="D176" s="160"/>
      <c r="E176" s="16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0" t="s">
        <v>267</v>
      </c>
      <c r="B189" s="160"/>
      <c r="C189" s="160"/>
      <c r="D189" s="160"/>
      <c r="E189" s="16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1" t="s">
        <v>253</v>
      </c>
      <c r="B190" s="161"/>
      <c r="C190" s="161"/>
      <c r="D190" s="161"/>
      <c r="E190" s="16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0" t="s">
        <v>264</v>
      </c>
      <c r="B203" s="160"/>
      <c r="C203" s="160"/>
      <c r="D203" s="160"/>
      <c r="E203" s="16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0" t="s">
        <v>267</v>
      </c>
      <c r="B216" s="160"/>
      <c r="C216" s="160"/>
      <c r="D216" s="160"/>
      <c r="E216" s="16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1" t="s">
        <v>253</v>
      </c>
      <c r="B217" s="161"/>
      <c r="C217" s="161"/>
      <c r="D217" s="161"/>
      <c r="E217" s="16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0" t="s">
        <v>264</v>
      </c>
      <c r="B230" s="160"/>
      <c r="C230" s="160"/>
      <c r="D230" s="160"/>
      <c r="E230" s="16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0" t="s">
        <v>267</v>
      </c>
      <c r="B243" s="160"/>
      <c r="C243" s="160"/>
      <c r="D243" s="160"/>
      <c r="E243" s="16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1" t="s">
        <v>253</v>
      </c>
      <c r="B244" s="161"/>
      <c r="C244" s="161"/>
      <c r="D244" s="161"/>
      <c r="E244" s="16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0" t="s">
        <v>264</v>
      </c>
      <c r="B257" s="160"/>
      <c r="C257" s="160"/>
      <c r="D257" s="160"/>
      <c r="E257" s="16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0" t="s">
        <v>267</v>
      </c>
      <c r="B270" s="160"/>
      <c r="C270" s="160"/>
      <c r="D270" s="160"/>
      <c r="E270" s="16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1" t="s">
        <v>253</v>
      </c>
      <c r="B271" s="161"/>
      <c r="C271" s="161"/>
      <c r="D271" s="161"/>
      <c r="E271" s="16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0" t="s">
        <v>264</v>
      </c>
      <c r="B284" s="160"/>
      <c r="C284" s="160"/>
      <c r="D284" s="160"/>
      <c r="E284" s="16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0" t="s">
        <v>267</v>
      </c>
      <c r="B297" s="160"/>
      <c r="C297" s="160"/>
      <c r="D297" s="160"/>
      <c r="E297" s="16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1" t="s">
        <v>253</v>
      </c>
      <c r="B298" s="161"/>
      <c r="C298" s="161"/>
      <c r="D298" s="161"/>
      <c r="E298" s="16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0" t="s">
        <v>264</v>
      </c>
      <c r="B311" s="160"/>
      <c r="C311" s="160"/>
      <c r="D311" s="160"/>
      <c r="E311" s="16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0" t="s">
        <v>267</v>
      </c>
      <c r="B324" s="160"/>
      <c r="C324" s="160"/>
      <c r="D324" s="160"/>
      <c r="E324" s="16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1" t="s">
        <v>253</v>
      </c>
      <c r="B325" s="161"/>
      <c r="C325" s="161"/>
      <c r="D325" s="161"/>
      <c r="E325" s="16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0" t="s">
        <v>264</v>
      </c>
      <c r="B338" s="160"/>
      <c r="C338" s="160"/>
      <c r="D338" s="160"/>
      <c r="E338" s="16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0" t="s">
        <v>267</v>
      </c>
      <c r="B351" s="160"/>
      <c r="C351" s="160"/>
      <c r="D351" s="160"/>
      <c r="E351" s="16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1" t="s">
        <v>253</v>
      </c>
      <c r="B352" s="161"/>
      <c r="C352" s="161"/>
      <c r="D352" s="161"/>
      <c r="E352" s="16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0" t="s">
        <v>264</v>
      </c>
      <c r="B365" s="160"/>
      <c r="C365" s="160"/>
      <c r="D365" s="160"/>
      <c r="E365" s="16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0" t="s">
        <v>267</v>
      </c>
      <c r="B378" s="160"/>
      <c r="C378" s="160"/>
      <c r="D378" s="160"/>
      <c r="E378" s="16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1" t="s">
        <v>253</v>
      </c>
      <c r="B379" s="161"/>
      <c r="C379" s="161"/>
      <c r="D379" s="161"/>
      <c r="E379" s="16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0" t="s">
        <v>264</v>
      </c>
      <c r="B392" s="160"/>
      <c r="C392" s="160"/>
      <c r="D392" s="160"/>
      <c r="E392" s="16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0" t="s">
        <v>267</v>
      </c>
      <c r="B405" s="160"/>
      <c r="C405" s="160"/>
      <c r="D405" s="160"/>
      <c r="E405" s="16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1" t="s">
        <v>253</v>
      </c>
      <c r="B406" s="161"/>
      <c r="C406" s="161"/>
      <c r="D406" s="161"/>
      <c r="E406" s="16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0" t="s">
        <v>264</v>
      </c>
      <c r="B419" s="160"/>
      <c r="C419" s="160"/>
      <c r="D419" s="160"/>
      <c r="E419" s="16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0" t="s">
        <v>267</v>
      </c>
      <c r="B432" s="160"/>
      <c r="C432" s="160"/>
      <c r="D432" s="160"/>
      <c r="E432" s="16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1" t="s">
        <v>253</v>
      </c>
      <c r="B433" s="161"/>
      <c r="C433" s="161"/>
      <c r="D433" s="161"/>
      <c r="E433" s="16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0" t="s">
        <v>264</v>
      </c>
      <c r="B446" s="160"/>
      <c r="C446" s="160"/>
      <c r="D446" s="160"/>
      <c r="E446" s="16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0" t="s">
        <v>267</v>
      </c>
      <c r="B459" s="160"/>
      <c r="C459" s="160"/>
      <c r="D459" s="160"/>
      <c r="E459" s="16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1" t="s">
        <v>253</v>
      </c>
      <c r="B460" s="161"/>
      <c r="C460" s="161"/>
      <c r="D460" s="161"/>
      <c r="E460" s="16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0" t="s">
        <v>264</v>
      </c>
      <c r="B473" s="160"/>
      <c r="C473" s="160"/>
      <c r="D473" s="160"/>
      <c r="E473" s="16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0" t="s">
        <v>267</v>
      </c>
      <c r="B486" s="160"/>
      <c r="C486" s="160"/>
      <c r="D486" s="160"/>
      <c r="E486" s="16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1" t="s">
        <v>253</v>
      </c>
      <c r="B487" s="161"/>
      <c r="C487" s="161"/>
      <c r="D487" s="161"/>
      <c r="E487" s="16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0" t="s">
        <v>264</v>
      </c>
      <c r="B500" s="160"/>
      <c r="C500" s="160"/>
      <c r="D500" s="160"/>
      <c r="E500" s="16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0" t="s">
        <v>267</v>
      </c>
      <c r="B513" s="160"/>
      <c r="C513" s="160"/>
      <c r="D513" s="160"/>
      <c r="E513" s="16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1" t="s">
        <v>253</v>
      </c>
      <c r="B514" s="161"/>
      <c r="C514" s="161"/>
      <c r="D514" s="161"/>
      <c r="E514" s="16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0" t="s">
        <v>264</v>
      </c>
      <c r="B527" s="160"/>
      <c r="C527" s="160"/>
      <c r="D527" s="160"/>
      <c r="E527" s="16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0" t="s">
        <v>267</v>
      </c>
      <c r="B540" s="160"/>
      <c r="C540" s="160"/>
      <c r="D540" s="160"/>
      <c r="E540" s="16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1" t="s">
        <v>253</v>
      </c>
      <c r="B541" s="161"/>
      <c r="C541" s="161"/>
      <c r="D541" s="161"/>
      <c r="E541" s="16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0" t="s">
        <v>264</v>
      </c>
      <c r="B554" s="160"/>
      <c r="C554" s="160"/>
      <c r="D554" s="160"/>
      <c r="E554" s="16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0" t="s">
        <v>267</v>
      </c>
      <c r="B567" s="160"/>
      <c r="C567" s="160"/>
      <c r="D567" s="160"/>
      <c r="E567" s="16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1" t="s">
        <v>253</v>
      </c>
      <c r="B568" s="161"/>
      <c r="C568" s="161"/>
      <c r="D568" s="161"/>
      <c r="E568" s="16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0" t="s">
        <v>264</v>
      </c>
      <c r="B581" s="160"/>
      <c r="C581" s="160"/>
      <c r="D581" s="160"/>
      <c r="E581" s="16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0" t="s">
        <v>267</v>
      </c>
      <c r="B594" s="160"/>
      <c r="C594" s="160"/>
      <c r="D594" s="160"/>
      <c r="E594" s="16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1" t="s">
        <v>253</v>
      </c>
      <c r="B595" s="161"/>
      <c r="C595" s="161"/>
      <c r="D595" s="161"/>
      <c r="E595" s="16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0" t="s">
        <v>264</v>
      </c>
      <c r="B608" s="160"/>
      <c r="C608" s="160"/>
      <c r="D608" s="160"/>
      <c r="E608" s="16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0" t="s">
        <v>267</v>
      </c>
      <c r="B621" s="160"/>
      <c r="C621" s="160"/>
      <c r="D621" s="160"/>
      <c r="E621" s="16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1" t="s">
        <v>253</v>
      </c>
      <c r="B622" s="161"/>
      <c r="C622" s="161"/>
      <c r="D622" s="161"/>
      <c r="E622" s="16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0" t="s">
        <v>264</v>
      </c>
      <c r="B635" s="160"/>
      <c r="C635" s="160"/>
      <c r="D635" s="160"/>
      <c r="E635" s="16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0" t="s">
        <v>267</v>
      </c>
      <c r="B648" s="160"/>
      <c r="C648" s="160"/>
      <c r="D648" s="160"/>
      <c r="E648" s="16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1" t="s">
        <v>253</v>
      </c>
      <c r="B649" s="161"/>
      <c r="C649" s="161"/>
      <c r="D649" s="161"/>
      <c r="E649" s="16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0" t="s">
        <v>264</v>
      </c>
      <c r="B662" s="160"/>
      <c r="C662" s="160"/>
      <c r="D662" s="160"/>
      <c r="E662" s="16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/>
      <c r="K664" s="64">
        <v>0.15138888888888888</v>
      </c>
      <c r="L664" s="64"/>
      <c r="M664" s="65">
        <f t="shared" ca="1" si="144"/>
        <v>4.6018518332857639E-4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/>
      <c r="G671" s="68" t="str">
        <f t="shared" si="143"/>
        <v/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/>
      <c r="G672" s="63" t="str">
        <f t="shared" si="143"/>
        <v/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/>
      <c r="G673" s="68" t="str">
        <f t="shared" si="143"/>
        <v/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9" t="s">
        <v>54</v>
      </c>
      <c r="D674" s="61" t="s">
        <v>31</v>
      </c>
      <c r="E674" s="61" t="s">
        <v>263</v>
      </c>
      <c r="F674" s="62"/>
      <c r="G674" s="63" t="str">
        <f t="shared" si="143"/>
        <v/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0" t="s">
        <v>267</v>
      </c>
      <c r="B675" s="160"/>
      <c r="C675" s="160"/>
      <c r="D675" s="160"/>
      <c r="E675" s="160"/>
      <c r="F675" s="2">
        <f>SUM(F663:F674)</f>
        <v>325</v>
      </c>
      <c r="G675" s="2">
        <f>SUM(G663:G674)</f>
        <v>1625</v>
      </c>
      <c r="H675" s="71"/>
      <c r="I675" s="71"/>
      <c r="J675" s="71"/>
      <c r="K675" s="71"/>
      <c r="L675" s="71"/>
      <c r="M675" s="72">
        <f ca="1">IFERROR(SUM(M663:M674),"")</f>
        <v>8.0990740722174381E-3</v>
      </c>
      <c r="N675" s="2" t="s">
        <v>265</v>
      </c>
      <c r="O675" s="73"/>
    </row>
    <row r="676" spans="1:15" ht="18" customHeight="1">
      <c r="A676" s="161" t="s">
        <v>253</v>
      </c>
      <c r="B676" s="161"/>
      <c r="C676" s="161"/>
      <c r="D676" s="161"/>
      <c r="E676" s="161"/>
      <c r="F676" s="1">
        <f>F662+F675</f>
        <v>652</v>
      </c>
      <c r="G676" s="1">
        <f>G662+G675</f>
        <v>3260</v>
      </c>
      <c r="H676" s="75"/>
      <c r="I676" s="75"/>
      <c r="J676" s="75"/>
      <c r="K676" s="75"/>
      <c r="L676" s="75"/>
      <c r="M676" s="76">
        <f ca="1">IFERROR(M662+M675,"")</f>
        <v>0.14351574073888407</v>
      </c>
      <c r="N676" s="1" t="s">
        <v>268</v>
      </c>
      <c r="O676" s="81">
        <f>IFERROR(O662+O675,"")</f>
        <v>2220720</v>
      </c>
    </row>
    <row r="677" spans="1:15" ht="15" customHeight="1">
      <c r="A677" s="18">
        <v>46260</v>
      </c>
      <c r="B677" s="67">
        <v>0.33333333333333298</v>
      </c>
      <c r="C677" s="69"/>
      <c r="D677" s="74"/>
      <c r="E677" s="74"/>
      <c r="F677" s="62"/>
      <c r="G677" s="68" t="str">
        <f t="shared" ref="G677:G688" si="146">IF(F677="","",IF(E677="PC 17",F677*4.2,IF(E677="PC 19",F677*5,IF(E677="CB",F677*35,""))))</f>
        <v/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/>
      <c r="D678" s="74"/>
      <c r="E678" s="74"/>
      <c r="F678" s="62"/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/>
      <c r="D679" s="74"/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/>
      <c r="D680" s="74"/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/>
      <c r="D681" s="74"/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/>
      <c r="D682" s="74"/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/>
      <c r="D683" s="74"/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/>
      <c r="D684" s="74"/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/>
      <c r="D685" s="74"/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/>
      <c r="D686" s="74"/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/>
      <c r="D687" s="74"/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/>
      <c r="D688" s="74"/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0" t="s">
        <v>264</v>
      </c>
      <c r="B689" s="160"/>
      <c r="C689" s="160"/>
      <c r="D689" s="160"/>
      <c r="E689" s="160"/>
      <c r="F689" s="2">
        <f>SUM(F677:F688)</f>
        <v>0</v>
      </c>
      <c r="G689" s="2">
        <f>SUM(G677:G688)</f>
        <v>0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0" t="s">
        <v>267</v>
      </c>
      <c r="B702" s="160"/>
      <c r="C702" s="160"/>
      <c r="D702" s="160"/>
      <c r="E702" s="160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1" t="s">
        <v>253</v>
      </c>
      <c r="B703" s="161"/>
      <c r="C703" s="161"/>
      <c r="D703" s="161"/>
      <c r="E703" s="161"/>
      <c r="F703" s="1">
        <f>F689+F702</f>
        <v>0</v>
      </c>
      <c r="G703" s="1">
        <f>G689+G702</f>
        <v>0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0" t="s">
        <v>264</v>
      </c>
      <c r="B716" s="160"/>
      <c r="C716" s="160"/>
      <c r="D716" s="160"/>
      <c r="E716" s="160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0" t="s">
        <v>267</v>
      </c>
      <c r="B729" s="160"/>
      <c r="C729" s="160"/>
      <c r="D729" s="160"/>
      <c r="E729" s="16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1" t="s">
        <v>253</v>
      </c>
      <c r="B730" s="161"/>
      <c r="C730" s="161"/>
      <c r="D730" s="161"/>
      <c r="E730" s="161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0" t="s">
        <v>264</v>
      </c>
      <c r="B743" s="160"/>
      <c r="C743" s="160"/>
      <c r="D743" s="160"/>
      <c r="E743" s="16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0" t="s">
        <v>267</v>
      </c>
      <c r="B756" s="160"/>
      <c r="C756" s="160"/>
      <c r="D756" s="160"/>
      <c r="E756" s="16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1" t="s">
        <v>253</v>
      </c>
      <c r="B757" s="161"/>
      <c r="C757" s="161"/>
      <c r="D757" s="161"/>
      <c r="E757" s="16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0" t="s">
        <v>264</v>
      </c>
      <c r="B770" s="160"/>
      <c r="C770" s="160"/>
      <c r="D770" s="160"/>
      <c r="E770" s="16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0" t="s">
        <v>267</v>
      </c>
      <c r="B783" s="160"/>
      <c r="C783" s="160"/>
      <c r="D783" s="160"/>
      <c r="E783" s="16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1" t="s">
        <v>253</v>
      </c>
      <c r="B784" s="161"/>
      <c r="C784" s="161"/>
      <c r="D784" s="161"/>
      <c r="E784" s="16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0" t="s">
        <v>264</v>
      </c>
      <c r="B797" s="160"/>
      <c r="C797" s="160"/>
      <c r="D797" s="160"/>
      <c r="E797" s="16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0" t="s">
        <v>267</v>
      </c>
      <c r="B810" s="160"/>
      <c r="C810" s="160"/>
      <c r="D810" s="160"/>
      <c r="E810" s="16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1" t="s">
        <v>253</v>
      </c>
      <c r="B811" s="161"/>
      <c r="C811" s="161"/>
      <c r="D811" s="161"/>
      <c r="E811" s="16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0" t="s">
        <v>264</v>
      </c>
      <c r="B824" s="160"/>
      <c r="C824" s="160"/>
      <c r="D824" s="160"/>
      <c r="E824" s="16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0" t="s">
        <v>267</v>
      </c>
      <c r="B837" s="160"/>
      <c r="C837" s="160"/>
      <c r="D837" s="160"/>
      <c r="E837" s="16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1" t="s">
        <v>253</v>
      </c>
      <c r="B838" s="161"/>
      <c r="C838" s="161"/>
      <c r="D838" s="161"/>
      <c r="E838" s="16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40" activePane="bottomLeft" state="frozen"/>
      <selection pane="bottomLeft" activeCell="G671" sqref="G671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312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313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314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315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316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317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318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319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3.0321296289912425E-2</v>
      </c>
      <c r="R53" s="79" t="s">
        <v>320</v>
      </c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0.16921018517880015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0.25393240740102296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312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321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322</v>
      </c>
      <c r="Q96" s="65" t="str">
        <f t="shared" ref="Q96:Q107" ca="1" si="22">IFERROR(IF(O96="","",IF(P96="",MOD(NOW()-O96,1),IF(P96&gt;=O96,P96-O96,P96+1-O96))),"")</f>
        <v/>
      </c>
      <c r="R96" s="79" t="s">
        <v>323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324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325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326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327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328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329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330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331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332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333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326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321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335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336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337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338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339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340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341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333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328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321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342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343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344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345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346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347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348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349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350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351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328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352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353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354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355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356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328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357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358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0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359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4"/>
        <v>0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4"/>
        <v>0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0</v>
      </c>
      <c r="I666" s="89">
        <f>IFERROR(IF($D666="","",VLOOKUP($D666,Cadastro!$C$4:$G$7,5,FALSE())),"")</f>
        <v>0.6</v>
      </c>
      <c r="J666" s="90">
        <f t="shared" si="174"/>
        <v>0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0</v>
      </c>
      <c r="I667" s="89">
        <f>IFERROR(IF($D667="","",VLOOKUP($D667,Cadastro!$C$4:$G$7,5,FALSE())),"")</f>
        <v>0.6</v>
      </c>
      <c r="J667" s="90">
        <f t="shared" si="174"/>
        <v>0</v>
      </c>
      <c r="K667" s="68">
        <f t="shared" si="175"/>
        <v>100.80000000000001</v>
      </c>
      <c r="L667" s="69"/>
      <c r="M667" s="69"/>
      <c r="N667" s="69"/>
      <c r="O667" s="64"/>
      <c r="P667" s="64"/>
      <c r="Q667" s="70" t="str">
        <f t="shared" ca="1" si="176"/>
        <v/>
      </c>
      <c r="R667" s="79"/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0</v>
      </c>
      <c r="I668" s="89">
        <f>IFERROR(IF($D668="","",VLOOKUP($D668,Cadastro!$C$4:$G$7,5,FALSE())),"")</f>
        <v>0.6</v>
      </c>
      <c r="J668" s="90">
        <f t="shared" si="174"/>
        <v>0</v>
      </c>
      <c r="K668" s="63">
        <f t="shared" si="175"/>
        <v>67.2</v>
      </c>
      <c r="L668" s="60"/>
      <c r="M668" s="60"/>
      <c r="N668" s="60"/>
      <c r="O668" s="64"/>
      <c r="P668" s="64"/>
      <c r="Q668" s="65" t="str">
        <f t="shared" ca="1" si="176"/>
        <v/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0</v>
      </c>
      <c r="I669" s="89">
        <f>IFERROR(IF($D669="","",VLOOKUP($D669,Cadastro!$C$4:$G$7,5,FALSE())),"")</f>
        <v>0.6</v>
      </c>
      <c r="J669" s="90">
        <f t="shared" si="174"/>
        <v>0</v>
      </c>
      <c r="K669" s="68">
        <f t="shared" si="175"/>
        <v>46.2</v>
      </c>
      <c r="L669" s="69"/>
      <c r="M669" s="69"/>
      <c r="N669" s="69"/>
      <c r="O669" s="64"/>
      <c r="P669" s="64"/>
      <c r="Q669" s="70" t="str">
        <f t="shared" ca="1" si="176"/>
        <v/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0</v>
      </c>
      <c r="I670" s="89">
        <f>IFERROR(IF($D670="","",VLOOKUP($D670,Cadastro!$C$4:$G$7,5,FALSE())),"")</f>
        <v>0.6</v>
      </c>
      <c r="J670" s="90">
        <f t="shared" si="174"/>
        <v>0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99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415.8</v>
      </c>
      <c r="L675" s="71"/>
      <c r="M675" s="71"/>
      <c r="N675" s="71"/>
      <c r="O675" s="71"/>
      <c r="P675" s="71"/>
      <c r="Q675" s="72">
        <f ca="1">IFERROR(SUM(Q663:Q674),"")</f>
        <v>0.15972222222222204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166</v>
      </c>
      <c r="H676" s="107">
        <f>IFERROR(H662+H675,"")</f>
        <v>261.62</v>
      </c>
      <c r="I676" s="109"/>
      <c r="J676" s="110">
        <f>IFERROR(J662+J675,"")</f>
        <v>54.94019999999999</v>
      </c>
      <c r="K676" s="1">
        <f>K662+K675</f>
        <v>697.2</v>
      </c>
      <c r="L676" s="75"/>
      <c r="M676" s="75"/>
      <c r="N676" s="75"/>
      <c r="O676" s="75"/>
      <c r="P676" s="75"/>
      <c r="Q676" s="76">
        <f ca="1">IFERROR(Q662+Q675,"")</f>
        <v>0.52430555555555536</v>
      </c>
      <c r="R676" s="1" t="s">
        <v>268</v>
      </c>
      <c r="S676" s="81">
        <f>IFERROR(S662+S675,"")</f>
        <v>261620</v>
      </c>
      <c r="T676" s="117">
        <f>IFERROR(J676,"")</f>
        <v>54.94019999999999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41" activePane="bottomLeft" state="frozen"/>
      <selection pane="bottomLeft" activeCell="G671" sqref="G671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315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321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329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321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369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332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332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373</v>
      </c>
      <c r="Q222" s="65" t="str">
        <f t="shared" ca="1" si="49"/>
        <v/>
      </c>
      <c r="R222" s="62" t="s">
        <v>374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339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340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321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343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379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321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321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321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321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321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389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389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389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0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1"/>
        <v>0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0</v>
      </c>
      <c r="I666" s="89">
        <f>IFERROR(IF($D666="","",VLOOKUP($D666,Cadastro!$C$4:$G$7,5,FALSE())),"")</f>
        <v>0.6</v>
      </c>
      <c r="J666" s="90">
        <f t="shared" si="171"/>
        <v>0</v>
      </c>
      <c r="K666" s="63">
        <f t="shared" si="172"/>
        <v>4.2</v>
      </c>
      <c r="L666" s="60" t="s">
        <v>27</v>
      </c>
      <c r="M666" s="60" t="s">
        <v>56</v>
      </c>
      <c r="N666" s="60" t="s">
        <v>141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0</v>
      </c>
      <c r="I667" s="89">
        <f>IFERROR(IF($D667="","",VLOOKUP($D667,Cadastro!$C$4:$G$7,5,FALSE())),"")</f>
        <v>0.6</v>
      </c>
      <c r="J667" s="90">
        <f t="shared" si="171"/>
        <v>0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0</v>
      </c>
      <c r="I668" s="89">
        <f>IFERROR(IF($D668="","",VLOOKUP($D668,Cadastro!$C$4:$G$7,5,FALSE())),"")</f>
        <v>0.6</v>
      </c>
      <c r="J668" s="90">
        <f t="shared" si="171"/>
        <v>0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0</v>
      </c>
      <c r="I669" s="89">
        <f>IFERROR(IF($D669="","",VLOOKUP($D669,Cadastro!$C$4:$G$7,5,FALSE())),"")</f>
        <v>0.6</v>
      </c>
      <c r="J669" s="90">
        <f t="shared" si="171"/>
        <v>0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0</v>
      </c>
      <c r="I670" s="89">
        <f>IFERROR(IF($D670="","",VLOOKUP($D670,Cadastro!$C$4:$G$7,5,FALSE())),"")</f>
        <v>0.6</v>
      </c>
      <c r="J670" s="90">
        <f t="shared" si="171"/>
        <v>0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1"/>
        <v/>
      </c>
      <c r="K671" s="68" t="str">
        <f t="shared" si="172"/>
        <v/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1"/>
        <v/>
      </c>
      <c r="K672" s="63" t="str">
        <f t="shared" si="172"/>
        <v/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1"/>
        <v/>
      </c>
      <c r="K673" s="68" t="str">
        <f t="shared" si="172"/>
        <v/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9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1"/>
        <v/>
      </c>
      <c r="K674" s="63" t="str">
        <f t="shared" si="172"/>
        <v/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40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168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42</v>
      </c>
      <c r="H676" s="107">
        <f>IFERROR(H662+H675,"")</f>
        <v>24.12</v>
      </c>
      <c r="I676" s="109"/>
      <c r="J676" s="110">
        <f>IFERROR(J662+J675,"")</f>
        <v>5.0651999999999999</v>
      </c>
      <c r="K676" s="1">
        <f>K662+K675</f>
        <v>176.4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268</v>
      </c>
      <c r="S676" s="81">
        <f>IFERROR(S662+S675,"")</f>
        <v>24120</v>
      </c>
      <c r="T676" s="117">
        <f>IFERROR(J676,"")</f>
        <v>5.0651999999999999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 t="str">
        <f t="shared" ref="K677:K688" si="176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77">IFERROR(IF(O677="","",IF(P677="",MOD(NOW()-O677,1),IF(P677&gt;=O677,P677-O677,P677+1-O677))),"")</f>
        <v/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5"/>
        <v/>
      </c>
      <c r="K678" s="63" t="str">
        <f t="shared" si="176"/>
        <v/>
      </c>
      <c r="L678" s="60"/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35" activePane="bottomLeft" state="frozen"/>
      <selection pane="bottomLeft" activeCell="G670" sqref="G670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393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318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394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395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396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397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398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399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400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401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321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402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403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329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404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405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406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408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409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410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411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412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413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414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415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416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417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418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419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420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421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343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422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423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424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425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426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420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427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428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429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430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431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432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433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434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435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436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419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420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437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438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439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440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419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441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436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442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443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444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445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446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0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4"/>
        <v>0</v>
      </c>
      <c r="K664" s="63">
        <f t="shared" si="175"/>
        <v>84</v>
      </c>
      <c r="L664" s="60"/>
      <c r="M664" s="60"/>
      <c r="N664" s="60"/>
      <c r="O664" s="64"/>
      <c r="P664" s="64"/>
      <c r="Q664" s="65" t="str">
        <f t="shared" ca="1" si="176"/>
        <v/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4"/>
        <v>0</v>
      </c>
      <c r="K665" s="68">
        <f t="shared" si="175"/>
        <v>79.8</v>
      </c>
      <c r="L665" s="69"/>
      <c r="M665" s="69"/>
      <c r="N665" s="69"/>
      <c r="O665" s="64"/>
      <c r="P665" s="64"/>
      <c r="Q665" s="70" t="str">
        <f t="shared" ca="1" si="176"/>
        <v/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0</v>
      </c>
      <c r="I666" s="89">
        <f>IFERROR(IF($D666="","",VLOOKUP($D666,Cadastro!$C$4:$G$7,5,FALSE())),"")</f>
        <v>0.6</v>
      </c>
      <c r="J666" s="90">
        <f t="shared" si="174"/>
        <v>0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0</v>
      </c>
      <c r="I667" s="89">
        <f>IFERROR(IF($D667="","",VLOOKUP($D667,Cadastro!$C$4:$G$7,5,FALSE())),"")</f>
        <v>0.6</v>
      </c>
      <c r="J667" s="90">
        <f t="shared" si="174"/>
        <v>0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0</v>
      </c>
      <c r="I668" s="89">
        <f>IFERROR(IF($D668="","",VLOOKUP($D668,Cadastro!$C$4:$G$7,5,FALSE())),"")</f>
        <v>0.6</v>
      </c>
      <c r="J668" s="90">
        <f t="shared" si="174"/>
        <v>0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0</v>
      </c>
      <c r="I669" s="89">
        <f>IFERROR(IF($D669="","",VLOOKUP($D669,Cadastro!$C$4:$G$7,5,FALSE())),"")</f>
        <v>0.6</v>
      </c>
      <c r="J669" s="90">
        <f t="shared" si="174"/>
        <v>0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141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592.20000000000005</v>
      </c>
      <c r="L675" s="71"/>
      <c r="M675" s="71"/>
      <c r="N675" s="71"/>
      <c r="O675" s="133"/>
      <c r="P675" s="133"/>
      <c r="Q675" s="72">
        <f ca="1">IFERROR(SUM(Q663:Q674),"")</f>
        <v>1.8055555555555602E-2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271</v>
      </c>
      <c r="H676" s="107">
        <f>IFERROR(H662+H675,"")</f>
        <v>597.37</v>
      </c>
      <c r="I676" s="109"/>
      <c r="J676" s="110">
        <f>IFERROR(J662+J675,"")</f>
        <v>125.4477</v>
      </c>
      <c r="K676" s="1">
        <f>K662+K675</f>
        <v>1148.5999999999999</v>
      </c>
      <c r="L676" s="75"/>
      <c r="M676" s="75"/>
      <c r="N676" s="75"/>
      <c r="O676" s="134"/>
      <c r="P676" s="134"/>
      <c r="Q676" s="76">
        <f ca="1">IFERROR(Q662+Q675,"")</f>
        <v>0.28263888888888883</v>
      </c>
      <c r="R676" s="1" t="s">
        <v>268</v>
      </c>
      <c r="S676" s="81">
        <f>IFERROR(S662+S675,"")</f>
        <v>597370</v>
      </c>
      <c r="T676" s="117">
        <f>IFERROR(J676,"")</f>
        <v>125.4477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2026-08-26T07:40:33Z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