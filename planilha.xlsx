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71" documentId="13_ncr:1_{0A10D8D4-8450-4366-8075-B53B08E6B7EA}" xr6:coauthVersionLast="47" xr6:coauthVersionMax="47" xr10:uidLastSave="{4C9AB8CF-7A4F-41DF-B4C3-08CFB54ED184}"/>
  <bookViews>
    <workbookView xWindow="-120" yWindow="-120" windowWidth="29040" windowHeight="1572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84" i="6" s="1"/>
  <c r="J48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84" i="5" s="1"/>
  <c r="J484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84" i="4" s="1"/>
  <c r="J48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82" i="5" l="1"/>
  <c r="J482" i="5" s="1"/>
  <c r="H483" i="5"/>
  <c r="J483" i="5" s="1"/>
  <c r="H482" i="6"/>
  <c r="J482" i="6" s="1"/>
  <c r="H483" i="6"/>
  <c r="J483" i="6" s="1"/>
  <c r="H482" i="4"/>
  <c r="J482" i="4" s="1"/>
  <c r="H483" i="4"/>
  <c r="J483" i="4" s="1"/>
  <c r="H480" i="5"/>
  <c r="J480" i="5" s="1"/>
  <c r="H481" i="5"/>
  <c r="J481" i="5" s="1"/>
  <c r="H480" i="6"/>
  <c r="J480" i="6" s="1"/>
  <c r="H481" i="6"/>
  <c r="J481" i="6" s="1"/>
  <c r="H480" i="4"/>
  <c r="J480" i="4" s="1"/>
  <c r="H481" i="4"/>
  <c r="J481" i="4" s="1"/>
  <c r="H477" i="5"/>
  <c r="J477" i="5" s="1"/>
  <c r="H479" i="5"/>
  <c r="J479" i="5" s="1"/>
  <c r="H477" i="6"/>
  <c r="J477" i="6" s="1"/>
  <c r="H479" i="6"/>
  <c r="J479" i="6" s="1"/>
  <c r="H477" i="4"/>
  <c r="J477" i="4" s="1"/>
  <c r="H479" i="4"/>
  <c r="J479" i="4" s="1"/>
  <c r="H476" i="6"/>
  <c r="J476" i="6" s="1"/>
  <c r="H478" i="6"/>
  <c r="J478" i="6" s="1"/>
  <c r="H474" i="5"/>
  <c r="J474" i="5" s="1"/>
  <c r="H478" i="5"/>
  <c r="J478" i="5" s="1"/>
  <c r="H476" i="4"/>
  <c r="J476" i="4" s="1"/>
  <c r="H478" i="4"/>
  <c r="J478" i="4" s="1"/>
  <c r="H475" i="5"/>
  <c r="H476" i="5"/>
  <c r="J476" i="5" s="1"/>
  <c r="H474" i="6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<sst xmlns="http://schemas.openxmlformats.org/spreadsheetml/2006/main" count="8154" uniqueCount="382">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</sst>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9" fontId="6" fillId="8" borderId="10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75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11" ht="30" customHeight="1">
      <c r="A2" s="173"/>
      <c r="B2" s="17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74" t="s">
        <v>14</v>
      </c>
      <c r="B35" s="174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60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15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16</v>
      </c>
      <c r="O1" s="179"/>
      <c r="P1" s="179"/>
      <c r="Q1" s="179"/>
      <c r="R1" s="179"/>
    </row>
    <row r="2" spans="1:18" ht="4.5" customHeight="1">
      <c r="M2" s="178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8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8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8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8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8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8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8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8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8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8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8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8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8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8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8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8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8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8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78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78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78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78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78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78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78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78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78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78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78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78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78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78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78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78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78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78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78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78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78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78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78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78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78"/>
      <c r="N45" s="17"/>
      <c r="O45" s="17"/>
      <c r="P45" s="17" t="s">
        <v>192</v>
      </c>
      <c r="Q45" s="17"/>
      <c r="R45" s="17" t="s">
        <v>193</v>
      </c>
    </row>
    <row r="46" spans="1:18" ht="15.75" customHeight="1">
      <c r="A46" s="16"/>
      <c r="C46" s="16"/>
      <c r="J46" s="16"/>
      <c r="L46" s="16"/>
      <c r="M46" s="178"/>
      <c r="N46" s="16"/>
      <c r="O46" s="16"/>
      <c r="P46" s="16" t="s">
        <v>194</v>
      </c>
      <c r="Q46" s="16"/>
      <c r="R46" s="16" t="s">
        <v>195</v>
      </c>
    </row>
    <row r="47" spans="1:18" ht="15.75" customHeight="1">
      <c r="A47" s="17"/>
      <c r="C47" s="17"/>
      <c r="J47" s="17"/>
      <c r="L47" s="17"/>
      <c r="M47" s="178"/>
      <c r="N47" s="17"/>
      <c r="O47" s="17"/>
      <c r="P47" s="17" t="s">
        <v>196</v>
      </c>
      <c r="Q47" s="17"/>
      <c r="R47" s="17" t="s">
        <v>197</v>
      </c>
    </row>
    <row r="48" spans="1:18" ht="15.75" customHeight="1">
      <c r="A48" s="16"/>
      <c r="C48" s="16"/>
      <c r="J48" s="16"/>
      <c r="L48" s="16"/>
      <c r="M48" s="178"/>
      <c r="N48" s="16"/>
      <c r="O48" s="16"/>
      <c r="P48" s="16" t="s">
        <v>198</v>
      </c>
      <c r="Q48" s="16"/>
      <c r="R48" s="16" t="s">
        <v>199</v>
      </c>
    </row>
    <row r="49" spans="1:18" ht="18" customHeight="1">
      <c r="M49" s="178"/>
      <c r="N49" s="17"/>
      <c r="O49" s="17"/>
      <c r="P49" s="17" t="s">
        <v>200</v>
      </c>
      <c r="Q49" s="17"/>
      <c r="R49" s="17" t="s">
        <v>201</v>
      </c>
    </row>
    <row r="50" spans="1:18" ht="21" customHeight="1">
      <c r="A50" s="19" t="s">
        <v>202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8"/>
      <c r="N50" s="16"/>
      <c r="O50" s="16"/>
      <c r="P50" s="16" t="s">
        <v>203</v>
      </c>
      <c r="Q50" s="16"/>
      <c r="R50" s="16" t="s">
        <v>204</v>
      </c>
    </row>
    <row r="51" spans="1:18" ht="24" customHeight="1">
      <c r="M51" s="178"/>
      <c r="N51" s="17"/>
      <c r="O51" s="17"/>
      <c r="P51" s="17" t="s">
        <v>205</v>
      </c>
      <c r="Q51" s="17"/>
      <c r="R51" s="17" t="s">
        <v>206</v>
      </c>
    </row>
    <row r="52" spans="1:18" ht="24" customHeight="1">
      <c r="M52" s="178"/>
      <c r="N52" s="16"/>
      <c r="O52" s="16"/>
      <c r="P52" s="16" t="s">
        <v>207</v>
      </c>
      <c r="Q52" s="16"/>
      <c r="R52" s="16" t="s">
        <v>208</v>
      </c>
    </row>
    <row r="53" spans="1:18" ht="36" customHeight="1">
      <c r="M53" s="178"/>
      <c r="N53" s="17"/>
      <c r="O53" s="17"/>
      <c r="P53" s="17" t="s">
        <v>209</v>
      </c>
      <c r="Q53" s="17"/>
      <c r="R53" s="17" t="s">
        <v>210</v>
      </c>
    </row>
    <row r="54" spans="1:18" ht="15" customHeight="1">
      <c r="M54" s="178"/>
      <c r="N54" s="16"/>
      <c r="O54" s="16"/>
      <c r="P54" s="16" t="s">
        <v>211</v>
      </c>
      <c r="Q54" s="16"/>
      <c r="R54" s="16" t="s">
        <v>212</v>
      </c>
    </row>
    <row r="55" spans="1:18" ht="15" customHeight="1">
      <c r="M55" s="178"/>
      <c r="N55" s="17"/>
      <c r="O55" s="17"/>
      <c r="P55" s="17" t="s">
        <v>213</v>
      </c>
      <c r="Q55" s="17"/>
      <c r="R55" s="17" t="s">
        <v>214</v>
      </c>
    </row>
    <row r="56" spans="1:18" ht="15" customHeight="1">
      <c r="M56" s="178"/>
      <c r="N56" s="16"/>
      <c r="O56" s="16"/>
      <c r="P56" s="16" t="s">
        <v>215</v>
      </c>
      <c r="Q56" s="16"/>
      <c r="R56" s="16" t="s">
        <v>216</v>
      </c>
    </row>
    <row r="57" spans="1:18" ht="15" customHeight="1">
      <c r="M57" s="178"/>
      <c r="N57" s="17"/>
      <c r="O57" s="17"/>
      <c r="P57" s="17" t="s">
        <v>57</v>
      </c>
      <c r="Q57" s="17"/>
      <c r="R57" s="17" t="s">
        <v>217</v>
      </c>
    </row>
    <row r="58" spans="1:18" ht="15" customHeight="1">
      <c r="M58" s="178"/>
      <c r="N58" s="16"/>
      <c r="O58" s="16"/>
      <c r="P58" s="16" t="s">
        <v>218</v>
      </c>
      <c r="Q58" s="16"/>
      <c r="R58" s="16" t="s">
        <v>219</v>
      </c>
    </row>
    <row r="59" spans="1:18" ht="15" customHeight="1">
      <c r="M59" s="178"/>
      <c r="N59" s="17"/>
      <c r="O59" s="17"/>
      <c r="P59" s="17" t="s">
        <v>220</v>
      </c>
      <c r="Q59" s="17"/>
      <c r="R59" s="17"/>
    </row>
    <row r="60" spans="1:18" ht="15" customHeight="1">
      <c r="M60" s="178"/>
      <c r="N60" s="16"/>
      <c r="O60" s="16"/>
      <c r="P60" s="77" t="s">
        <v>112</v>
      </c>
      <c r="Q60" s="16"/>
      <c r="R60" s="16"/>
    </row>
    <row r="61" spans="1:18" ht="15" customHeight="1">
      <c r="M61" s="178"/>
      <c r="N61" s="17"/>
      <c r="O61" s="17"/>
      <c r="P61" s="17" t="s">
        <v>221</v>
      </c>
      <c r="Q61" s="17"/>
      <c r="R61" s="17"/>
    </row>
    <row r="62" spans="1:18" ht="15" customHeight="1">
      <c r="M62" s="178"/>
      <c r="N62" s="16"/>
      <c r="O62" s="16"/>
      <c r="P62" s="16" t="s">
        <v>222</v>
      </c>
      <c r="Q62" s="16"/>
      <c r="R62" s="16"/>
    </row>
    <row r="63" spans="1:18" ht="15" customHeight="1">
      <c r="M63" s="178"/>
      <c r="N63" s="17"/>
      <c r="O63" s="17"/>
      <c r="P63" s="17" t="s">
        <v>223</v>
      </c>
      <c r="Q63" s="17"/>
      <c r="R63" s="17"/>
    </row>
    <row r="64" spans="1:18" ht="15" customHeight="1">
      <c r="M64" s="178"/>
      <c r="N64" s="16"/>
      <c r="O64" s="16"/>
      <c r="P64" s="16" t="s">
        <v>224</v>
      </c>
      <c r="Q64" s="16"/>
      <c r="R64" s="16"/>
    </row>
    <row r="65" spans="13:18" ht="15" customHeight="1">
      <c r="M65" s="178"/>
      <c r="N65" s="17"/>
      <c r="O65" s="17"/>
      <c r="P65" s="17" t="s">
        <v>225</v>
      </c>
      <c r="Q65" s="17"/>
      <c r="R65" s="17"/>
    </row>
    <row r="66" spans="13:18" ht="15" customHeight="1">
      <c r="M66" s="178"/>
      <c r="N66" s="16"/>
      <c r="O66" s="16"/>
      <c r="P66" s="16" t="s">
        <v>226</v>
      </c>
      <c r="Q66" s="16"/>
      <c r="R66" s="16"/>
    </row>
    <row r="67" spans="13:18" ht="15" customHeight="1">
      <c r="M67" s="178"/>
      <c r="N67" s="17"/>
      <c r="O67" s="17"/>
      <c r="P67" s="17" t="s">
        <v>227</v>
      </c>
      <c r="Q67" s="17"/>
      <c r="R67" s="17"/>
    </row>
    <row r="68" spans="13:18" ht="15" customHeight="1">
      <c r="M68" s="178"/>
      <c r="N68" s="16"/>
      <c r="O68" s="16"/>
      <c r="P68" s="16" t="s">
        <v>228</v>
      </c>
      <c r="Q68" s="16"/>
      <c r="R68" s="16"/>
    </row>
    <row r="69" spans="13:18" ht="15" customHeight="1">
      <c r="M69" s="178"/>
      <c r="N69" s="17"/>
      <c r="O69" s="17"/>
      <c r="P69" s="17" t="s">
        <v>229</v>
      </c>
      <c r="Q69" s="17"/>
      <c r="R69" s="17"/>
    </row>
    <row r="70" spans="13:18" ht="15" customHeight="1">
      <c r="M70" s="178"/>
      <c r="N70" s="16"/>
      <c r="O70" s="16"/>
      <c r="P70" s="16" t="s">
        <v>230</v>
      </c>
      <c r="Q70" s="16"/>
      <c r="R70" s="16"/>
    </row>
    <row r="71" spans="13:18" ht="15" customHeight="1">
      <c r="M71" s="178"/>
      <c r="N71" s="17"/>
      <c r="O71" s="17"/>
      <c r="P71" s="17" t="s">
        <v>231</v>
      </c>
      <c r="Q71" s="17"/>
      <c r="R71" s="17"/>
    </row>
    <row r="72" spans="13:18" ht="15" customHeight="1">
      <c r="M72" s="178"/>
      <c r="N72" s="16"/>
      <c r="O72" s="16"/>
      <c r="P72" s="16" t="s">
        <v>232</v>
      </c>
      <c r="Q72" s="16"/>
      <c r="R72" s="16"/>
    </row>
    <row r="73" spans="13:18" ht="15" customHeight="1">
      <c r="M73" s="178"/>
      <c r="N73" s="17"/>
      <c r="O73" s="17"/>
      <c r="P73" s="17" t="s">
        <v>233</v>
      </c>
      <c r="Q73" s="17"/>
      <c r="R73" s="17"/>
    </row>
    <row r="74" spans="13:18" ht="15" customHeight="1">
      <c r="M74" s="178"/>
      <c r="N74" s="16"/>
      <c r="O74" s="16"/>
      <c r="P74" s="16" t="s">
        <v>234</v>
      </c>
      <c r="Q74" s="16"/>
      <c r="R74" s="16"/>
    </row>
    <row r="75" spans="13:18" ht="15" customHeight="1">
      <c r="M75" s="178"/>
      <c r="N75" s="17"/>
      <c r="O75" s="17"/>
      <c r="P75" s="17" t="s">
        <v>235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58" activePane="bottomLeft" state="frozen"/>
      <selection pane="bottomLeft" activeCell="F485" sqref="F48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23" t="s">
        <v>238</v>
      </c>
      <c r="G1" s="23" t="s">
        <v>239</v>
      </c>
      <c r="H1" s="23" t="s">
        <v>21</v>
      </c>
      <c r="I1" s="23" t="s">
        <v>22</v>
      </c>
      <c r="J1" s="23" t="s">
        <v>240</v>
      </c>
      <c r="K1" s="23" t="s">
        <v>241</v>
      </c>
      <c r="L1" s="23" t="s">
        <v>242</v>
      </c>
      <c r="M1" s="24" t="s">
        <v>243</v>
      </c>
      <c r="N1" s="23" t="s">
        <v>244</v>
      </c>
      <c r="O1" s="23" t="s">
        <v>245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246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246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246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246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246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246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246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246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246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246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246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246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70" t="s">
        <v>247</v>
      </c>
      <c r="B14" s="171"/>
      <c r="C14" s="171"/>
      <c r="D14" s="171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248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246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246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246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249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246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246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246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246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246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246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246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70" t="s">
        <v>250</v>
      </c>
      <c r="B27" s="171"/>
      <c r="C27" s="171"/>
      <c r="D27" s="171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248</v>
      </c>
      <c r="O27" s="39">
        <v>997910</v>
      </c>
    </row>
    <row r="28" spans="1:15" ht="18" customHeight="1">
      <c r="A28" s="167" t="s">
        <v>251</v>
      </c>
      <c r="B28" s="168"/>
      <c r="C28" s="168"/>
      <c r="D28" s="168"/>
      <c r="E28" s="16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252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246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246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253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246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249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246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246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246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246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246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246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70" t="s">
        <v>247</v>
      </c>
      <c r="B41" s="171"/>
      <c r="C41" s="171"/>
      <c r="D41" s="171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248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246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254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246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246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246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246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246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246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246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70" t="s">
        <v>250</v>
      </c>
      <c r="B54" s="171"/>
      <c r="C54" s="171"/>
      <c r="D54" s="171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248</v>
      </c>
      <c r="O54" s="39">
        <v>981310</v>
      </c>
    </row>
    <row r="55" spans="1:15" ht="18" customHeight="1">
      <c r="A55" s="167" t="s">
        <v>251</v>
      </c>
      <c r="B55" s="168"/>
      <c r="C55" s="168"/>
      <c r="D55" s="168"/>
      <c r="E55" s="16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252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246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246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246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246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246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246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246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246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246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246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246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246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70" t="s">
        <v>247</v>
      </c>
      <c r="B68" s="171"/>
      <c r="C68" s="171"/>
      <c r="D68" s="171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248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246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246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255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246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246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246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246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246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246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246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246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70" t="s">
        <v>250</v>
      </c>
      <c r="B81" s="171"/>
      <c r="C81" s="171"/>
      <c r="D81" s="171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248</v>
      </c>
      <c r="O81" s="39">
        <v>1547910</v>
      </c>
    </row>
    <row r="82" spans="1:15" ht="18" customHeight="1">
      <c r="A82" s="167" t="s">
        <v>251</v>
      </c>
      <c r="B82" s="168"/>
      <c r="C82" s="168"/>
      <c r="D82" s="168"/>
      <c r="E82" s="16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252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246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246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246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256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246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246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246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246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246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246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246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70" t="s">
        <v>247</v>
      </c>
      <c r="B95" s="171"/>
      <c r="C95" s="171"/>
      <c r="D95" s="171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248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246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246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246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246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246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246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257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246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246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246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246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246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70" t="s">
        <v>250</v>
      </c>
      <c r="B108" s="171"/>
      <c r="C108" s="171"/>
      <c r="D108" s="171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248</v>
      </c>
      <c r="O108" s="39">
        <v>3156240</v>
      </c>
    </row>
    <row r="109" spans="1:15" ht="18" customHeight="1">
      <c r="A109" s="167" t="s">
        <v>251</v>
      </c>
      <c r="B109" s="168"/>
      <c r="C109" s="168"/>
      <c r="D109" s="168"/>
      <c r="E109" s="16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252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246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246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246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246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246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70" t="s">
        <v>247</v>
      </c>
      <c r="B122" s="171"/>
      <c r="C122" s="171"/>
      <c r="D122" s="171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248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246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246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246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246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246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246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246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246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246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246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246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246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70" t="s">
        <v>250</v>
      </c>
      <c r="B135" s="171"/>
      <c r="C135" s="171"/>
      <c r="D135" s="171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248</v>
      </c>
      <c r="O135" s="39">
        <v>2875180</v>
      </c>
    </row>
    <row r="136" spans="1:15" ht="18" customHeight="1">
      <c r="A136" s="167" t="s">
        <v>251</v>
      </c>
      <c r="B136" s="168"/>
      <c r="C136" s="168"/>
      <c r="D136" s="168"/>
      <c r="E136" s="16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252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246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258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246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246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246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246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246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246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246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246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246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70" t="s">
        <v>247</v>
      </c>
      <c r="B149" s="171"/>
      <c r="C149" s="171"/>
      <c r="D149" s="171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248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246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246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259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246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246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246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246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246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246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246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246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70" t="s">
        <v>250</v>
      </c>
      <c r="B162" s="171"/>
      <c r="C162" s="171"/>
      <c r="D162" s="171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248</v>
      </c>
      <c r="O162" s="44">
        <v>842000</v>
      </c>
    </row>
    <row r="163" spans="1:15" ht="18" customHeight="1">
      <c r="A163" s="167" t="s">
        <v>251</v>
      </c>
      <c r="B163" s="168"/>
      <c r="C163" s="168"/>
      <c r="D163" s="168"/>
      <c r="E163" s="16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252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246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234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260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246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246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246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246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246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246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246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246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246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246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246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70" t="s">
        <v>247</v>
      </c>
      <c r="B176" s="171"/>
      <c r="C176" s="171"/>
      <c r="D176" s="171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248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246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261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246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246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246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246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246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246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246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262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246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246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246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70" t="s">
        <v>250</v>
      </c>
      <c r="B189" s="171"/>
      <c r="C189" s="171"/>
      <c r="D189" s="171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248</v>
      </c>
      <c r="O189" s="39">
        <v>1901630</v>
      </c>
    </row>
    <row r="190" spans="1:15" ht="18" customHeight="1">
      <c r="A190" s="167" t="s">
        <v>251</v>
      </c>
      <c r="B190" s="168"/>
      <c r="C190" s="168"/>
      <c r="D190" s="168"/>
      <c r="E190" s="16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252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246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246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246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263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246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246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246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246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246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246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246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246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70" t="s">
        <v>247</v>
      </c>
      <c r="B203" s="171"/>
      <c r="C203" s="171"/>
      <c r="D203" s="171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248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246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246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246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246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246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246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246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246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246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246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246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246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70" t="s">
        <v>250</v>
      </c>
      <c r="B216" s="171"/>
      <c r="C216" s="171"/>
      <c r="D216" s="171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248</v>
      </c>
      <c r="O216" s="45">
        <v>1852295</v>
      </c>
    </row>
    <row r="217" spans="1:15" ht="18" customHeight="1">
      <c r="A217" s="167" t="s">
        <v>251</v>
      </c>
      <c r="B217" s="168"/>
      <c r="C217" s="168"/>
      <c r="D217" s="168"/>
      <c r="E217" s="16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252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246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246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246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264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246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246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246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246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246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246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246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1" t="s">
        <v>247</v>
      </c>
      <c r="B230" s="162"/>
      <c r="C230" s="162"/>
      <c r="D230" s="162"/>
      <c r="E230" s="16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248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246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246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246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265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265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265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265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265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265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265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265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265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70" t="s">
        <v>250</v>
      </c>
      <c r="B243" s="171"/>
      <c r="C243" s="171"/>
      <c r="D243" s="171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248</v>
      </c>
      <c r="O243" s="39">
        <v>991010</v>
      </c>
    </row>
    <row r="244" spans="1:15" ht="18" customHeight="1">
      <c r="A244" s="167" t="s">
        <v>251</v>
      </c>
      <c r="B244" s="168"/>
      <c r="C244" s="168"/>
      <c r="D244" s="168"/>
      <c r="E244" s="16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252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246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246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246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246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246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266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246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246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246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246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246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246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246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70" t="s">
        <v>247</v>
      </c>
      <c r="B257" s="171"/>
      <c r="C257" s="171"/>
      <c r="D257" s="171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248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267</v>
      </c>
      <c r="E258" s="62" t="s">
        <v>246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267</v>
      </c>
      <c r="E259" s="62" t="s">
        <v>246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267</v>
      </c>
      <c r="E260" s="62" t="s">
        <v>246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267</v>
      </c>
      <c r="E261" s="62" t="s">
        <v>246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267</v>
      </c>
      <c r="E262" s="62" t="s">
        <v>246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267</v>
      </c>
      <c r="E263" s="62" t="s">
        <v>246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267</v>
      </c>
      <c r="E264" s="62" t="s">
        <v>246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267</v>
      </c>
      <c r="E265" s="62" t="s">
        <v>246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267</v>
      </c>
      <c r="E266" s="62" t="s">
        <v>246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267</v>
      </c>
      <c r="E267" s="62" t="s">
        <v>246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267</v>
      </c>
      <c r="E268" s="62" t="s">
        <v>246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267</v>
      </c>
      <c r="E269" s="62" t="s">
        <v>246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70" t="s">
        <v>250</v>
      </c>
      <c r="B270" s="171"/>
      <c r="C270" s="171"/>
      <c r="D270" s="171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248</v>
      </c>
      <c r="O270" s="39">
        <v>1544700</v>
      </c>
    </row>
    <row r="271" spans="1:15" ht="18" customHeight="1">
      <c r="A271" s="167" t="s">
        <v>251</v>
      </c>
      <c r="B271" s="168"/>
      <c r="C271" s="168"/>
      <c r="D271" s="168"/>
      <c r="E271" s="169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252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267</v>
      </c>
      <c r="E272" s="59" t="s">
        <v>246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267</v>
      </c>
      <c r="E273" s="59" t="s">
        <v>246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267</v>
      </c>
      <c r="E274" s="59" t="s">
        <v>246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267</v>
      </c>
      <c r="E275" s="59" t="s">
        <v>246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217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267</v>
      </c>
      <c r="E276" s="59" t="s">
        <v>246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267</v>
      </c>
      <c r="E277" s="59" t="s">
        <v>246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268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267</v>
      </c>
      <c r="E278" s="59" t="s">
        <v>246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267</v>
      </c>
      <c r="E279" s="59" t="s">
        <v>246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267</v>
      </c>
      <c r="E280" s="59" t="s">
        <v>246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267</v>
      </c>
      <c r="E281" s="59" t="s">
        <v>246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267</v>
      </c>
      <c r="E282" s="59" t="s">
        <v>246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267</v>
      </c>
      <c r="E283" s="59" t="s">
        <v>246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70" t="s">
        <v>247</v>
      </c>
      <c r="B284" s="171"/>
      <c r="C284" s="171"/>
      <c r="D284" s="171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248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267</v>
      </c>
      <c r="E285" s="62" t="s">
        <v>262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267</v>
      </c>
      <c r="E286" s="62" t="s">
        <v>262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267</v>
      </c>
      <c r="E287" s="62" t="s">
        <v>262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267</v>
      </c>
      <c r="E288" s="62" t="s">
        <v>262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267</v>
      </c>
      <c r="E289" s="62" t="s">
        <v>262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267</v>
      </c>
      <c r="E290" s="62" t="s">
        <v>262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267</v>
      </c>
      <c r="E291" s="62" t="s">
        <v>262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267</v>
      </c>
      <c r="E292" s="62" t="s">
        <v>262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267</v>
      </c>
      <c r="E293" s="62" t="s">
        <v>262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267</v>
      </c>
      <c r="E294" s="62" t="s">
        <v>262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267</v>
      </c>
      <c r="E295" s="62" t="s">
        <v>262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267</v>
      </c>
      <c r="E296" s="62" t="s">
        <v>262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70" t="s">
        <v>250</v>
      </c>
      <c r="B297" s="171"/>
      <c r="C297" s="171"/>
      <c r="D297" s="171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248</v>
      </c>
      <c r="O297" s="39">
        <v>1715230</v>
      </c>
    </row>
    <row r="298" spans="1:15" ht="18" customHeight="1">
      <c r="A298" s="167" t="s">
        <v>251</v>
      </c>
      <c r="B298" s="168"/>
      <c r="C298" s="168"/>
      <c r="D298" s="168"/>
      <c r="E298" s="169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252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246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234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246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246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246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269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246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246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246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246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246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246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246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246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70" t="s">
        <v>247</v>
      </c>
      <c r="B311" s="171"/>
      <c r="C311" s="171"/>
      <c r="D311" s="171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248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246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246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246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246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246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246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246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246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246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246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246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246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70" t="s">
        <v>250</v>
      </c>
      <c r="B324" s="171"/>
      <c r="C324" s="171"/>
      <c r="D324" s="171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248</v>
      </c>
      <c r="O324" s="39">
        <v>2216340</v>
      </c>
    </row>
    <row r="325" spans="1:15" ht="18" customHeight="1">
      <c r="A325" s="167" t="s">
        <v>251</v>
      </c>
      <c r="B325" s="168"/>
      <c r="C325" s="168"/>
      <c r="D325" s="168"/>
      <c r="E325" s="169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252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212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270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246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246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246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271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246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246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246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246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70" t="s">
        <v>247</v>
      </c>
      <c r="B338" s="171"/>
      <c r="C338" s="171"/>
      <c r="D338" s="171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248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246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246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246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246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246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246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246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246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246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246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246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246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70" t="s">
        <v>250</v>
      </c>
      <c r="B351" s="171"/>
      <c r="C351" s="171"/>
      <c r="D351" s="171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248</v>
      </c>
      <c r="O351" s="39">
        <v>2154990</v>
      </c>
    </row>
    <row r="352" spans="1:15" ht="18" customHeight="1">
      <c r="A352" s="167" t="s">
        <v>251</v>
      </c>
      <c r="B352" s="168"/>
      <c r="C352" s="168"/>
      <c r="D352" s="168"/>
      <c r="E352" s="169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252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246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246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246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246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246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246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262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246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246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246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246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246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70" t="s">
        <v>247</v>
      </c>
      <c r="B365" s="171"/>
      <c r="C365" s="171"/>
      <c r="D365" s="171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248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246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246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246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246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246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246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246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246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246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246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246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246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70" t="s">
        <v>250</v>
      </c>
      <c r="B378" s="171"/>
      <c r="C378" s="171"/>
      <c r="D378" s="171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248</v>
      </c>
      <c r="O378" s="39">
        <v>2614830</v>
      </c>
    </row>
    <row r="379" spans="1:15" ht="18" customHeight="1">
      <c r="A379" s="167" t="s">
        <v>251</v>
      </c>
      <c r="B379" s="168"/>
      <c r="C379" s="168"/>
      <c r="D379" s="168"/>
      <c r="E379" s="169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252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246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246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246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246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246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246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246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246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246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246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246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246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70" t="s">
        <v>247</v>
      </c>
      <c r="B392" s="171"/>
      <c r="C392" s="171"/>
      <c r="D392" s="171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248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246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272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246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246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246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246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246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246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246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246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246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246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246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70" t="s">
        <v>250</v>
      </c>
      <c r="B405" s="171"/>
      <c r="C405" s="171"/>
      <c r="D405" s="171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248</v>
      </c>
      <c r="O405" s="39">
        <v>2612000</v>
      </c>
    </row>
    <row r="406" spans="1:15" ht="18" customHeight="1">
      <c r="A406" s="167" t="s">
        <v>251</v>
      </c>
      <c r="B406" s="168"/>
      <c r="C406" s="168"/>
      <c r="D406" s="168"/>
      <c r="E406" s="169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252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246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246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246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246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246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246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246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246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246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246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246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246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70" t="s">
        <v>247</v>
      </c>
      <c r="B419" s="171"/>
      <c r="C419" s="171"/>
      <c r="D419" s="171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248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246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228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246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273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246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273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246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246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246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246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246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246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246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246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246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70" t="s">
        <v>250</v>
      </c>
      <c r="B432" s="171"/>
      <c r="C432" s="171"/>
      <c r="D432" s="171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248</v>
      </c>
      <c r="O432" s="39">
        <v>2266710</v>
      </c>
    </row>
    <row r="433" spans="1:15" ht="18" customHeight="1">
      <c r="A433" s="167" t="s">
        <v>251</v>
      </c>
      <c r="B433" s="168"/>
      <c r="C433" s="168"/>
      <c r="D433" s="168"/>
      <c r="E433" s="169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252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246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246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246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246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246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246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246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246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246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246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246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246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70" t="s">
        <v>247</v>
      </c>
      <c r="B446" s="171"/>
      <c r="C446" s="171"/>
      <c r="D446" s="171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248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246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274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246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275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246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246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246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246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276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246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277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246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278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246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246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246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246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70" t="s">
        <v>250</v>
      </c>
      <c r="B459" s="171"/>
      <c r="C459" s="171"/>
      <c r="D459" s="171"/>
      <c r="E459" s="172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248</v>
      </c>
      <c r="O459" s="39">
        <v>2361680</v>
      </c>
    </row>
    <row r="460" spans="1:15" ht="18" customHeight="1">
      <c r="A460" s="167" t="s">
        <v>251</v>
      </c>
      <c r="B460" s="168"/>
      <c r="C460" s="168"/>
      <c r="D460" s="168"/>
      <c r="E460" s="169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252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246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279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246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246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246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246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246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246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246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246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246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246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246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70" t="s">
        <v>247</v>
      </c>
      <c r="B473" s="171"/>
      <c r="C473" s="171"/>
      <c r="D473" s="171"/>
      <c r="E473" s="172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248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246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 t="s">
        <v>27</v>
      </c>
      <c r="I474" s="26" t="s">
        <v>30</v>
      </c>
      <c r="J474" s="26" t="s">
        <v>51</v>
      </c>
      <c r="K474" s="29">
        <v>0.95138888888888884</v>
      </c>
      <c r="L474" s="29">
        <v>0.96180555555555558</v>
      </c>
      <c r="M474" s="30">
        <f t="shared" ref="M474:M485" ca="1" si="102">IFERROR(IF(K474="","",IF(L474="",MOD(NOW()-K474,1),IF(L474&gt;=K474,L474-K474,L474+1-K474))),"")</f>
        <v>1.0416666666666741E-2</v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246</v>
      </c>
      <c r="F475" s="27">
        <v>42</v>
      </c>
      <c r="G475" s="34">
        <f t="shared" si="101"/>
        <v>210</v>
      </c>
      <c r="H475" s="33" t="s">
        <v>27</v>
      </c>
      <c r="I475" s="33" t="s">
        <v>30</v>
      </c>
      <c r="J475" s="33" t="s">
        <v>51</v>
      </c>
      <c r="K475" s="29">
        <v>0.10416666666666667</v>
      </c>
      <c r="L475" s="29">
        <v>0.11805555555555555</v>
      </c>
      <c r="M475" s="35">
        <f t="shared" ca="1" si="102"/>
        <v>1.3888888888888881E-2</v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 t="s">
        <v>246</v>
      </c>
      <c r="F476" s="27">
        <v>54</v>
      </c>
      <c r="G476" s="28">
        <f t="shared" si="101"/>
        <v>270</v>
      </c>
      <c r="H476" s="26" t="s">
        <v>27</v>
      </c>
      <c r="I476" s="26" t="s">
        <v>30</v>
      </c>
      <c r="J476" s="26" t="s">
        <v>142</v>
      </c>
      <c r="K476" s="29">
        <v>0.13541666666666666</v>
      </c>
      <c r="L476" s="29">
        <v>0.18958333333333333</v>
      </c>
      <c r="M476" s="30">
        <f t="shared" ca="1" si="102"/>
        <v>5.4166666666666669E-2</v>
      </c>
      <c r="N476" s="46" t="s">
        <v>280</v>
      </c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 t="s">
        <v>246</v>
      </c>
      <c r="F477" s="27">
        <v>72</v>
      </c>
      <c r="G477" s="34">
        <f t="shared" si="101"/>
        <v>360</v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 t="s">
        <v>246</v>
      </c>
      <c r="F478" s="27">
        <v>21</v>
      </c>
      <c r="G478" s="28">
        <f t="shared" si="101"/>
        <v>105</v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 t="s">
        <v>246</v>
      </c>
      <c r="F479" s="27">
        <v>36</v>
      </c>
      <c r="G479" s="34">
        <f t="shared" si="101"/>
        <v>180</v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 t="s">
        <v>246</v>
      </c>
      <c r="F480" s="27">
        <v>14</v>
      </c>
      <c r="G480" s="28">
        <f t="shared" si="101"/>
        <v>70</v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 t="s">
        <v>246</v>
      </c>
      <c r="F481" s="27">
        <v>0</v>
      </c>
      <c r="G481" s="34">
        <f t="shared" si="101"/>
        <v>0</v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 t="s">
        <v>246</v>
      </c>
      <c r="F482" s="27">
        <v>4</v>
      </c>
      <c r="G482" s="28">
        <f t="shared" si="101"/>
        <v>20</v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 t="s">
        <v>246</v>
      </c>
      <c r="F483" s="27">
        <v>22</v>
      </c>
      <c r="G483" s="34">
        <f t="shared" si="101"/>
        <v>110</v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 t="s">
        <v>246</v>
      </c>
      <c r="F484" s="27">
        <v>30</v>
      </c>
      <c r="G484" s="28">
        <f t="shared" si="101"/>
        <v>150</v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 t="s">
        <v>246</v>
      </c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70" t="s">
        <v>250</v>
      </c>
      <c r="B486" s="171"/>
      <c r="C486" s="171"/>
      <c r="D486" s="171"/>
      <c r="E486" s="172">
        <f>SUM(E474:E485)</f>
        <v>0</v>
      </c>
      <c r="F486" s="36">
        <f>SUM(F474:F485)</f>
        <v>335</v>
      </c>
      <c r="G486" s="36">
        <f>SUM(G474:G485)</f>
        <v>1675</v>
      </c>
      <c r="H486" s="37"/>
      <c r="I486" s="37"/>
      <c r="J486" s="37"/>
      <c r="K486" s="37"/>
      <c r="L486" s="37"/>
      <c r="M486" s="38">
        <f ca="1">IFERROR(SUM(M474:M485),"")</f>
        <v>7.847222222222229E-2</v>
      </c>
      <c r="N486" s="36" t="s">
        <v>248</v>
      </c>
      <c r="O486" s="39"/>
    </row>
    <row r="487" spans="1:15" ht="18" customHeight="1">
      <c r="A487" s="167" t="s">
        <v>251</v>
      </c>
      <c r="B487" s="168"/>
      <c r="C487" s="168"/>
      <c r="D487" s="168"/>
      <c r="E487" s="169">
        <f>E473+E486</f>
        <v>0</v>
      </c>
      <c r="F487" s="40">
        <f>F473+F486</f>
        <v>682</v>
      </c>
      <c r="G487" s="40">
        <f>G473+G486</f>
        <v>3410</v>
      </c>
      <c r="H487" s="41"/>
      <c r="I487" s="41"/>
      <c r="J487" s="41"/>
      <c r="K487" s="41"/>
      <c r="L487" s="41"/>
      <c r="M487" s="42">
        <f ca="1">IFERROR(M473+M486,"")</f>
        <v>0.11041666666666673</v>
      </c>
      <c r="N487" s="40" t="s">
        <v>252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70" t="s">
        <v>247</v>
      </c>
      <c r="B500" s="171"/>
      <c r="C500" s="171"/>
      <c r="D500" s="171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248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70" t="s">
        <v>250</v>
      </c>
      <c r="B513" s="171"/>
      <c r="C513" s="171"/>
      <c r="D513" s="171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248</v>
      </c>
      <c r="O513" s="39"/>
    </row>
    <row r="514" spans="1:15" ht="18" customHeight="1">
      <c r="A514" s="167" t="s">
        <v>251</v>
      </c>
      <c r="B514" s="168"/>
      <c r="C514" s="168"/>
      <c r="D514" s="168"/>
      <c r="E514" s="16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252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70" t="s">
        <v>247</v>
      </c>
      <c r="B527" s="171"/>
      <c r="C527" s="171"/>
      <c r="D527" s="171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248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70" t="s">
        <v>250</v>
      </c>
      <c r="B540" s="171"/>
      <c r="C540" s="171"/>
      <c r="D540" s="171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248</v>
      </c>
      <c r="O540" s="39"/>
    </row>
    <row r="541" spans="1:15" ht="18" customHeight="1">
      <c r="A541" s="167" t="s">
        <v>251</v>
      </c>
      <c r="B541" s="168"/>
      <c r="C541" s="168"/>
      <c r="D541" s="168"/>
      <c r="E541" s="16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252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70" t="s">
        <v>247</v>
      </c>
      <c r="B554" s="171"/>
      <c r="C554" s="171"/>
      <c r="D554" s="171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248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70" t="s">
        <v>250</v>
      </c>
      <c r="B567" s="171"/>
      <c r="C567" s="171"/>
      <c r="D567" s="171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248</v>
      </c>
      <c r="O567" s="39"/>
    </row>
    <row r="568" spans="1:15" ht="18" customHeight="1">
      <c r="A568" s="167" t="s">
        <v>251</v>
      </c>
      <c r="B568" s="168"/>
      <c r="C568" s="168"/>
      <c r="D568" s="168"/>
      <c r="E568" s="16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252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70" t="s">
        <v>247</v>
      </c>
      <c r="B581" s="171"/>
      <c r="C581" s="171"/>
      <c r="D581" s="171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248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70" t="s">
        <v>250</v>
      </c>
      <c r="B594" s="171"/>
      <c r="C594" s="171"/>
      <c r="D594" s="171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248</v>
      </c>
      <c r="O594" s="39"/>
    </row>
    <row r="595" spans="1:15" ht="18" customHeight="1">
      <c r="A595" s="167" t="s">
        <v>251</v>
      </c>
      <c r="B595" s="168"/>
      <c r="C595" s="168"/>
      <c r="D595" s="168"/>
      <c r="E595" s="16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252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70" t="s">
        <v>247</v>
      </c>
      <c r="B608" s="171"/>
      <c r="C608" s="171"/>
      <c r="D608" s="171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248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70" t="s">
        <v>250</v>
      </c>
      <c r="B621" s="171"/>
      <c r="C621" s="171"/>
      <c r="D621" s="171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248</v>
      </c>
      <c r="O621" s="39"/>
    </row>
    <row r="622" spans="1:15" ht="18" customHeight="1">
      <c r="A622" s="167" t="s">
        <v>251</v>
      </c>
      <c r="B622" s="168"/>
      <c r="C622" s="168"/>
      <c r="D622" s="168"/>
      <c r="E622" s="16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252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70" t="s">
        <v>247</v>
      </c>
      <c r="B635" s="171"/>
      <c r="C635" s="171"/>
      <c r="D635" s="171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248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70" t="s">
        <v>250</v>
      </c>
      <c r="B648" s="171"/>
      <c r="C648" s="171"/>
      <c r="D648" s="171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248</v>
      </c>
      <c r="O648" s="39"/>
    </row>
    <row r="649" spans="1:15" ht="18" customHeight="1">
      <c r="A649" s="167" t="s">
        <v>251</v>
      </c>
      <c r="B649" s="168"/>
      <c r="C649" s="168"/>
      <c r="D649" s="168"/>
      <c r="E649" s="16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252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70" t="s">
        <v>247</v>
      </c>
      <c r="B662" s="171"/>
      <c r="C662" s="171"/>
      <c r="D662" s="171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248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70" t="s">
        <v>250</v>
      </c>
      <c r="B675" s="171"/>
      <c r="C675" s="171"/>
      <c r="D675" s="171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248</v>
      </c>
      <c r="O675" s="39"/>
    </row>
    <row r="676" spans="1:15" ht="18" customHeight="1">
      <c r="A676" s="167" t="s">
        <v>251</v>
      </c>
      <c r="B676" s="168"/>
      <c r="C676" s="168"/>
      <c r="D676" s="168"/>
      <c r="E676" s="16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252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70" t="s">
        <v>247</v>
      </c>
      <c r="B689" s="171"/>
      <c r="C689" s="171"/>
      <c r="D689" s="171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248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70" t="s">
        <v>250</v>
      </c>
      <c r="B702" s="171"/>
      <c r="C702" s="171"/>
      <c r="D702" s="171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248</v>
      </c>
      <c r="O702" s="39"/>
    </row>
    <row r="703" spans="1:15" ht="18" customHeight="1">
      <c r="A703" s="167" t="s">
        <v>251</v>
      </c>
      <c r="B703" s="168"/>
      <c r="C703" s="168"/>
      <c r="D703" s="168"/>
      <c r="E703" s="16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252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70" t="s">
        <v>247</v>
      </c>
      <c r="B716" s="171"/>
      <c r="C716" s="171"/>
      <c r="D716" s="171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248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70" t="s">
        <v>250</v>
      </c>
      <c r="B729" s="171"/>
      <c r="C729" s="171"/>
      <c r="D729" s="171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248</v>
      </c>
      <c r="O729" s="39"/>
    </row>
    <row r="730" spans="1:15" ht="18" customHeight="1">
      <c r="A730" s="167" t="s">
        <v>251</v>
      </c>
      <c r="B730" s="168"/>
      <c r="C730" s="168"/>
      <c r="D730" s="168"/>
      <c r="E730" s="16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252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70" t="s">
        <v>247</v>
      </c>
      <c r="B743" s="171"/>
      <c r="C743" s="171"/>
      <c r="D743" s="171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248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70" t="s">
        <v>250</v>
      </c>
      <c r="B756" s="171"/>
      <c r="C756" s="171"/>
      <c r="D756" s="171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248</v>
      </c>
      <c r="O756" s="39"/>
    </row>
    <row r="757" spans="1:15" ht="18" customHeight="1">
      <c r="A757" s="167" t="s">
        <v>251</v>
      </c>
      <c r="B757" s="168"/>
      <c r="C757" s="168"/>
      <c r="D757" s="168"/>
      <c r="E757" s="16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252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70" t="s">
        <v>247</v>
      </c>
      <c r="B770" s="171"/>
      <c r="C770" s="171"/>
      <c r="D770" s="171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248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70" t="s">
        <v>250</v>
      </c>
      <c r="B783" s="171"/>
      <c r="C783" s="171"/>
      <c r="D783" s="171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248</v>
      </c>
      <c r="O783" s="39"/>
    </row>
    <row r="784" spans="1:15" ht="18" customHeight="1">
      <c r="A784" s="167" t="s">
        <v>251</v>
      </c>
      <c r="B784" s="168"/>
      <c r="C784" s="168"/>
      <c r="D784" s="168"/>
      <c r="E784" s="16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252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70" t="s">
        <v>247</v>
      </c>
      <c r="B797" s="171"/>
      <c r="C797" s="171"/>
      <c r="D797" s="171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248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70" t="s">
        <v>250</v>
      </c>
      <c r="B810" s="171"/>
      <c r="C810" s="171"/>
      <c r="D810" s="171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248</v>
      </c>
      <c r="O810" s="39"/>
    </row>
    <row r="811" spans="1:15" ht="18" customHeight="1">
      <c r="A811" s="164" t="s">
        <v>251</v>
      </c>
      <c r="B811" s="165"/>
      <c r="C811" s="165"/>
      <c r="D811" s="165"/>
      <c r="E811" s="16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252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70" t="s">
        <v>247</v>
      </c>
      <c r="B824" s="171"/>
      <c r="C824" s="171"/>
      <c r="D824" s="171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248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70" t="s">
        <v>250</v>
      </c>
      <c r="B837" s="171"/>
      <c r="C837" s="171"/>
      <c r="D837" s="171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248</v>
      </c>
      <c r="O837" s="39"/>
    </row>
    <row r="838" spans="1:15" ht="18" customHeight="1">
      <c r="A838" s="167" t="s">
        <v>251</v>
      </c>
      <c r="B838" s="168"/>
      <c r="C838" s="168"/>
      <c r="D838" s="168"/>
      <c r="E838" s="16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66" activePane="bottomLeft" state="frozen"/>
      <selection pane="bottomLeft" activeCell="G485" sqref="G485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248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262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262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262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262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262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262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262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262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262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262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262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248</v>
      </c>
      <c r="S27" s="45">
        <v>549860</v>
      </c>
      <c r="T27" s="122"/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252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248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290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0.13558344906778075</v>
      </c>
      <c r="R53" s="46" t="s">
        <v>291</v>
      </c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0.27447233795666964</v>
      </c>
      <c r="R54" s="36" t="s">
        <v>248</v>
      </c>
      <c r="S54" s="75">
        <v>352430</v>
      </c>
      <c r="T54" s="117"/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0.35919456017889195</v>
      </c>
      <c r="R55" s="40" t="s">
        <v>252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248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195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210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262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248</v>
      </c>
      <c r="S81" s="54">
        <v>634210</v>
      </c>
      <c r="T81" s="118"/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252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262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221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248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293</v>
      </c>
      <c r="Q96" s="30" t="str">
        <f t="shared" ref="Q96:Q107" ca="1" si="22">IFERROR(IF(O96="","",IF(P96="",MOD(NOW()-O96,1),IF(P96&gt;=O96,P96-O96,P96+1-O96))),"")</f>
        <v/>
      </c>
      <c r="R96" s="46" t="s">
        <v>294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193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249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248</v>
      </c>
      <c r="S108" s="54">
        <v>456830</v>
      </c>
      <c r="T108" s="118"/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252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248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248</v>
      </c>
      <c r="S135" s="54">
        <v>756720</v>
      </c>
      <c r="T135" s="118"/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252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300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248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301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248</v>
      </c>
      <c r="S162" s="54">
        <v>501750</v>
      </c>
      <c r="T162" s="118"/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252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262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262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262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262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262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262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262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262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262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262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248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262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262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262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262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248</v>
      </c>
      <c r="S189" s="45">
        <v>362530</v>
      </c>
      <c r="T189" s="122"/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252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248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248</v>
      </c>
      <c r="S216" s="45">
        <v>609740</v>
      </c>
      <c r="T216" s="122"/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252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249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1" t="s">
        <v>247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248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249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248</v>
      </c>
      <c r="S243" s="45">
        <v>825930</v>
      </c>
      <c r="T243" s="122"/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252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248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262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262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262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262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262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262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262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262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262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262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262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262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45">
        <v>732130</v>
      </c>
      <c r="T270" s="122"/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252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262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262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262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262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246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262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246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246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262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262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246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246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246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246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246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45">
        <v>990260</v>
      </c>
      <c r="T297" s="122"/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262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262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262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262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262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262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262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262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262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262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262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262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248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262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262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262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262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262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262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262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262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262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262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248</v>
      </c>
      <c r="S324" s="149">
        <v>725030</v>
      </c>
      <c r="T324" s="122">
        <f>IFERROR(J324,"")</f>
        <v>104.40432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252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310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311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248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206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248</v>
      </c>
      <c r="S351" s="45">
        <v>712170</v>
      </c>
      <c r="T351" s="122">
        <f>IFERROR(J351,"")</f>
        <v>149.5557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252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248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248</v>
      </c>
      <c r="S378" s="45">
        <v>806300</v>
      </c>
      <c r="T378" s="122">
        <f>IFERROR(J378,"")</f>
        <v>169.32299999999998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252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262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262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248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248</v>
      </c>
      <c r="S405" s="45">
        <v>774540</v>
      </c>
      <c r="T405" s="122">
        <f>IFERROR(J405,"")</f>
        <v>156.22852721311477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252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248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250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248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251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252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318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248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219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246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319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320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248</v>
      </c>
      <c r="S459" s="45">
        <v>738730</v>
      </c>
      <c r="T459" s="122">
        <f>IFERROR(J459,"")</f>
        <v>144.10511642857142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252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321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248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7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29.400000000000002</v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>
        <v>0.91527777777777775</v>
      </c>
      <c r="Q476" s="30">
        <f t="shared" ca="1" si="120"/>
        <v>1.8055555555555491E-2</v>
      </c>
      <c r="R476" s="46" t="s">
        <v>322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13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54.6</v>
      </c>
      <c r="L477" s="33" t="s">
        <v>27</v>
      </c>
      <c r="M477" s="33" t="s">
        <v>46</v>
      </c>
      <c r="N477" s="33" t="s">
        <v>58</v>
      </c>
      <c r="O477" s="29">
        <v>0.95277777777777772</v>
      </c>
      <c r="P477" s="29">
        <v>0.96250000000000002</v>
      </c>
      <c r="Q477" s="35">
        <f t="shared" ca="1" si="120"/>
        <v>9.7222222222222987E-3</v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42</v>
      </c>
      <c r="L478" s="26" t="s">
        <v>25</v>
      </c>
      <c r="M478" s="26" t="s">
        <v>134</v>
      </c>
      <c r="N478" s="26" t="s">
        <v>192</v>
      </c>
      <c r="O478" s="29">
        <v>0.98750000000000004</v>
      </c>
      <c r="P478" s="29">
        <v>1.3888888888888889E-3</v>
      </c>
      <c r="Q478" s="30">
        <f t="shared" ca="1" si="120"/>
        <v>1.388888888888884E-2</v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14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58.800000000000004</v>
      </c>
      <c r="L479" s="33" t="s">
        <v>27</v>
      </c>
      <c r="M479" s="33" t="s">
        <v>38</v>
      </c>
      <c r="N479" s="33" t="s">
        <v>58</v>
      </c>
      <c r="O479" s="29">
        <v>5.4166666666666669E-2</v>
      </c>
      <c r="P479" s="29">
        <v>7.9166666666666663E-2</v>
      </c>
      <c r="Q479" s="35">
        <f t="shared" ca="1" si="120"/>
        <v>2.4999999999999994E-2</v>
      </c>
      <c r="R479" s="46" t="s">
        <v>323</v>
      </c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10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42</v>
      </c>
      <c r="L480" s="26" t="s">
        <v>26</v>
      </c>
      <c r="M480" s="26" t="s">
        <v>38</v>
      </c>
      <c r="N480" s="26" t="s">
        <v>34</v>
      </c>
      <c r="O480" s="29">
        <v>0.14166666666666666</v>
      </c>
      <c r="P480" s="29">
        <v>0.15069444444444444</v>
      </c>
      <c r="Q480" s="30">
        <f t="shared" ca="1" si="120"/>
        <v>9.0277777777777735E-3</v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12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50.400000000000006</v>
      </c>
      <c r="L481" s="33" t="s">
        <v>26</v>
      </c>
      <c r="M481" s="33" t="s">
        <v>46</v>
      </c>
      <c r="N481" s="33" t="s">
        <v>34</v>
      </c>
      <c r="O481" s="29">
        <v>0.15069444444444444</v>
      </c>
      <c r="P481" s="29">
        <v>0.15972222222222221</v>
      </c>
      <c r="Q481" s="35">
        <f t="shared" ca="1" si="120"/>
        <v>9.0277777777777735E-3</v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20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84</v>
      </c>
      <c r="L482" s="26" t="s">
        <v>27</v>
      </c>
      <c r="M482" s="26" t="s">
        <v>38</v>
      </c>
      <c r="N482" s="26" t="s">
        <v>216</v>
      </c>
      <c r="O482" s="29">
        <v>0.19444444444444445</v>
      </c>
      <c r="P482" s="29">
        <v>0.19791666666666666</v>
      </c>
      <c r="Q482" s="30">
        <f t="shared" ca="1" si="120"/>
        <v>3.4722222222222099E-3</v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16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67.2</v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18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75.600000000000009</v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655.20000000000005</v>
      </c>
      <c r="L486" s="37"/>
      <c r="M486" s="37"/>
      <c r="N486" s="37"/>
      <c r="O486" s="37"/>
      <c r="P486" s="37"/>
      <c r="Q486" s="38">
        <f ca="1">IFERROR(SUM(Q474:Q485),"")</f>
        <v>0.11249999999999996</v>
      </c>
      <c r="R486" s="36" t="s">
        <v>248</v>
      </c>
      <c r="S486" s="45"/>
      <c r="T486" s="122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349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1465.8</v>
      </c>
      <c r="L487" s="41"/>
      <c r="M487" s="41"/>
      <c r="N487" s="41"/>
      <c r="O487" s="41"/>
      <c r="P487" s="41"/>
      <c r="Q487" s="42">
        <f ca="1">IFERROR(Q473+Q486,"")</f>
        <v>0.23194444444444431</v>
      </c>
      <c r="R487" s="40" t="s">
        <v>252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250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45"/>
      <c r="T513" s="122">
        <f>IFERROR(J513,"")</f>
        <v>0</v>
      </c>
    </row>
    <row r="514" spans="1:20" ht="18" customHeight="1">
      <c r="A514" s="83" t="s">
        <v>251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45"/>
      <c r="T540" s="122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45"/>
      <c r="T567" s="122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45"/>
      <c r="T594" s="122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45"/>
      <c r="T621" s="122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45"/>
      <c r="T648" s="122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45"/>
      <c r="T675" s="122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45"/>
      <c r="T702" s="122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45"/>
      <c r="T729" s="122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75"/>
      <c r="T837" s="117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65" activePane="bottomLeft" state="frozen"/>
      <selection pane="bottomLeft" activeCell="G485" sqref="G48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248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262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262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262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248</v>
      </c>
      <c r="S27" s="39">
        <v>358000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252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262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262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262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262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262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262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262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262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262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262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70" t="s">
        <v>247</v>
      </c>
      <c r="B41" s="171"/>
      <c r="C41" s="171"/>
      <c r="D41" s="171"/>
      <c r="E41" s="171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248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248</v>
      </c>
      <c r="S54" s="39">
        <v>279980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252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262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262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262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262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262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262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262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262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262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262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248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195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248</v>
      </c>
      <c r="S81" s="39">
        <v>185920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252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248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330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248</v>
      </c>
      <c r="S108" s="39">
        <v>434370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252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248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331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208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248</v>
      </c>
      <c r="S135" s="39">
        <v>416350</v>
      </c>
      <c r="T135" s="119">
        <f>IFERROR(J135,"")</f>
        <v>0</v>
      </c>
    </row>
    <row r="136" spans="1:20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252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332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214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300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70" t="s">
        <v>247</v>
      </c>
      <c r="B149" s="171"/>
      <c r="C149" s="171"/>
      <c r="D149" s="171"/>
      <c r="E149" s="171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248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248</v>
      </c>
      <c r="S162" s="39">
        <v>169760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252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248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248</v>
      </c>
      <c r="S189" s="39">
        <v>72220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252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248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248</v>
      </c>
      <c r="S216" s="39">
        <v>148720</v>
      </c>
      <c r="T216" s="119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252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337</v>
      </c>
      <c r="Q222" s="30" t="str">
        <f t="shared" ca="1" si="49"/>
        <v/>
      </c>
      <c r="R222" s="27" t="s">
        <v>338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248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248</v>
      </c>
      <c r="S243" s="39">
        <v>352720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252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246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246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70" t="s">
        <v>247</v>
      </c>
      <c r="B257" s="171"/>
      <c r="C257" s="171"/>
      <c r="D257" s="171"/>
      <c r="E257" s="171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248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262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262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262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262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262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262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262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262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262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262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262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262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248</v>
      </c>
      <c r="S270" s="39">
        <v>327900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252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246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248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248</v>
      </c>
      <c r="S297" s="39">
        <v>462190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252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208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208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193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248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248</v>
      </c>
      <c r="S324" s="39">
        <v>289490</v>
      </c>
      <c r="T324" s="119">
        <f>IFERROR(J324,"")</f>
        <v>41.68656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252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310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340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311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246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70" t="s">
        <v>247</v>
      </c>
      <c r="B338" s="171"/>
      <c r="C338" s="171"/>
      <c r="D338" s="171"/>
      <c r="E338" s="171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248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248</v>
      </c>
      <c r="S351" s="39">
        <v>256170</v>
      </c>
      <c r="T351" s="119">
        <f>IFERROR(J351,"")</f>
        <v>53.795699999999997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252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70" t="s">
        <v>247</v>
      </c>
      <c r="B365" s="171"/>
      <c r="C365" s="171"/>
      <c r="D365" s="171"/>
      <c r="E365" s="171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248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214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248</v>
      </c>
      <c r="S378" s="39">
        <v>360560</v>
      </c>
      <c r="T378" s="119">
        <f>IFERROR(J378,"")</f>
        <v>75.71759999999999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252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341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248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248</v>
      </c>
      <c r="S405" s="39">
        <v>489360</v>
      </c>
      <c r="T405" s="119">
        <f>IFERROR(J405,"")</f>
        <v>99.305125714285708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252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342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248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343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248</v>
      </c>
      <c r="S432" s="39">
        <v>180150</v>
      </c>
      <c r="T432" s="119">
        <f>IFERROR(J432,"")</f>
        <v>25.941599999999998</v>
      </c>
    </row>
    <row r="433" spans="1:20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252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262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344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344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248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219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208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345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262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248</v>
      </c>
      <c r="S459" s="39">
        <v>471910</v>
      </c>
      <c r="T459" s="119">
        <f>IFERROR(J459,"")</f>
        <v>92.928007027027007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252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248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0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6">IFERROR(IF($H474="","",$H474*$F474*$I474),"")</f>
        <v>0</v>
      </c>
      <c r="K474" s="28">
        <f t="shared" ref="K474:K485" si="117">IF(G474="","",IF(E474="PC 17",G474*4.2,IF(E474="PC 19",G474*5,IF(E474="CB",G474*24,""))))</f>
        <v>0</v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 t="s">
        <v>25</v>
      </c>
      <c r="M475" s="33" t="s">
        <v>134</v>
      </c>
      <c r="N475" s="33" t="s">
        <v>192</v>
      </c>
      <c r="O475" s="29">
        <v>0.98750000000000004</v>
      </c>
      <c r="P475" s="29">
        <v>1.3888888888888889E-3</v>
      </c>
      <c r="Q475" s="35">
        <f t="shared" ca="1" si="118"/>
        <v>1.388888888888884E-2</v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5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6"/>
        <v>0</v>
      </c>
      <c r="K476" s="28">
        <f t="shared" si="117"/>
        <v>21</v>
      </c>
      <c r="L476" s="26" t="s">
        <v>27</v>
      </c>
      <c r="M476" s="26" t="s">
        <v>166</v>
      </c>
      <c r="N476" s="26" t="s">
        <v>81</v>
      </c>
      <c r="O476" s="29">
        <v>0.24583333333333332</v>
      </c>
      <c r="P476" s="29">
        <v>0.24930555555555556</v>
      </c>
      <c r="Q476" s="30">
        <f t="shared" ca="1" si="118"/>
        <v>3.4722222222222376E-3</v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5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6"/>
        <v>0</v>
      </c>
      <c r="K477" s="34">
        <f t="shared" si="117"/>
        <v>21</v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10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6"/>
        <v>0</v>
      </c>
      <c r="K478" s="28">
        <f t="shared" si="117"/>
        <v>42</v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10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6"/>
        <v>0</v>
      </c>
      <c r="K479" s="34">
        <f t="shared" si="117"/>
        <v>42</v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3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6"/>
        <v>0</v>
      </c>
      <c r="K480" s="28">
        <f t="shared" si="117"/>
        <v>12.600000000000001</v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6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6"/>
        <v>0</v>
      </c>
      <c r="K481" s="34">
        <f t="shared" si="117"/>
        <v>25.200000000000003</v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3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6"/>
        <v>0</v>
      </c>
      <c r="K482" s="28">
        <f t="shared" si="117"/>
        <v>12.600000000000001</v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3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6"/>
        <v>0</v>
      </c>
      <c r="K483" s="34">
        <f t="shared" si="117"/>
        <v>12.600000000000001</v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7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6"/>
        <v>0</v>
      </c>
      <c r="K484" s="28">
        <f t="shared" si="117"/>
        <v>29.400000000000002</v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56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235.20000000000002</v>
      </c>
      <c r="L486" s="37"/>
      <c r="M486" s="37"/>
      <c r="N486" s="37"/>
      <c r="O486" s="37"/>
      <c r="P486" s="37"/>
      <c r="Q486" s="38">
        <f ca="1">IFERROR(SUM(Q474:Q485),"")</f>
        <v>8.8194444444444492E-2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122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512.4</v>
      </c>
      <c r="L487" s="41"/>
      <c r="M487" s="41"/>
      <c r="N487" s="41"/>
      <c r="O487" s="41"/>
      <c r="P487" s="41"/>
      <c r="Q487" s="42">
        <f ca="1">IFERROR(Q473+Q486,"")</f>
        <v>0.37986111111111109</v>
      </c>
      <c r="R487" s="40" t="s">
        <v>252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252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85" sqref="G48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236</v>
      </c>
      <c r="C1" s="23" t="s">
        <v>17</v>
      </c>
      <c r="D1" s="22" t="s">
        <v>18</v>
      </c>
      <c r="E1" s="22" t="s">
        <v>237</v>
      </c>
      <c r="F1" s="133" t="s">
        <v>19</v>
      </c>
      <c r="G1" s="23" t="s">
        <v>238</v>
      </c>
      <c r="H1" s="133" t="s">
        <v>281</v>
      </c>
      <c r="I1" s="133" t="s">
        <v>20</v>
      </c>
      <c r="J1" s="133" t="s">
        <v>282</v>
      </c>
      <c r="K1" s="23" t="s">
        <v>239</v>
      </c>
      <c r="L1" s="23" t="s">
        <v>21</v>
      </c>
      <c r="M1" s="23" t="s">
        <v>22</v>
      </c>
      <c r="N1" s="23" t="s">
        <v>240</v>
      </c>
      <c r="O1" s="23" t="s">
        <v>241</v>
      </c>
      <c r="P1" s="23" t="s">
        <v>242</v>
      </c>
      <c r="Q1" s="24" t="s">
        <v>243</v>
      </c>
      <c r="R1" s="23" t="s">
        <v>244</v>
      </c>
      <c r="S1" s="23" t="s">
        <v>245</v>
      </c>
      <c r="T1" s="23" t="s">
        <v>282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262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262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262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262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262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262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262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262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262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262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262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262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70" t="s">
        <v>247</v>
      </c>
      <c r="B14" s="171"/>
      <c r="C14" s="171"/>
      <c r="D14" s="171"/>
      <c r="E14" s="171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248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262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262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262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262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262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262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262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262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262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262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262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262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70" t="s">
        <v>250</v>
      </c>
      <c r="B27" s="171"/>
      <c r="C27" s="171"/>
      <c r="D27" s="171"/>
      <c r="E27" s="171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248</v>
      </c>
      <c r="S27" s="39">
        <v>491520</v>
      </c>
      <c r="T27" s="119">
        <f>IFERROR(J27,"")</f>
        <v>0</v>
      </c>
    </row>
    <row r="28" spans="1:20" ht="18" customHeight="1">
      <c r="A28" s="167" t="s">
        <v>251</v>
      </c>
      <c r="B28" s="168"/>
      <c r="C28" s="168"/>
      <c r="D28" s="168"/>
      <c r="E28" s="168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252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262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262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262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262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262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262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262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262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262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262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262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262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70" t="s">
        <v>247</v>
      </c>
      <c r="B41" s="171"/>
      <c r="C41" s="171"/>
      <c r="D41" s="171"/>
      <c r="E41" s="171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248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262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262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262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262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262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262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262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262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262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262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262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262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70" t="s">
        <v>250</v>
      </c>
      <c r="B54" s="171"/>
      <c r="C54" s="171"/>
      <c r="D54" s="171"/>
      <c r="E54" s="171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248</v>
      </c>
      <c r="S54" s="39">
        <v>352430</v>
      </c>
      <c r="T54" s="119">
        <f>IFERROR(J54,"")</f>
        <v>0</v>
      </c>
    </row>
    <row r="55" spans="1:20" ht="18" customHeight="1">
      <c r="A55" s="167" t="s">
        <v>251</v>
      </c>
      <c r="B55" s="168"/>
      <c r="C55" s="168"/>
      <c r="D55" s="168"/>
      <c r="E55" s="168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252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262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262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262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216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262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350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262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351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262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262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262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262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262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262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262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70" t="s">
        <v>247</v>
      </c>
      <c r="B68" s="171"/>
      <c r="C68" s="171"/>
      <c r="D68" s="171"/>
      <c r="E68" s="171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248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262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228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352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262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262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262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262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262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216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262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262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262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262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262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70" t="s">
        <v>250</v>
      </c>
      <c r="B81" s="171"/>
      <c r="C81" s="171"/>
      <c r="D81" s="171"/>
      <c r="E81" s="171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248</v>
      </c>
      <c r="S81" s="39">
        <v>612410</v>
      </c>
      <c r="T81" s="119">
        <f>IFERROR(J81,"")</f>
        <v>0</v>
      </c>
    </row>
    <row r="82" spans="1:20" ht="18" customHeight="1">
      <c r="A82" s="167" t="s">
        <v>251</v>
      </c>
      <c r="B82" s="168"/>
      <c r="C82" s="168"/>
      <c r="D82" s="168"/>
      <c r="E82" s="168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252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262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262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262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262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262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262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262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262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262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262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262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262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70" t="s">
        <v>247</v>
      </c>
      <c r="B95" s="171"/>
      <c r="C95" s="171"/>
      <c r="D95" s="171"/>
      <c r="E95" s="171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248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262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262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262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262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262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262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262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262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262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262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262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262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70" t="s">
        <v>250</v>
      </c>
      <c r="B108" s="171"/>
      <c r="C108" s="171"/>
      <c r="D108" s="171"/>
      <c r="E108" s="171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248</v>
      </c>
      <c r="S108" s="39">
        <v>956070</v>
      </c>
      <c r="T108" s="119">
        <f>IFERROR(J108,"")</f>
        <v>0</v>
      </c>
    </row>
    <row r="109" spans="1:20" ht="18" customHeight="1">
      <c r="A109" s="167" t="s">
        <v>251</v>
      </c>
      <c r="B109" s="168"/>
      <c r="C109" s="168"/>
      <c r="D109" s="168"/>
      <c r="E109" s="168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252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262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262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228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262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233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262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233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262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262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262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262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262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262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262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262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70" t="s">
        <v>247</v>
      </c>
      <c r="B122" s="171"/>
      <c r="C122" s="171"/>
      <c r="D122" s="171"/>
      <c r="E122" s="171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248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262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216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262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262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262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262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262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262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262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262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262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262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262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70" t="s">
        <v>250</v>
      </c>
      <c r="B135" s="171"/>
      <c r="C135" s="171"/>
      <c r="D135" s="171"/>
      <c r="E135" s="171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248</v>
      </c>
      <c r="S135" s="39">
        <v>912240</v>
      </c>
      <c r="T135" s="119">
        <f>IFERROR(J135,"")</f>
        <v>0</v>
      </c>
    </row>
    <row r="136" spans="1:22" ht="18" customHeight="1">
      <c r="A136" s="167" t="s">
        <v>251</v>
      </c>
      <c r="B136" s="168"/>
      <c r="C136" s="168"/>
      <c r="D136" s="168"/>
      <c r="E136" s="168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252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262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262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262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262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262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262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262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262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262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262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300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262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262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247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248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262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262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262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262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262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262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262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262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262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262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262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262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70" t="s">
        <v>250</v>
      </c>
      <c r="B162" s="171"/>
      <c r="C162" s="171"/>
      <c r="D162" s="171"/>
      <c r="E162" s="171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248</v>
      </c>
      <c r="S162" s="39">
        <v>573230</v>
      </c>
      <c r="T162" s="119">
        <f>IFERROR(J162,"")</f>
        <v>0</v>
      </c>
    </row>
    <row r="163" spans="1:20" ht="18" customHeight="1">
      <c r="A163" s="167" t="s">
        <v>251</v>
      </c>
      <c r="B163" s="168"/>
      <c r="C163" s="168"/>
      <c r="D163" s="168"/>
      <c r="E163" s="168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252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262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262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193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262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262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262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262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262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262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262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262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262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262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70" t="s">
        <v>247</v>
      </c>
      <c r="B176" s="171"/>
      <c r="C176" s="171"/>
      <c r="D176" s="171"/>
      <c r="E176" s="171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248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262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360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262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262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262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262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262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262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262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262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262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262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262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70" t="s">
        <v>250</v>
      </c>
      <c r="B189" s="171"/>
      <c r="C189" s="171"/>
      <c r="D189" s="171"/>
      <c r="E189" s="171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248</v>
      </c>
      <c r="S189" s="39">
        <v>692750</v>
      </c>
      <c r="T189" s="119">
        <f>IFERROR(J189,"")</f>
        <v>0</v>
      </c>
    </row>
    <row r="190" spans="1:20" ht="18" customHeight="1">
      <c r="A190" s="167" t="s">
        <v>251</v>
      </c>
      <c r="B190" s="168"/>
      <c r="C190" s="168"/>
      <c r="D190" s="168"/>
      <c r="E190" s="168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252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262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262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361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262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262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262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262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262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262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262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262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262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262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70" t="s">
        <v>247</v>
      </c>
      <c r="B203" s="171"/>
      <c r="C203" s="171"/>
      <c r="D203" s="171"/>
      <c r="E203" s="171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248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262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362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262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262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262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262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262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262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262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262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262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262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262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70" t="s">
        <v>250</v>
      </c>
      <c r="B216" s="171"/>
      <c r="C216" s="171"/>
      <c r="D216" s="171"/>
      <c r="E216" s="171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248</v>
      </c>
      <c r="S216" s="45">
        <v>607180</v>
      </c>
      <c r="T216" s="122">
        <f>IFERROR(J216,"")</f>
        <v>0</v>
      </c>
    </row>
    <row r="217" spans="1:20" ht="18" customHeight="1">
      <c r="A217" s="167" t="s">
        <v>251</v>
      </c>
      <c r="B217" s="168"/>
      <c r="C217" s="168"/>
      <c r="D217" s="168"/>
      <c r="E217" s="168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252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262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262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262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262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246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262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262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262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262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262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262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262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70" t="s">
        <v>247</v>
      </c>
      <c r="B230" s="171"/>
      <c r="C230" s="171"/>
      <c r="D230" s="171"/>
      <c r="E230" s="171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248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262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246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262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246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246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246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246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246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246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246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246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246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70" t="s">
        <v>250</v>
      </c>
      <c r="B243" s="171"/>
      <c r="C243" s="171"/>
      <c r="D243" s="171"/>
      <c r="E243" s="171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248</v>
      </c>
      <c r="S243" s="39">
        <v>795250</v>
      </c>
      <c r="T243" s="119">
        <f>IFERROR(J243,"")</f>
        <v>0</v>
      </c>
    </row>
    <row r="244" spans="1:20" ht="18" customHeight="1">
      <c r="A244" s="167" t="s">
        <v>251</v>
      </c>
      <c r="B244" s="168"/>
      <c r="C244" s="168"/>
      <c r="D244" s="168"/>
      <c r="E244" s="168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252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246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246</v>
      </c>
      <c r="F246" s="134"/>
      <c r="G246" s="27" t="s">
        <v>272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246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246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262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262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262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262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262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262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262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262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70" t="s">
        <v>247</v>
      </c>
      <c r="B257" s="171"/>
      <c r="C257" s="171"/>
      <c r="D257" s="171"/>
      <c r="E257" s="171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248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262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262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262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262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262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262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262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262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262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262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262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262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70" t="s">
        <v>250</v>
      </c>
      <c r="B270" s="171"/>
      <c r="C270" s="171"/>
      <c r="D270" s="171"/>
      <c r="E270" s="171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248</v>
      </c>
      <c r="S270" s="39">
        <v>683360</v>
      </c>
      <c r="T270" s="119">
        <f>IFERROR(J270,"")</f>
        <v>0</v>
      </c>
    </row>
    <row r="271" spans="1:20" ht="18" customHeight="1">
      <c r="A271" s="167" t="s">
        <v>251</v>
      </c>
      <c r="B271" s="168"/>
      <c r="C271" s="168"/>
      <c r="D271" s="168"/>
      <c r="E271" s="168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252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262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262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262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262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262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262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262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262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262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262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262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262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70" t="s">
        <v>247</v>
      </c>
      <c r="B284" s="171"/>
      <c r="C284" s="171"/>
      <c r="D284" s="171"/>
      <c r="E284" s="171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248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246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246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262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246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246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246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246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246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246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246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246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246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70" t="s">
        <v>250</v>
      </c>
      <c r="B297" s="171"/>
      <c r="C297" s="171"/>
      <c r="D297" s="171"/>
      <c r="E297" s="171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248</v>
      </c>
      <c r="S297" s="39">
        <v>904710</v>
      </c>
      <c r="T297" s="119">
        <f>IFERROR(J297,"")</f>
        <v>0</v>
      </c>
    </row>
    <row r="298" spans="1:20" ht="18" customHeight="1">
      <c r="A298" s="167" t="s">
        <v>251</v>
      </c>
      <c r="B298" s="168"/>
      <c r="C298" s="168"/>
      <c r="D298" s="168"/>
      <c r="E298" s="168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252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262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193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262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262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262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262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262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262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262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262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262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262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262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70" t="s">
        <v>247</v>
      </c>
      <c r="B311" s="171"/>
      <c r="C311" s="171"/>
      <c r="D311" s="171"/>
      <c r="E311" s="171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248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262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262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262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262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262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262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262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262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262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262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262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262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70" t="s">
        <v>250</v>
      </c>
      <c r="B324" s="171"/>
      <c r="C324" s="171"/>
      <c r="D324" s="171"/>
      <c r="E324" s="171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248</v>
      </c>
      <c r="S324" s="39">
        <v>1049720</v>
      </c>
      <c r="T324" s="119">
        <f>IFERROR(J324,"")</f>
        <v>151.15967999999998</v>
      </c>
    </row>
    <row r="325" spans="1:20" ht="18" customHeight="1">
      <c r="A325" s="167" t="s">
        <v>251</v>
      </c>
      <c r="B325" s="168"/>
      <c r="C325" s="168"/>
      <c r="D325" s="168"/>
      <c r="E325" s="168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252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246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246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246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246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262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246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262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262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262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262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262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262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70" t="s">
        <v>247</v>
      </c>
      <c r="B338" s="171"/>
      <c r="C338" s="171"/>
      <c r="D338" s="171"/>
      <c r="E338" s="171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248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262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262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262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262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262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262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262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262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370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262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371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262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262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262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70" t="s">
        <v>250</v>
      </c>
      <c r="B351" s="171"/>
      <c r="C351" s="171"/>
      <c r="D351" s="171"/>
      <c r="E351" s="171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248</v>
      </c>
      <c r="S351" s="39">
        <v>1058130</v>
      </c>
      <c r="T351" s="119">
        <f>IFERROR(J351,"")</f>
        <v>222.20729999999995</v>
      </c>
    </row>
    <row r="352" spans="1:20" ht="18" customHeight="1">
      <c r="A352" s="167" t="s">
        <v>251</v>
      </c>
      <c r="B352" s="168"/>
      <c r="C352" s="168"/>
      <c r="D352" s="168"/>
      <c r="E352" s="168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252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262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262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262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262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372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262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262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262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262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262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262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262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262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247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248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262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262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262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262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262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262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262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262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262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262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262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262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70" t="s">
        <v>250</v>
      </c>
      <c r="B378" s="171"/>
      <c r="C378" s="171"/>
      <c r="D378" s="171"/>
      <c r="E378" s="171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248</v>
      </c>
      <c r="S378" s="39">
        <v>1137080</v>
      </c>
      <c r="T378" s="119">
        <f>IFERROR(J378,"")</f>
        <v>238.78679999999994</v>
      </c>
    </row>
    <row r="379" spans="1:20" ht="18" customHeight="1">
      <c r="A379" s="167" t="s">
        <v>251</v>
      </c>
      <c r="B379" s="168"/>
      <c r="C379" s="168"/>
      <c r="D379" s="168"/>
      <c r="E379" s="168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252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262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262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262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262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262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262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262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262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262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262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262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262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70" t="s">
        <v>247</v>
      </c>
      <c r="B392" s="171"/>
      <c r="C392" s="171"/>
      <c r="D392" s="171"/>
      <c r="E392" s="171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248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262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228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262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262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262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262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262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262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262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262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262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262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262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70" t="s">
        <v>250</v>
      </c>
      <c r="B405" s="171"/>
      <c r="C405" s="171"/>
      <c r="D405" s="171"/>
      <c r="E405" s="171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248</v>
      </c>
      <c r="S405" s="39">
        <v>989450</v>
      </c>
      <c r="T405" s="119">
        <f>IFERROR(J405,"")</f>
        <v>195.72390675675675</v>
      </c>
    </row>
    <row r="406" spans="1:20" ht="18" customHeight="1">
      <c r="A406" s="167" t="s">
        <v>251</v>
      </c>
      <c r="B406" s="168"/>
      <c r="C406" s="168"/>
      <c r="D406" s="168"/>
      <c r="E406" s="168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252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262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235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262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262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262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262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262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262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262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262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262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262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262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70" t="s">
        <v>247</v>
      </c>
      <c r="B419" s="171"/>
      <c r="C419" s="171"/>
      <c r="D419" s="171"/>
      <c r="E419" s="171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248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262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262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262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262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262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262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262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262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262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262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262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262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70" t="s">
        <v>250</v>
      </c>
      <c r="B432" s="171"/>
      <c r="C432" s="171"/>
      <c r="D432" s="171"/>
      <c r="E432" s="171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248</v>
      </c>
      <c r="S432" s="39">
        <v>766030</v>
      </c>
      <c r="T432" s="119">
        <f>IFERROR(J432,"")</f>
        <v>110.30832000000001</v>
      </c>
    </row>
    <row r="433" spans="1:21" ht="18" customHeight="1">
      <c r="A433" s="167" t="s">
        <v>251</v>
      </c>
      <c r="B433" s="168"/>
      <c r="C433" s="168"/>
      <c r="D433" s="168"/>
      <c r="E433" s="168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252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262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262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262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262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262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262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262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262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262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262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262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262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70" t="s">
        <v>247</v>
      </c>
      <c r="B446" s="171"/>
      <c r="C446" s="171"/>
      <c r="D446" s="171"/>
      <c r="E446" s="171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248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262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379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262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262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262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262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210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373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262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262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262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262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262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262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262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70" t="s">
        <v>250</v>
      </c>
      <c r="B459" s="171"/>
      <c r="C459" s="171"/>
      <c r="D459" s="171"/>
      <c r="E459" s="171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248</v>
      </c>
      <c r="S459" s="39">
        <v>1024280</v>
      </c>
      <c r="T459" s="119">
        <f>IFERROR(J459,"")</f>
        <v>202.88866044052861</v>
      </c>
    </row>
    <row r="460" spans="1:20" ht="18" customHeight="1">
      <c r="A460" s="167" t="s">
        <v>251</v>
      </c>
      <c r="B460" s="168"/>
      <c r="C460" s="168"/>
      <c r="D460" s="168"/>
      <c r="E460" s="168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252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262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262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262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262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262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262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262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262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262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262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262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262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70" t="s">
        <v>247</v>
      </c>
      <c r="B473" s="171"/>
      <c r="C473" s="171"/>
      <c r="D473" s="171"/>
      <c r="E473" s="171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248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262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262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262</v>
      </c>
      <c r="F476" s="134">
        <f>IFERROR(IF($D476="","",VLOOKUP($D476,Cadastro!$C$4:$E$7,3,FALSE)),"")</f>
        <v>0.35</v>
      </c>
      <c r="G476" s="105">
        <v>0</v>
      </c>
      <c r="H476" s="134">
        <f>IFERROR(IF($G476="","",$G476*$S$486/$G$486/Cadastro!$E$33),"")</f>
        <v>0</v>
      </c>
      <c r="I476" s="135">
        <f>IFERROR(IF($D476="","",VLOOKUP($D476,Cadastro!$C$4:$G$7,5,FALSE)),"")</f>
        <v>0.6</v>
      </c>
      <c r="J476" s="136">
        <f t="shared" si="118"/>
        <v>0</v>
      </c>
      <c r="K476" s="28">
        <f t="shared" si="119"/>
        <v>0</v>
      </c>
      <c r="L476" s="26" t="s">
        <v>25</v>
      </c>
      <c r="M476" s="26" t="s">
        <v>137</v>
      </c>
      <c r="N476" s="26"/>
      <c r="O476" s="29">
        <v>0.88263888888888886</v>
      </c>
      <c r="P476" s="29">
        <v>0.98472222222222228</v>
      </c>
      <c r="Q476" s="30">
        <f t="shared" ca="1" si="120"/>
        <v>0.10208333333333341</v>
      </c>
      <c r="R476" s="27" t="s">
        <v>380</v>
      </c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262</v>
      </c>
      <c r="F477" s="134">
        <f>IFERROR(IF($D477="","",VLOOKUP($D477,Cadastro!$C$4:$E$7,3,FALSE)),"")</f>
        <v>0.35</v>
      </c>
      <c r="G477" s="105">
        <v>8</v>
      </c>
      <c r="H477" s="134">
        <f>IFERROR(IF($G477="","",$G477*$S$486/$G$486/Cadastro!$E$33),"")</f>
        <v>0</v>
      </c>
      <c r="I477" s="135">
        <f>IFERROR(IF($D477="","",VLOOKUP($D477,Cadastro!$C$4:$G$7,5,FALSE)),"")</f>
        <v>0.6</v>
      </c>
      <c r="J477" s="136">
        <f t="shared" si="118"/>
        <v>0</v>
      </c>
      <c r="K477" s="34">
        <f t="shared" si="119"/>
        <v>33.6</v>
      </c>
      <c r="L477" s="33" t="s">
        <v>27</v>
      </c>
      <c r="M477" s="33" t="s">
        <v>64</v>
      </c>
      <c r="N477" s="33" t="s">
        <v>43</v>
      </c>
      <c r="O477" s="29">
        <v>0.05</v>
      </c>
      <c r="P477" s="29">
        <v>5.9027777777777776E-2</v>
      </c>
      <c r="Q477" s="35">
        <f t="shared" ca="1" si="120"/>
        <v>9.0277777777777735E-3</v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262</v>
      </c>
      <c r="F478" s="134">
        <f>IFERROR(IF($D478="","",VLOOKUP($D478,Cadastro!$C$4:$E$7,3,FALSE)),"")</f>
        <v>0.35</v>
      </c>
      <c r="G478" s="105">
        <v>12</v>
      </c>
      <c r="H478" s="134">
        <f>IFERROR(IF($G478="","",$G478*$S$486/$G$486/Cadastro!$E$33),"")</f>
        <v>0</v>
      </c>
      <c r="I478" s="135">
        <f>IFERROR(IF($D478="","",VLOOKUP($D478,Cadastro!$C$4:$G$7,5,FALSE)),"")</f>
        <v>0.6</v>
      </c>
      <c r="J478" s="136">
        <f t="shared" si="118"/>
        <v>0</v>
      </c>
      <c r="K478" s="28">
        <f t="shared" si="119"/>
        <v>50.400000000000006</v>
      </c>
      <c r="L478" s="26" t="s">
        <v>26</v>
      </c>
      <c r="M478" s="26" t="s">
        <v>171</v>
      </c>
      <c r="N478" s="26" t="s">
        <v>34</v>
      </c>
      <c r="O478" s="29">
        <v>0.15972222222222221</v>
      </c>
      <c r="P478" s="29">
        <v>0.1763888888888889</v>
      </c>
      <c r="Q478" s="30">
        <f t="shared" ca="1" si="120"/>
        <v>1.6666666666666691E-2</v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262</v>
      </c>
      <c r="F479" s="134">
        <f>IFERROR(IF($D479="","",VLOOKUP($D479,Cadastro!$C$4:$E$7,3,FALSE)),"")</f>
        <v>0.35</v>
      </c>
      <c r="G479" s="105">
        <v>12</v>
      </c>
      <c r="H479" s="134">
        <f>IFERROR(IF($G479="","",$G479*$S$486/$G$486/Cadastro!$E$33),"")</f>
        <v>0</v>
      </c>
      <c r="I479" s="135">
        <f>IFERROR(IF($D479="","",VLOOKUP($D479,Cadastro!$C$4:$G$7,5,FALSE)),"")</f>
        <v>0.6</v>
      </c>
      <c r="J479" s="136">
        <f t="shared" si="118"/>
        <v>0</v>
      </c>
      <c r="K479" s="34">
        <f t="shared" si="119"/>
        <v>50.400000000000006</v>
      </c>
      <c r="L479" s="33" t="s">
        <v>25</v>
      </c>
      <c r="M479" s="33" t="s">
        <v>64</v>
      </c>
      <c r="N479" s="33" t="s">
        <v>138</v>
      </c>
      <c r="O479" s="29">
        <v>0.22430555555555556</v>
      </c>
      <c r="P479" s="29">
        <v>0.24027777777777778</v>
      </c>
      <c r="Q479" s="35">
        <f t="shared" ca="1" si="120"/>
        <v>1.5972222222222221E-2</v>
      </c>
      <c r="R479" s="27" t="s">
        <v>381</v>
      </c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262</v>
      </c>
      <c r="F480" s="134">
        <f>IFERROR(IF($D480="","",VLOOKUP($D480,Cadastro!$C$4:$E$7,3,FALSE)),"")</f>
        <v>0.35</v>
      </c>
      <c r="G480" s="105">
        <v>17</v>
      </c>
      <c r="H480" s="134">
        <f>IFERROR(IF($G480="","",$G480*$S$486/$G$486/Cadastro!$E$33),"")</f>
        <v>0</v>
      </c>
      <c r="I480" s="135">
        <f>IFERROR(IF($D480="","",VLOOKUP($D480,Cadastro!$C$4:$G$7,5,FALSE)),"")</f>
        <v>0.6</v>
      </c>
      <c r="J480" s="136">
        <f t="shared" si="118"/>
        <v>0</v>
      </c>
      <c r="K480" s="28">
        <f t="shared" si="119"/>
        <v>71.400000000000006</v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 t="s">
        <v>262</v>
      </c>
      <c r="F481" s="134">
        <f>IFERROR(IF($D481="","",VLOOKUP($D481,Cadastro!$C$4:$E$7,3,FALSE)),"")</f>
        <v>0.35</v>
      </c>
      <c r="G481" s="105">
        <v>4</v>
      </c>
      <c r="H481" s="134">
        <f>IFERROR(IF($G481="","",$G481*$S$486/$G$486/Cadastro!$E$33),"")</f>
        <v>0</v>
      </c>
      <c r="I481" s="135">
        <f>IFERROR(IF($D481="","",VLOOKUP($D481,Cadastro!$C$4:$G$7,5,FALSE)),"")</f>
        <v>0.6</v>
      </c>
      <c r="J481" s="136">
        <f t="shared" si="118"/>
        <v>0</v>
      </c>
      <c r="K481" s="34">
        <f t="shared" si="119"/>
        <v>16.8</v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 t="s">
        <v>262</v>
      </c>
      <c r="F482" s="134">
        <f>IFERROR(IF($D482="","",VLOOKUP($D482,Cadastro!$C$4:$E$7,3,FALSE)),"")</f>
        <v>0.35</v>
      </c>
      <c r="G482" s="105">
        <v>26</v>
      </c>
      <c r="H482" s="134">
        <f>IFERROR(IF($G482="","",$G482*$S$486/$G$486/Cadastro!$E$33),"")</f>
        <v>0</v>
      </c>
      <c r="I482" s="135">
        <f>IFERROR(IF($D482="","",VLOOKUP($D482,Cadastro!$C$4:$G$7,5,FALSE)),"")</f>
        <v>0.6</v>
      </c>
      <c r="J482" s="136">
        <f t="shared" si="118"/>
        <v>0</v>
      </c>
      <c r="K482" s="28">
        <f t="shared" si="119"/>
        <v>109.2</v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 t="s">
        <v>262</v>
      </c>
      <c r="F483" s="134">
        <f>IFERROR(IF($D483="","",VLOOKUP($D483,Cadastro!$C$4:$E$7,3,FALSE)),"")</f>
        <v>0.35</v>
      </c>
      <c r="G483" s="105">
        <v>10</v>
      </c>
      <c r="H483" s="134">
        <f>IFERROR(IF($G483="","",$G483*$S$486/$G$486/Cadastro!$E$33),"")</f>
        <v>0</v>
      </c>
      <c r="I483" s="135">
        <f>IFERROR(IF($D483="","",VLOOKUP($D483,Cadastro!$C$4:$G$7,5,FALSE)),"")</f>
        <v>0.6</v>
      </c>
      <c r="J483" s="136">
        <f t="shared" si="118"/>
        <v>0</v>
      </c>
      <c r="K483" s="34">
        <f t="shared" si="119"/>
        <v>42</v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 t="s">
        <v>262</v>
      </c>
      <c r="F484" s="134">
        <f>IFERROR(IF($D484="","",VLOOKUP($D484,Cadastro!$C$4:$E$7,3,FALSE)),"")</f>
        <v>0.35</v>
      </c>
      <c r="G484" s="105">
        <v>14</v>
      </c>
      <c r="H484" s="134">
        <f>IFERROR(IF($G484="","",$G484*$S$486/$G$486/Cadastro!$E$33),"")</f>
        <v>0</v>
      </c>
      <c r="I484" s="135">
        <f>IFERROR(IF($D484="","",VLOOKUP($D484,Cadastro!$C$4:$G$7,5,FALSE)),"")</f>
        <v>0.6</v>
      </c>
      <c r="J484" s="136">
        <f t="shared" si="118"/>
        <v>0</v>
      </c>
      <c r="K484" s="28">
        <f t="shared" si="119"/>
        <v>58.800000000000004</v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 t="s">
        <v>262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70" t="s">
        <v>250</v>
      </c>
      <c r="B486" s="171"/>
      <c r="C486" s="171"/>
      <c r="D486" s="171"/>
      <c r="E486" s="171">
        <f>SUM(E474:E485)</f>
        <v>0</v>
      </c>
      <c r="F486" s="111"/>
      <c r="G486" s="80">
        <f>SUM(G474:G485)</f>
        <v>141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592.19999999999993</v>
      </c>
      <c r="L486" s="37"/>
      <c r="M486" s="37"/>
      <c r="N486" s="37"/>
      <c r="O486" s="61"/>
      <c r="P486" s="61"/>
      <c r="Q486" s="38">
        <f ca="1">IFERROR(SUM(Q474:Q485),"")</f>
        <v>0.15833333333333338</v>
      </c>
      <c r="R486" s="36" t="s">
        <v>248</v>
      </c>
      <c r="S486" s="39"/>
      <c r="T486" s="119">
        <f>IFERROR(J486,"")</f>
        <v>0</v>
      </c>
    </row>
    <row r="487" spans="1:20" ht="18" customHeight="1">
      <c r="A487" s="167" t="s">
        <v>251</v>
      </c>
      <c r="B487" s="168"/>
      <c r="C487" s="168"/>
      <c r="D487" s="168"/>
      <c r="E487" s="168">
        <f>E473+E486</f>
        <v>0</v>
      </c>
      <c r="F487" s="112"/>
      <c r="G487" s="91">
        <f>G473+G486</f>
        <v>295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1239</v>
      </c>
      <c r="L487" s="41"/>
      <c r="M487" s="41"/>
      <c r="N487" s="41"/>
      <c r="O487" s="63"/>
      <c r="P487" s="63"/>
      <c r="Q487" s="42">
        <f ca="1">IFERROR(Q473+Q486,"")</f>
        <v>0.45138888888888873</v>
      </c>
      <c r="R487" s="40" t="s">
        <v>252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70" t="s">
        <v>247</v>
      </c>
      <c r="B500" s="171"/>
      <c r="C500" s="171"/>
      <c r="D500" s="171"/>
      <c r="E500" s="171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248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70" t="s">
        <v>250</v>
      </c>
      <c r="B513" s="171"/>
      <c r="C513" s="171"/>
      <c r="D513" s="171"/>
      <c r="E513" s="171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248</v>
      </c>
      <c r="S513" s="39"/>
      <c r="T513" s="119">
        <f>IFERROR(J513,"")</f>
        <v>0</v>
      </c>
    </row>
    <row r="514" spans="1:20" ht="18" customHeight="1">
      <c r="A514" s="167" t="s">
        <v>251</v>
      </c>
      <c r="B514" s="168"/>
      <c r="C514" s="168"/>
      <c r="D514" s="168"/>
      <c r="E514" s="168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252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70" t="s">
        <v>247</v>
      </c>
      <c r="B527" s="171"/>
      <c r="C527" s="171"/>
      <c r="D527" s="171"/>
      <c r="E527" s="171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248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70" t="s">
        <v>250</v>
      </c>
      <c r="B540" s="171"/>
      <c r="C540" s="171"/>
      <c r="D540" s="171"/>
      <c r="E540" s="171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248</v>
      </c>
      <c r="S540" s="39"/>
      <c r="T540" s="119">
        <f>IFERROR(J540,"")</f>
        <v>0</v>
      </c>
    </row>
    <row r="541" spans="1:20" ht="18" customHeight="1">
      <c r="A541" s="167" t="s">
        <v>251</v>
      </c>
      <c r="B541" s="168"/>
      <c r="C541" s="168"/>
      <c r="D541" s="168"/>
      <c r="E541" s="168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252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70" t="s">
        <v>247</v>
      </c>
      <c r="B554" s="171"/>
      <c r="C554" s="171"/>
      <c r="D554" s="171"/>
      <c r="E554" s="171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248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70" t="s">
        <v>250</v>
      </c>
      <c r="B567" s="171"/>
      <c r="C567" s="171"/>
      <c r="D567" s="171"/>
      <c r="E567" s="171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248</v>
      </c>
      <c r="S567" s="39"/>
      <c r="T567" s="119">
        <f>IFERROR(J567,"")</f>
        <v>0</v>
      </c>
    </row>
    <row r="568" spans="1:20" ht="18" customHeight="1">
      <c r="A568" s="167" t="s">
        <v>251</v>
      </c>
      <c r="B568" s="168"/>
      <c r="C568" s="168"/>
      <c r="D568" s="168"/>
      <c r="E568" s="168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252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70" t="s">
        <v>247</v>
      </c>
      <c r="B581" s="171"/>
      <c r="C581" s="171"/>
      <c r="D581" s="171"/>
      <c r="E581" s="171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248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70" t="s">
        <v>250</v>
      </c>
      <c r="B594" s="171"/>
      <c r="C594" s="171"/>
      <c r="D594" s="171"/>
      <c r="E594" s="171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248</v>
      </c>
      <c r="S594" s="39"/>
      <c r="T594" s="119">
        <f>IFERROR(J594,"")</f>
        <v>0</v>
      </c>
    </row>
    <row r="595" spans="1:20" ht="18" customHeight="1">
      <c r="A595" s="167" t="s">
        <v>251</v>
      </c>
      <c r="B595" s="168"/>
      <c r="C595" s="168"/>
      <c r="D595" s="168"/>
      <c r="E595" s="168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252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70" t="s">
        <v>247</v>
      </c>
      <c r="B608" s="171"/>
      <c r="C608" s="171"/>
      <c r="D608" s="171"/>
      <c r="E608" s="171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248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70" t="s">
        <v>250</v>
      </c>
      <c r="B621" s="171"/>
      <c r="C621" s="171"/>
      <c r="D621" s="171"/>
      <c r="E621" s="171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248</v>
      </c>
      <c r="S621" s="39"/>
      <c r="T621" s="119">
        <f>IFERROR(J621,"")</f>
        <v>0</v>
      </c>
    </row>
    <row r="622" spans="1:20" ht="18" customHeight="1">
      <c r="A622" s="167" t="s">
        <v>251</v>
      </c>
      <c r="B622" s="168"/>
      <c r="C622" s="168"/>
      <c r="D622" s="168"/>
      <c r="E622" s="168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252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70" t="s">
        <v>247</v>
      </c>
      <c r="B635" s="171"/>
      <c r="C635" s="171"/>
      <c r="D635" s="171"/>
      <c r="E635" s="171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248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70" t="s">
        <v>250</v>
      </c>
      <c r="B648" s="171"/>
      <c r="C648" s="171"/>
      <c r="D648" s="171"/>
      <c r="E648" s="171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248</v>
      </c>
      <c r="S648" s="39"/>
      <c r="T648" s="119">
        <f>IFERROR(J648,"")</f>
        <v>0</v>
      </c>
    </row>
    <row r="649" spans="1:20" ht="18" customHeight="1">
      <c r="A649" s="167" t="s">
        <v>251</v>
      </c>
      <c r="B649" s="168"/>
      <c r="C649" s="168"/>
      <c r="D649" s="168"/>
      <c r="E649" s="168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252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70" t="s">
        <v>247</v>
      </c>
      <c r="B662" s="171"/>
      <c r="C662" s="171"/>
      <c r="D662" s="171"/>
      <c r="E662" s="171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248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70" t="s">
        <v>250</v>
      </c>
      <c r="B675" s="171"/>
      <c r="C675" s="171"/>
      <c r="D675" s="171"/>
      <c r="E675" s="171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248</v>
      </c>
      <c r="S675" s="39"/>
      <c r="T675" s="119">
        <f>IFERROR(J675,"")</f>
        <v>0</v>
      </c>
    </row>
    <row r="676" spans="1:20" ht="18" customHeight="1">
      <c r="A676" s="167" t="s">
        <v>251</v>
      </c>
      <c r="B676" s="168"/>
      <c r="C676" s="168"/>
      <c r="D676" s="168"/>
      <c r="E676" s="168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252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70" t="s">
        <v>247</v>
      </c>
      <c r="B689" s="171"/>
      <c r="C689" s="171"/>
      <c r="D689" s="171"/>
      <c r="E689" s="171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248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70" t="s">
        <v>250</v>
      </c>
      <c r="B702" s="171"/>
      <c r="C702" s="171"/>
      <c r="D702" s="171"/>
      <c r="E702" s="171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248</v>
      </c>
      <c r="S702" s="39"/>
      <c r="T702" s="119">
        <f>IFERROR(J702,"")</f>
        <v>0</v>
      </c>
    </row>
    <row r="703" spans="1:20" ht="18" customHeight="1">
      <c r="A703" s="167" t="s">
        <v>251</v>
      </c>
      <c r="B703" s="168"/>
      <c r="C703" s="168"/>
      <c r="D703" s="168"/>
      <c r="E703" s="168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252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70" t="s">
        <v>247</v>
      </c>
      <c r="B716" s="171"/>
      <c r="C716" s="171"/>
      <c r="D716" s="171"/>
      <c r="E716" s="171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248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70" t="s">
        <v>250</v>
      </c>
      <c r="B729" s="171"/>
      <c r="C729" s="171"/>
      <c r="D729" s="171"/>
      <c r="E729" s="171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248</v>
      </c>
      <c r="S729" s="39"/>
      <c r="T729" s="119">
        <f>IFERROR(J729,"")</f>
        <v>0</v>
      </c>
    </row>
    <row r="730" spans="1:20" ht="18" customHeight="1">
      <c r="A730" s="167" t="s">
        <v>251</v>
      </c>
      <c r="B730" s="168"/>
      <c r="C730" s="168"/>
      <c r="D730" s="168"/>
      <c r="E730" s="168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252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70" t="s">
        <v>247</v>
      </c>
      <c r="B743" s="171"/>
      <c r="C743" s="171"/>
      <c r="D743" s="171"/>
      <c r="E743" s="171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248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70" t="s">
        <v>250</v>
      </c>
      <c r="B756" s="171"/>
      <c r="C756" s="171"/>
      <c r="D756" s="171"/>
      <c r="E756" s="171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248</v>
      </c>
      <c r="S756" s="39"/>
      <c r="T756" s="119">
        <f>IFERROR(J756,"")</f>
        <v>0</v>
      </c>
    </row>
    <row r="757" spans="1:20" ht="18" customHeight="1">
      <c r="A757" s="167" t="s">
        <v>251</v>
      </c>
      <c r="B757" s="168"/>
      <c r="C757" s="168"/>
      <c r="D757" s="168"/>
      <c r="E757" s="168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252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70" t="s">
        <v>247</v>
      </c>
      <c r="B770" s="171"/>
      <c r="C770" s="171"/>
      <c r="D770" s="171"/>
      <c r="E770" s="171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248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70" t="s">
        <v>250</v>
      </c>
      <c r="B783" s="171"/>
      <c r="C783" s="171"/>
      <c r="D783" s="171"/>
      <c r="E783" s="171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248</v>
      </c>
      <c r="S783" s="39"/>
      <c r="T783" s="119">
        <f>IFERROR(J783,"")</f>
        <v>0</v>
      </c>
    </row>
    <row r="784" spans="1:20" ht="18" customHeight="1">
      <c r="A784" s="167" t="s">
        <v>251</v>
      </c>
      <c r="B784" s="168"/>
      <c r="C784" s="168"/>
      <c r="D784" s="168"/>
      <c r="E784" s="168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252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70" t="s">
        <v>247</v>
      </c>
      <c r="B797" s="171"/>
      <c r="C797" s="171"/>
      <c r="D797" s="171"/>
      <c r="E797" s="171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248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70" t="s">
        <v>250</v>
      </c>
      <c r="B810" s="171"/>
      <c r="C810" s="171"/>
      <c r="D810" s="171"/>
      <c r="E810" s="171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248</v>
      </c>
      <c r="S810" s="39"/>
      <c r="T810" s="119">
        <f>IFERROR(J810,"")</f>
        <v>0</v>
      </c>
    </row>
    <row r="811" spans="1:20" ht="18" customHeight="1">
      <c r="A811" s="167" t="s">
        <v>251</v>
      </c>
      <c r="B811" s="168"/>
      <c r="C811" s="168"/>
      <c r="D811" s="168"/>
      <c r="E811" s="168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252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70" t="s">
        <v>247</v>
      </c>
      <c r="B824" s="171"/>
      <c r="C824" s="171"/>
      <c r="D824" s="171"/>
      <c r="E824" s="171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248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70" t="s">
        <v>250</v>
      </c>
      <c r="B837" s="171"/>
      <c r="C837" s="171"/>
      <c r="D837" s="171"/>
      <c r="E837" s="171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248</v>
      </c>
      <c r="S837" s="39"/>
      <c r="T837" s="119">
        <f>IFERROR(J837,"")</f>
        <v>0</v>
      </c>
    </row>
    <row r="838" spans="1:20" ht="18" customHeight="1">
      <c r="A838" s="167" t="s">
        <v>251</v>
      </c>
      <c r="B838" s="168"/>
      <c r="C838" s="168"/>
      <c r="D838" s="168"/>
      <c r="E838" s="168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252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2026-08-19T10:10:27Z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