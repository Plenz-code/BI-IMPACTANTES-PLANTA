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6" documentId="8_{AF585B22-221D-4780-BB9C-493D365A6A02}" xr6:coauthVersionLast="47" xr6:coauthVersionMax="47" xr10:uidLastSave="{7E2F3147-FC4C-4BFB-949E-190ED1BDFE8F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3" i="4" l="1"/>
  <c r="M44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<sst xmlns="http://schemas.openxmlformats.org/spreadsheetml/2006/main" count="1675" uniqueCount="210">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</sst>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5" activePane="bottomLeft" state="frozen"/>
      <selection pane="bottomLeft" activeCell="L44" sqref="L4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355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92</v>
      </c>
      <c r="G55" s="40">
        <f>G41+G54</f>
        <v>460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" activePane="bottomLeft" state="frozen"/>
      <selection pane="bottomLeft" activeCell="F48" sqref="F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4.1666666666666664E-2</v>
      </c>
      <c r="M43" s="30">
        <f t="shared" ref="M43:M53" ca="1" si="11">IFERROR(IF(K43="","",IF(L43="",MOD(NOW()-K43,1),IF(L43&gt;=K43,L43-K43,L43+1-K43))),"")</f>
        <v>1.0416666666666664E-2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ca="1" si="11"/>
        <v/>
      </c>
      <c r="N44" s="46"/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134.39999999999998</v>
      </c>
      <c r="H54" s="37"/>
      <c r="I54" s="37"/>
      <c r="J54" s="37"/>
      <c r="K54" s="37"/>
      <c r="L54" s="37"/>
      <c r="M54" s="38">
        <f ca="1">IFERROR(SUM(M42:M53),"")</f>
        <v>5.416666666666662E-2</v>
      </c>
      <c r="N54" s="36" t="s">
        <v>194</v>
      </c>
      <c r="O54" s="54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120</v>
      </c>
      <c r="G55" s="40">
        <f>G41+G54</f>
        <v>504</v>
      </c>
      <c r="H55" s="41"/>
      <c r="I55" s="41"/>
      <c r="J55" s="41"/>
      <c r="K55" s="41"/>
      <c r="L55" s="41"/>
      <c r="M55" s="42">
        <f ca="1">IFERROR(M41+M54,"")</f>
        <v>0.13402777777777772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9" activePane="bottomLeft" state="frozen"/>
      <selection pane="bottomLeft" activeCell="F47" sqref="F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18</v>
      </c>
      <c r="G54" s="36">
        <f>SUM(G42:G53)</f>
        <v>75.600000000000009</v>
      </c>
      <c r="H54" s="37"/>
      <c r="I54" s="37"/>
      <c r="J54" s="37"/>
      <c r="K54" s="37"/>
      <c r="L54" s="37"/>
      <c r="M54" s="38">
        <f ca="1">IFERROR(SUM(M42:M53),"")</f>
        <v>8.8888888888888906E-2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89</v>
      </c>
      <c r="G55" s="40">
        <f>G41+G54</f>
        <v>373.80000000000007</v>
      </c>
      <c r="H55" s="41"/>
      <c r="I55" s="41"/>
      <c r="J55" s="41"/>
      <c r="K55" s="41"/>
      <c r="L55" s="41"/>
      <c r="M55" s="42">
        <f ca="1">IFERROR(M41+M54,"")</f>
        <v>0.24374999999999997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G47" sqref="G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86</v>
      </c>
      <c r="G54" s="36">
        <f>SUM(G42:G53)</f>
        <v>361.20000000000005</v>
      </c>
      <c r="H54" s="37"/>
      <c r="I54" s="37"/>
      <c r="J54" s="37"/>
      <c r="K54" s="61"/>
      <c r="L54" s="61"/>
      <c r="M54" s="38">
        <f ca="1">IFERROR(SUM(M42:M53),"")</f>
        <v>5.208333333333337E-2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171</v>
      </c>
      <c r="G55" s="40">
        <f>G41+G54</f>
        <v>718.2</v>
      </c>
      <c r="H55" s="41"/>
      <c r="I55" s="41"/>
      <c r="J55" s="41"/>
      <c r="K55" s="63"/>
      <c r="L55" s="63"/>
      <c r="M55" s="42">
        <f ca="1">IFERROR(M41+M54,"")</f>
        <v>0.27638888888888902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2026-07-03T05:19:08Z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