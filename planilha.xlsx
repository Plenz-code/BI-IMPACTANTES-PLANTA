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12" documentId="8_{C51EB6CB-002B-4D6B-B68F-DDEBDB4460C0}" xr6:coauthVersionLast="47" xr6:coauthVersionMax="47" xr10:uidLastSave="{53667D91-1D57-4DDA-8B3A-D91E2824B71E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<sst xmlns="http://schemas.openxmlformats.org/spreadsheetml/2006/main" count="2974" uniqueCount="273">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</sst>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F124" sqref="F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0.73828958332887851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0.87717847221776735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0.96190069443998971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</v>
      </c>
      <c r="G135" s="36">
        <f>SUM(G123:G134)</f>
        <v>79.8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203</v>
      </c>
      <c r="G136" s="40">
        <f>G122+G135</f>
        <v>852.6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4" sqref="E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0.58134513888944639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0.62856736111166855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0.78481736111166855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15</v>
      </c>
      <c r="G135" s="36">
        <f>SUM(G123:G134)</f>
        <v>63</v>
      </c>
      <c r="H135" s="37"/>
      <c r="I135" s="37"/>
      <c r="J135" s="37"/>
      <c r="K135" s="37"/>
      <c r="L135" s="37"/>
      <c r="M135" s="38">
        <f ca="1">IFERROR(SUM(M123:M134),"")</f>
        <v>9.7222222222221877E-3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93</v>
      </c>
      <c r="G136" s="40">
        <f>G122+G135</f>
        <v>390.6</v>
      </c>
      <c r="H136" s="41"/>
      <c r="I136" s="41"/>
      <c r="J136" s="41"/>
      <c r="K136" s="41"/>
      <c r="L136" s="41"/>
      <c r="M136" s="42">
        <f ca="1">IFERROR(M122+M135,"")</f>
        <v>9.7222222222221877E-3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00" activePane="bottomLeft" state="frozen"/>
      <selection pane="bottomLeft" activeCell="E126" sqref="E1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/>
      <c r="M123" s="35">
        <f t="shared" ref="M123:M134" ca="1" si="28">IFERROR(IF(K123="","",IF(L123="",MOD(NOW()-K123,1),IF(L123&gt;=K123,L123-K123,L123+1-K123))),"")</f>
        <v>4.9562499989406206E-3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61"/>
      <c r="L135" s="61"/>
      <c r="M135" s="38">
        <f ca="1">IFERROR(SUM(M123:M134),"")</f>
        <v>4.9562499989406206E-3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194</v>
      </c>
      <c r="G136" s="40">
        <f>G122+G135</f>
        <v>814.80000000000018</v>
      </c>
      <c r="H136" s="41"/>
      <c r="I136" s="41"/>
      <c r="J136" s="41"/>
      <c r="K136" s="63"/>
      <c r="L136" s="63"/>
      <c r="M136" s="42">
        <f ca="1">IFERROR(M122+M135,"")</f>
        <v>0.12926180555449635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2026-08-06T00:38:26Z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