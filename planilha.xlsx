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7718" documentId="8_{1D11E9C4-FEA4-4128-910F-91CB6BBF9255}" xr6:coauthVersionLast="47" xr6:coauthVersionMax="47" xr10:uidLastSave="{03B8570B-5DF7-4A55-A54F-7946986A484A}"/>
  <bookViews>
    <workbookView xWindow="-110" yWindow="-110" windowWidth="25820" windowHeight="15500" tabRatio="500" firstSheet="5" activeTab="4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26" i="5" l="1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F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F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L754" i="3"/>
  <c r="F754" i="3"/>
  <c r="L753" i="3"/>
  <c r="F753" i="3"/>
  <c r="L752" i="3"/>
  <c r="F752" i="3"/>
  <c r="L751" i="3"/>
  <c r="F751" i="3"/>
  <c r="L750" i="3"/>
  <c r="F750" i="3"/>
  <c r="L749" i="3"/>
  <c r="F749" i="3"/>
  <c r="L748" i="3"/>
  <c r="F748" i="3"/>
  <c r="L747" i="3"/>
  <c r="F747" i="3"/>
  <c r="L746" i="3"/>
  <c r="F746" i="3"/>
  <c r="L745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L744" i="3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<sst xmlns="http://schemas.openxmlformats.org/spreadsheetml/2006/main" count="8167" uniqueCount="367">
  <si>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</si>
  <si>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</si>
  <si>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</si>
  <si>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</si>
  <si>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</si>
  <si>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</si>
  <si>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</si>
  <si>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</si>
  <si>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</si>
  <si>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</si>
  <si>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</si>
  <si>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</si>
  <si>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</si>
  <si>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</si>
  <si>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</si>
  <si>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</si>
  <si>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</si>
  <si>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</si>
  <si>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</si>
  <si>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</si>
  <si>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</si>
  <si>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</si>
  <si>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</si>
  <si>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</si>
  <si>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</si>
  <si>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</si>
  <si>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</si>
  <si>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</si>
  <si>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</si>
  <si>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</si>
  <si>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</si>
  <si>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</si>
  <si>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</si>
  <si>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</si>
  <si>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</si>
  <si>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</si>
  <si>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</si>
  <si>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</si>
  <si>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</si>
  <si>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</si>
  <si>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</si>
  <si>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</si>
  <si>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</si>
  <si>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</si>
  <si>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</si>
  <si>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</si>
  <si>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</si>
  <si>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</si>
  <si>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</si>
  <si>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</si>
  <si>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</si>
  <si>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</si>
  <si>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</si>
  <si>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</si>
  <si>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</si>
  <si>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</si>
  <si>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</si>
  <si>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</si>
  <si>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</si>
  <si>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</si>
  <si>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</si>
  <si>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</si>
  <si>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</si>
  <si>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</si>
  <si>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</si>
  <si>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</si>
  <si>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</si>
  <si>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</si>
  <si>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</si>
  <si>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</si>
  <si>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</si>
  <si>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</si>
  <si>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</si>
  <si>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</si>
  <si>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</si>
  <si>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</si>
  <si>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</si>
  <si>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</si>
  <si>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</si>
  <si>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</si>
  <si>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</si>
  <si>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</si>
  <si>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</si>
  <si>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</si>
  <si>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</si>
  <si>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</si>
  <si>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</si>
  <si>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</si>
  <si>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</si>
  <si>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</si>
  <si>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</si>
  <si>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</si>
  <si>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</si>
  <si>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</si>
  <si>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</si>
  <si>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</si>
  <si>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ajuste no ip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</si>
  <si>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</si>
  <si>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</si>
  <si>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</si>
  <si>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</si>
  <si>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</si>
  <si>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</si>
  <si>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</si>
  <si>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</si>
  <si>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</si>
  <si>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</si>
  <si>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</si>
  <si>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</si>
  <si>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</si>
  <si>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</si>
  <si>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</si>
  <si>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</si>
  <si>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</si>
  <si>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</si>
  <si>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</si>
  <si>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</si>
  <si>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</si>
  <si>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</si>
  <si>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</si>
  <si>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</si>
  <si>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</si>
  <si>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</si>
  <si>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</si>
  <si>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</si>
  <si>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</si>
  <si>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</si>
  <si>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</si>
  <si>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</si>
  <si>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</si>
  <si>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</si>
  <si>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</si>
  <si>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</si>
  <si>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</si>
  <si>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</si>
  <si>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</si>
  <si>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</si>
  <si>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</si>
  <si>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</si>
  <si>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</si>
  <si>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</si>
  <si>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</si>
  <si>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</si>
  <si>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</si>
  <si>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</si>
  <si>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</si>
  <si>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</si>
  <si>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</si>
  <si>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</si>
  <si>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</si>
  <si>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</si>
  <si>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</si>
  <si>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</si>
  <si>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</si>
  <si>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</si>
  <si>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</si>
  <si>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</si>
  <si>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</si>
  <si>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</si>
  <si>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</si>
  <si>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</si>
  <si>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</si>
  <si>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</si>
  <si>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</si>
  <si>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</si>
  <si>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</si>
  <si>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</si>
  <si>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</si>
  <si>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</si>
  <si>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</si>
  <si>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</si>
  <si>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</si>
  <si>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limpeza tc 2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</si>
  <si>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</si>
  <si>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</si>
  <si>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</si>
  <si>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</si>
  <si>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</si>
  <si>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</si>
  <si>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</si>
  <si>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</si>
  <si>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</si>
  <si>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</si>
  <si>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</si>
  <si>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</si>
  <si>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</si>
  <si>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</si>
  <si>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</si>
  <si>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</si>
  <si>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</si>
  <si>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</si>
  <si>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</si>
  <si>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</si>
  <si>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</si>
  <si>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</si>
  <si>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</si>
  <si>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</si>
  <si>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</si>
  <si>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</si>
  <si>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</si>
  <si>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</si>
  <si>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</si>
  <si>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</si>
  <si>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</si>
  <si>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</si>
  <si>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</si>
  <si>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</si>
  <si>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</si>
  <si>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</si>
  <si>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</si>
  <si>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</si>
  <si>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</si>
  <si>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</si>
  <si>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</si>
  <si>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</si>
  <si>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</si>
  <si>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</si>
  <si>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</si>
  <si>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</si>
  <si>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</si>
  <si>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</si>
  <si>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</si>
  <si>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</si>
  <si>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</si>
  <si>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</si>
  <si>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</si>
  <si>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</si>
  <si>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</si>
  <si>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</si>
  <si>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</si>
  <si>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</si>
  <si>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</si>
  <si>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</si>
  <si>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</si>
  <si>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</si>
  <si>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</si>
  <si>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</si>
  <si>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</si>
  <si>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</si>
  <si>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</si>
  <si>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</si>
  <si>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</si>
  <si>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</si>
  <si>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</si>
  <si>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</si>
  <si>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</si>
  <si>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</si>
  <si>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</si>
  <si>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</si>
  <si>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</si>
  <si>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</si>
  <si>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</si>
  <si>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</si>
  <si>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</si>
  <si>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</si>
  <si>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</si>
  <si>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</si>
  <si>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</si>
  <si>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</si>
  <si>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</si>
  <si>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</si>
  <si>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</si>
  <si>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</si>
  <si>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</si>
  <si>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</si>
  <si>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</si>
  <si>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</si>
  <si>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</si>
  <si>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</si>
  <si>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</si>
  <si>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</si>
  <si>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</si>
  <si>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</si>
  <si>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</si>
  <si>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</si>
  <si>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</si>
  <si>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</si>
  <si>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</si>
  <si>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</si>
  <si>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</si>
  <si>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</si>
  <si>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</si>
  <si>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</si>
  <si>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</si>
  <si>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</si>
  <si>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</si>
  <si>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</si>
  <si>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</si>
  <si>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</si>
  <si>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</si>
  <si>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</si>
  <si>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</si>
  <si>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</si>
  <si>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</si>
  <si>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</si>
  <si>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</si>
  <si>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</si>
  <si>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lubrificaçao geral, falha nas bombas de polpa 1, 2 4 e rejeito</t>
  </si>
  <si>
    <t xml:space="preserve">falha ao parte 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</si>
  <si>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</si>
  <si>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</si>
  <si>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</si>
  <si>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</si>
  <si>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</si>
  <si>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</si>
  <si>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</si>
  <si>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</si>
  <si>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</si>
  <si>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</si>
  <si>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</si>
  <si>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</si>
  <si>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</si>
  <si>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</si>
  <si>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</si>
  <si>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</si>
  <si>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tc2 e tc3 desarmando, moinho 7, 8 e 9 desarmando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</si>
  <si>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</si>
  <si>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</si>
  <si>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</si>
  <si>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</si>
  <si>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</si>
  <si>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</si>
  <si>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</si>
  <si>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</si>
  <si>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</si>
  <si>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</si>
  <si>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</si>
  <si>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</si>
  <si>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</si>
  <si>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</si>
  <si>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</si>
  <si>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</si>
  <si>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</si>
  <si>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</si>
  <si>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</si>
  <si>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</si>
  <si>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</si>
  <si>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</si>
  <si>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</si>
  <si>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</si>
  <si>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</si>
  <si>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</si>
  <si>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troca de martelo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</si>
  <si>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</si>
  <si>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</si>
  <si>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</si>
  <si>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</si>
  <si>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</si>
  <si>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</si>
  <si>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</si>
  <si>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</si>
  <si>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</si>
  <si>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</si>
  <si>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</si>
  <si>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</si>
  <si>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</si>
  <si>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</si>
  <si>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</si>
  <si>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</si>
  <si>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</si>
  <si>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</si>
  <si>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</si>
  <si>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</si>
  <si>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</si>
  <si>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</si>
  <si>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</si>
  <si>
    <t>troca de martelo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</si>
</sst>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101" t="s">
        <v>0</v>
      </c>
      <c r="B1" s="101"/>
      <c r="C1" s="101"/>
      <c r="D1" s="101"/>
      <c r="E1" s="101"/>
      <c r="F1" s="101"/>
      <c r="G1" s="101"/>
    </row>
    <row r="2" spans="1:7" ht="25.35" customHeight="1">
      <c r="A2" s="102"/>
      <c r="B2" s="102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1209410</v>
      </c>
      <c r="D31" s="53">
        <f>IFERROR('Linha 1'!N757,"")</f>
        <v>427230</v>
      </c>
      <c r="E31" s="53">
        <f>IFERROR('Linha 2'!N757,"")</f>
        <v>180990</v>
      </c>
      <c r="F31" s="53">
        <f>IFERROR('Linha 3'!N757,"")</f>
        <v>471600</v>
      </c>
      <c r="G31" s="54">
        <f t="shared" si="0"/>
        <v>1079820</v>
      </c>
    </row>
    <row r="32" spans="1:7" ht="15.75" customHeight="1">
      <c r="A32" s="47">
        <v>29</v>
      </c>
      <c r="B32" s="48">
        <v>46202</v>
      </c>
      <c r="C32" s="49">
        <f>IFERROR(Britador!N784,"")</f>
        <v>0</v>
      </c>
      <c r="D32" s="49">
        <f>IFERROR('Linha 1'!N784,"")</f>
        <v>0</v>
      </c>
      <c r="E32" s="49">
        <f>IFERROR('Linha 2'!N784,"")</f>
        <v>0</v>
      </c>
      <c r="F32" s="49">
        <f>IFERROR('Linha 3'!N784,"")</f>
        <v>0</v>
      </c>
      <c r="G32" s="50">
        <f t="shared" si="0"/>
        <v>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3" t="s">
        <v>9</v>
      </c>
      <c r="B34" s="103"/>
      <c r="C34" s="55">
        <f t="shared" ref="C34:G34" si="1">IFERROR(SUM(C4:C33),"")</f>
        <v>47155240</v>
      </c>
      <c r="D34" s="55">
        <f t="shared" si="1"/>
        <v>23817730</v>
      </c>
      <c r="E34" s="55">
        <f t="shared" si="1"/>
        <v>9392360</v>
      </c>
      <c r="F34" s="55">
        <f t="shared" si="1"/>
        <v>26813055</v>
      </c>
      <c r="G34" s="55">
        <f t="shared" si="1"/>
        <v>60023145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11" zoomScale="85" zoomScaleNormal="85" workbookViewId="0">
      <selection activeCell="M43" sqref="M4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4" t="s">
        <v>10</v>
      </c>
      <c r="B1" s="104"/>
      <c r="C1" s="104"/>
      <c r="D1" s="104"/>
      <c r="E1" s="104"/>
      <c r="F1" s="104"/>
      <c r="G1" s="104"/>
      <c r="H1" s="105"/>
      <c r="I1" s="106" t="s">
        <v>11</v>
      </c>
      <c r="J1" s="106"/>
      <c r="K1" s="106"/>
      <c r="L1" s="106"/>
      <c r="M1" s="106"/>
    </row>
    <row r="2" spans="1:13" ht="4.5" customHeight="1">
      <c r="H2" s="105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5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5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5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5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5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5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5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5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5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5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5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5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5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5"/>
      <c r="I16" s="3"/>
      <c r="J16" s="3" t="s">
        <v>96</v>
      </c>
      <c r="K16" s="3" t="s">
        <v>97</v>
      </c>
      <c r="L16" s="3" t="s">
        <v>98</v>
      </c>
      <c r="M16" s="3" t="s">
        <v>99</v>
      </c>
    </row>
    <row r="17" spans="1:13" ht="15.75" customHeight="1">
      <c r="A17" s="4"/>
      <c r="C17" s="4"/>
      <c r="E17" s="4"/>
      <c r="G17" s="4" t="s">
        <v>100</v>
      </c>
      <c r="H17" s="105"/>
      <c r="I17" s="4"/>
      <c r="J17" s="4"/>
      <c r="K17" s="4" t="s">
        <v>101</v>
      </c>
      <c r="L17" s="4" t="s">
        <v>102</v>
      </c>
      <c r="M17" s="4" t="s">
        <v>103</v>
      </c>
    </row>
    <row r="18" spans="1:13" ht="15.75" customHeight="1">
      <c r="A18" s="3"/>
      <c r="C18" s="3"/>
      <c r="E18" s="3"/>
      <c r="G18" s="3" t="s">
        <v>104</v>
      </c>
      <c r="H18" s="105"/>
      <c r="I18" s="3"/>
      <c r="J18" s="3"/>
      <c r="K18" s="3" t="s">
        <v>105</v>
      </c>
      <c r="L18" s="3" t="s">
        <v>106</v>
      </c>
      <c r="M18" s="3" t="s">
        <v>107</v>
      </c>
    </row>
    <row r="19" spans="1:13" ht="15.75" customHeight="1">
      <c r="A19" s="4"/>
      <c r="C19" s="4"/>
      <c r="E19" s="4"/>
      <c r="G19" s="4" t="s">
        <v>108</v>
      </c>
      <c r="H19" s="105"/>
      <c r="I19" s="4"/>
      <c r="J19" s="4"/>
      <c r="K19" s="4" t="s">
        <v>109</v>
      </c>
      <c r="L19" s="4"/>
      <c r="M19" s="4" t="s">
        <v>110</v>
      </c>
    </row>
    <row r="20" spans="1:13" ht="15.75" customHeight="1">
      <c r="A20" s="3"/>
      <c r="C20" s="3"/>
      <c r="E20" s="3"/>
      <c r="G20" s="3" t="s">
        <v>111</v>
      </c>
      <c r="H20" s="105"/>
      <c r="I20" s="3"/>
      <c r="J20" s="3"/>
      <c r="K20" s="3" t="s">
        <v>112</v>
      </c>
      <c r="L20" s="3"/>
      <c r="M20" s="3" t="s">
        <v>113</v>
      </c>
    </row>
    <row r="21" spans="1:13" ht="15.75" customHeight="1">
      <c r="A21" s="4"/>
      <c r="C21" s="4"/>
      <c r="E21" s="4"/>
      <c r="G21" s="4" t="s">
        <v>114</v>
      </c>
      <c r="H21" s="105"/>
      <c r="I21" s="4"/>
      <c r="J21" s="4"/>
      <c r="K21" s="4" t="s">
        <v>115</v>
      </c>
      <c r="L21" s="4"/>
      <c r="M21" s="4" t="s">
        <v>116</v>
      </c>
    </row>
    <row r="22" spans="1:13" ht="15.75" customHeight="1">
      <c r="A22" s="3"/>
      <c r="C22" s="3"/>
      <c r="E22" s="3"/>
      <c r="G22" s="3" t="s">
        <v>117</v>
      </c>
      <c r="H22" s="105"/>
      <c r="I22" s="3"/>
      <c r="J22" s="3"/>
      <c r="K22" s="3" t="s">
        <v>118</v>
      </c>
      <c r="L22" s="3"/>
      <c r="M22" s="3" t="s">
        <v>119</v>
      </c>
    </row>
    <row r="23" spans="1:13" ht="15.75" customHeight="1">
      <c r="A23" s="4"/>
      <c r="C23" s="4"/>
      <c r="E23" s="4"/>
      <c r="G23" s="4" t="s">
        <v>120</v>
      </c>
      <c r="H23" s="105"/>
      <c r="I23" s="4"/>
      <c r="J23" s="4"/>
      <c r="K23" s="4" t="s">
        <v>121</v>
      </c>
      <c r="L23" s="4"/>
      <c r="M23" s="4" t="s">
        <v>122</v>
      </c>
    </row>
    <row r="24" spans="1:13" ht="15.75" customHeight="1">
      <c r="A24" s="3"/>
      <c r="C24" s="3"/>
      <c r="E24" s="3"/>
      <c r="G24" s="3" t="s">
        <v>123</v>
      </c>
      <c r="H24" s="105"/>
      <c r="I24" s="3"/>
      <c r="J24" s="3"/>
      <c r="K24" s="3" t="s">
        <v>124</v>
      </c>
      <c r="L24" s="3"/>
      <c r="M24" s="3" t="s">
        <v>125</v>
      </c>
    </row>
    <row r="25" spans="1:13" ht="15.75" customHeight="1">
      <c r="A25" s="4"/>
      <c r="C25" s="4"/>
      <c r="E25" s="4"/>
      <c r="G25" s="4" t="s">
        <v>126</v>
      </c>
      <c r="H25" s="105"/>
      <c r="I25" s="4"/>
      <c r="J25" s="4"/>
      <c r="K25" s="4" t="s">
        <v>127</v>
      </c>
      <c r="L25" s="4"/>
      <c r="M25" s="4" t="s">
        <v>128</v>
      </c>
    </row>
    <row r="26" spans="1:13" ht="15.75" customHeight="1">
      <c r="A26" s="3"/>
      <c r="C26" s="3"/>
      <c r="E26" s="3"/>
      <c r="G26" s="3" t="s">
        <v>129</v>
      </c>
      <c r="H26" s="105"/>
      <c r="I26" s="3"/>
      <c r="J26" s="3"/>
      <c r="K26" s="3" t="s">
        <v>130</v>
      </c>
      <c r="L26" s="3"/>
      <c r="M26" s="3"/>
    </row>
    <row r="27" spans="1:13" ht="15.75" customHeight="1">
      <c r="A27" s="4"/>
      <c r="C27" s="4"/>
      <c r="E27" s="4"/>
      <c r="G27" s="4" t="s">
        <v>131</v>
      </c>
      <c r="H27" s="105"/>
      <c r="I27" s="4"/>
      <c r="J27" s="4"/>
      <c r="K27" s="4" t="s">
        <v>122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132</v>
      </c>
      <c r="H28" s="105"/>
      <c r="I28" s="3"/>
      <c r="J28" s="3"/>
      <c r="K28" s="3" t="s">
        <v>125</v>
      </c>
      <c r="L28" s="3"/>
      <c r="M28" s="3" t="s">
        <v>133</v>
      </c>
    </row>
    <row r="29" spans="1:13" ht="15.75" customHeight="1">
      <c r="A29" s="4"/>
      <c r="C29" s="4"/>
      <c r="E29" s="4"/>
      <c r="G29" s="4" t="s">
        <v>134</v>
      </c>
      <c r="H29" s="105"/>
      <c r="I29" s="4"/>
      <c r="J29" s="4"/>
      <c r="K29" s="4" t="s">
        <v>135</v>
      </c>
      <c r="L29" s="4"/>
      <c r="M29" s="4" t="s">
        <v>136</v>
      </c>
    </row>
    <row r="30" spans="1:13" ht="15.75" customHeight="1">
      <c r="A30" s="3"/>
      <c r="C30" s="3"/>
      <c r="E30" s="3"/>
      <c r="G30" s="3" t="s">
        <v>137</v>
      </c>
      <c r="H30" s="105"/>
      <c r="I30" s="3"/>
      <c r="J30" s="3"/>
      <c r="K30" s="3" t="s">
        <v>138</v>
      </c>
      <c r="L30" s="3"/>
      <c r="M30" s="3" t="s">
        <v>139</v>
      </c>
    </row>
    <row r="31" spans="1:13" ht="15.75" customHeight="1">
      <c r="A31" s="4"/>
      <c r="C31" s="4"/>
      <c r="E31" s="4"/>
      <c r="G31" s="4" t="s">
        <v>140</v>
      </c>
      <c r="H31" s="105"/>
      <c r="I31" s="4"/>
      <c r="J31" s="4"/>
      <c r="K31" s="5" t="s">
        <v>141</v>
      </c>
      <c r="L31" s="4"/>
      <c r="M31" s="4" t="s">
        <v>142</v>
      </c>
    </row>
    <row r="32" spans="1:13" ht="15.75" customHeight="1">
      <c r="A32" s="3"/>
      <c r="C32" s="3"/>
      <c r="E32" s="3"/>
      <c r="G32" s="3" t="s">
        <v>143</v>
      </c>
      <c r="H32" s="105"/>
      <c r="I32" s="3"/>
      <c r="J32" s="3"/>
      <c r="K32" s="3" t="s">
        <v>144</v>
      </c>
      <c r="L32" s="3"/>
      <c r="M32" t="s">
        <v>145</v>
      </c>
    </row>
    <row r="33" spans="1:13" ht="15.75" customHeight="1">
      <c r="A33" s="4"/>
      <c r="C33" s="4"/>
      <c r="E33" s="4"/>
      <c r="G33" s="4" t="s">
        <v>146</v>
      </c>
      <c r="H33" s="105"/>
      <c r="I33" s="4"/>
      <c r="J33" s="4"/>
      <c r="K33" s="66" t="s">
        <v>147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148</v>
      </c>
      <c r="H34" s="105"/>
      <c r="I34" s="3"/>
      <c r="J34" s="3"/>
      <c r="K34" s="3" t="s">
        <v>79</v>
      </c>
      <c r="L34" s="3"/>
      <c r="M34" s="3" t="s">
        <v>149</v>
      </c>
    </row>
    <row r="35" spans="1:13" ht="15.75" customHeight="1">
      <c r="A35" s="4"/>
      <c r="C35" s="4"/>
      <c r="E35" s="4"/>
      <c r="G35" s="4" t="s">
        <v>150</v>
      </c>
      <c r="H35" s="105"/>
      <c r="I35" s="4"/>
      <c r="J35" s="4"/>
      <c r="K35" s="4" t="s">
        <v>151</v>
      </c>
      <c r="L35" s="4"/>
      <c r="M35" s="4" t="s">
        <v>152</v>
      </c>
    </row>
    <row r="36" spans="1:13" ht="15.75" customHeight="1">
      <c r="A36" s="3"/>
      <c r="C36" s="3"/>
      <c r="E36" s="3"/>
      <c r="G36" s="3" t="s">
        <v>153</v>
      </c>
      <c r="H36" s="105"/>
      <c r="I36" s="3"/>
      <c r="J36" s="3"/>
      <c r="K36" s="3" t="s">
        <v>154</v>
      </c>
      <c r="L36" s="3"/>
      <c r="M36" s="3" t="s">
        <v>155</v>
      </c>
    </row>
    <row r="37" spans="1:13" ht="15.75" customHeight="1">
      <c r="A37" s="4"/>
      <c r="C37" s="4"/>
      <c r="E37" s="4"/>
      <c r="G37" s="4" t="s">
        <v>156</v>
      </c>
      <c r="H37" s="105"/>
      <c r="I37" s="4"/>
      <c r="J37" s="4"/>
      <c r="K37" s="4" t="s">
        <v>157</v>
      </c>
      <c r="L37" s="4"/>
      <c r="M37" s="4" t="s">
        <v>158</v>
      </c>
    </row>
    <row r="38" spans="1:13" ht="15.75" customHeight="1">
      <c r="A38" s="3"/>
      <c r="C38" s="3"/>
      <c r="E38" s="3"/>
      <c r="G38" s="3"/>
      <c r="H38" s="105"/>
      <c r="I38" s="3"/>
      <c r="J38" s="3"/>
      <c r="K38" s="3" t="s">
        <v>159</v>
      </c>
      <c r="L38" s="3"/>
      <c r="M38" s="3" t="s">
        <v>160</v>
      </c>
    </row>
    <row r="39" spans="1:13" ht="15.75" customHeight="1">
      <c r="A39" s="4"/>
      <c r="C39" s="4"/>
      <c r="E39" s="4"/>
      <c r="G39" s="4"/>
      <c r="H39" s="105"/>
      <c r="I39" s="4"/>
      <c r="J39" s="4"/>
      <c r="K39" s="4" t="s">
        <v>161</v>
      </c>
      <c r="L39" s="4"/>
      <c r="M39" s="4" t="s">
        <v>162</v>
      </c>
    </row>
    <row r="40" spans="1:13" ht="15.75" customHeight="1">
      <c r="A40" s="3"/>
      <c r="C40" s="3"/>
      <c r="E40" s="3"/>
      <c r="G40" s="3"/>
      <c r="H40" s="105"/>
      <c r="I40" s="3"/>
      <c r="J40" s="3"/>
      <c r="K40" s="3" t="s">
        <v>163</v>
      </c>
      <c r="L40" s="3"/>
      <c r="M40" s="3" t="s">
        <v>164</v>
      </c>
    </row>
    <row r="41" spans="1:13" ht="15.75" customHeight="1">
      <c r="A41" s="4"/>
      <c r="C41" s="4"/>
      <c r="E41" s="4"/>
      <c r="G41" s="4"/>
      <c r="H41" s="105"/>
      <c r="I41" s="4"/>
      <c r="J41" s="4"/>
      <c r="K41" s="4" t="s">
        <v>165</v>
      </c>
      <c r="L41" s="4"/>
      <c r="M41" s="4" t="s">
        <v>166</v>
      </c>
    </row>
    <row r="42" spans="1:13" ht="15.75" customHeight="1">
      <c r="A42" s="3"/>
      <c r="C42" s="3"/>
      <c r="E42" s="3"/>
      <c r="G42" s="3"/>
      <c r="H42" s="105"/>
      <c r="I42" s="3"/>
      <c r="J42" s="3"/>
      <c r="K42" s="3" t="s">
        <v>167</v>
      </c>
      <c r="L42" s="3"/>
      <c r="M42" s="3" t="s">
        <v>168</v>
      </c>
    </row>
    <row r="43" spans="1:13" ht="15.75" customHeight="1">
      <c r="A43" s="4"/>
      <c r="C43" s="4"/>
      <c r="E43" s="4"/>
      <c r="G43" s="4"/>
      <c r="H43" s="105"/>
      <c r="I43" s="4"/>
      <c r="J43" s="4"/>
      <c r="K43" s="4" t="s">
        <v>169</v>
      </c>
      <c r="L43" s="4"/>
      <c r="M43" s="4" t="s">
        <v>170</v>
      </c>
    </row>
    <row r="44" spans="1:13" ht="15.75" customHeight="1">
      <c r="A44" s="3"/>
      <c r="C44" s="3"/>
      <c r="E44" s="3"/>
      <c r="G44" s="3"/>
      <c r="H44" s="105"/>
      <c r="I44" s="3"/>
      <c r="J44" s="3"/>
      <c r="K44" s="3" t="s">
        <v>171</v>
      </c>
      <c r="L44" s="3"/>
      <c r="M44" s="3" t="s">
        <v>172</v>
      </c>
    </row>
    <row r="45" spans="1:13" ht="15.75" customHeight="1">
      <c r="A45" s="4"/>
      <c r="C45" s="4"/>
      <c r="E45" s="4"/>
      <c r="G45" s="4"/>
      <c r="H45" s="105"/>
      <c r="I45" s="4"/>
      <c r="J45" s="4"/>
      <c r="K45" s="4"/>
      <c r="L45" s="4"/>
      <c r="M45" s="4"/>
    </row>
    <row r="46" spans="1:13" ht="15.75" customHeight="1">
      <c r="A46" s="3"/>
      <c r="C46" s="3"/>
      <c r="E46" s="3"/>
      <c r="G46" s="3"/>
      <c r="H46" s="105"/>
      <c r="I46" s="3"/>
      <c r="J46" s="3"/>
      <c r="K46" s="3" t="s">
        <v>173</v>
      </c>
      <c r="L46" s="3"/>
      <c r="M46" s="3"/>
    </row>
    <row r="47" spans="1:13" ht="15.75" customHeight="1">
      <c r="A47" s="4"/>
      <c r="C47" s="4"/>
      <c r="E47" s="4"/>
      <c r="G47" s="4"/>
      <c r="H47" s="105"/>
      <c r="I47" s="4"/>
      <c r="J47" s="4"/>
      <c r="K47" s="4" t="s">
        <v>174</v>
      </c>
      <c r="L47" s="4"/>
      <c r="M47" s="4"/>
    </row>
    <row r="48" spans="1:13" ht="15.75" customHeight="1">
      <c r="A48" s="3"/>
      <c r="C48" s="3"/>
      <c r="E48" s="3"/>
      <c r="G48" s="3"/>
      <c r="H48" s="105"/>
      <c r="I48" s="3"/>
      <c r="J48" s="3"/>
      <c r="K48" s="3" t="s">
        <v>175</v>
      </c>
      <c r="L48" s="3"/>
      <c r="M48" s="3"/>
    </row>
    <row r="49" spans="1:13" ht="18" customHeight="1">
      <c r="H49" s="105"/>
      <c r="I49" s="4"/>
      <c r="J49" s="4"/>
      <c r="K49" s="4" t="s">
        <v>176</v>
      </c>
      <c r="L49" s="4"/>
      <c r="M49" s="4"/>
    </row>
    <row r="50" spans="1:13" ht="21" customHeight="1">
      <c r="A50" s="6" t="s">
        <v>177</v>
      </c>
      <c r="B50" s="6"/>
      <c r="C50" s="6"/>
      <c r="D50" s="6"/>
      <c r="E50" s="6"/>
      <c r="F50" s="6"/>
      <c r="G50" s="6"/>
      <c r="H50" s="105"/>
      <c r="I50" s="3"/>
      <c r="J50" s="3"/>
      <c r="K50" s="3"/>
      <c r="L50" s="3"/>
      <c r="M50" s="3"/>
    </row>
    <row r="51" spans="1:13" ht="24" customHeight="1">
      <c r="H51" s="105"/>
      <c r="I51" s="4"/>
      <c r="J51" s="4"/>
      <c r="K51" s="4"/>
      <c r="L51" s="4"/>
      <c r="M51" s="4"/>
    </row>
    <row r="52" spans="1:13" ht="24" customHeight="1">
      <c r="H52" s="105"/>
      <c r="I52" s="3"/>
      <c r="J52" s="3"/>
      <c r="K52" s="3"/>
      <c r="L52" s="3"/>
      <c r="M52" s="3"/>
    </row>
    <row r="53" spans="1:13" ht="36" customHeight="1">
      <c r="H53" s="105"/>
      <c r="I53" s="4"/>
      <c r="J53" s="4"/>
      <c r="K53" s="4"/>
      <c r="L53" s="4"/>
      <c r="M53" s="4"/>
    </row>
    <row r="54" spans="1:13" ht="15" customHeight="1">
      <c r="H54" s="105"/>
      <c r="I54" s="3"/>
      <c r="J54" s="3"/>
      <c r="K54" s="3"/>
      <c r="L54" s="3"/>
      <c r="M54" s="3"/>
    </row>
    <row r="55" spans="1:13" ht="15" customHeight="1">
      <c r="H55" s="105"/>
      <c r="I55" s="4"/>
      <c r="J55" s="4"/>
      <c r="K55" s="4"/>
      <c r="L55" s="4"/>
      <c r="M55" s="4"/>
    </row>
    <row r="56" spans="1:13" ht="15" customHeight="1">
      <c r="H56" s="105"/>
      <c r="I56" s="3"/>
      <c r="J56" s="3"/>
      <c r="K56" s="3"/>
      <c r="L56" s="3"/>
      <c r="M56" s="3"/>
    </row>
    <row r="57" spans="1:13" ht="15" customHeight="1">
      <c r="H57" s="105"/>
      <c r="I57" s="4"/>
      <c r="J57" s="4"/>
      <c r="K57" s="4"/>
      <c r="L57" s="4"/>
      <c r="M57" s="4"/>
    </row>
    <row r="58" spans="1:13" ht="15" customHeight="1">
      <c r="H58" s="105"/>
      <c r="I58" s="3"/>
      <c r="J58" s="3"/>
      <c r="K58" s="3"/>
      <c r="L58" s="3"/>
      <c r="M58" s="3"/>
    </row>
    <row r="59" spans="1:13" ht="15" customHeight="1">
      <c r="H59" s="105"/>
      <c r="I59" s="4"/>
      <c r="J59" s="4"/>
      <c r="K59" s="4"/>
      <c r="L59" s="4"/>
      <c r="M59" s="4"/>
    </row>
    <row r="60" spans="1:13" ht="15" customHeight="1">
      <c r="H60" s="105"/>
      <c r="I60" s="3"/>
      <c r="J60" s="3"/>
      <c r="K60" s="3"/>
      <c r="L60" s="3"/>
      <c r="M60" s="3"/>
    </row>
    <row r="61" spans="1:13" ht="15" customHeight="1">
      <c r="H61" s="105"/>
      <c r="I61" s="4"/>
      <c r="J61" s="4"/>
      <c r="K61" s="4"/>
      <c r="L61" s="4"/>
      <c r="M61" s="4"/>
    </row>
    <row r="62" spans="1:13" ht="15" customHeight="1">
      <c r="H62" s="105"/>
      <c r="I62" s="3"/>
      <c r="J62" s="3"/>
      <c r="K62" s="3"/>
      <c r="L62" s="3"/>
      <c r="M62" s="3"/>
    </row>
    <row r="63" spans="1:13" ht="15" customHeight="1">
      <c r="H63" s="105"/>
      <c r="I63" s="4"/>
      <c r="J63" s="4"/>
      <c r="K63" s="4"/>
      <c r="L63" s="4"/>
      <c r="M63" s="4"/>
    </row>
    <row r="64" spans="1:13" ht="15" customHeight="1">
      <c r="H64" s="105"/>
      <c r="I64" s="3"/>
      <c r="J64" s="3"/>
      <c r="K64" s="3"/>
      <c r="L64" s="3"/>
      <c r="M64" s="3"/>
    </row>
    <row r="65" spans="8:13" ht="15" customHeight="1">
      <c r="H65" s="105"/>
      <c r="I65" s="4"/>
      <c r="J65" s="4"/>
      <c r="K65" s="4"/>
      <c r="L65" s="4"/>
      <c r="M65" s="4"/>
    </row>
    <row r="66" spans="8:13" ht="15" customHeight="1">
      <c r="H66" s="105"/>
      <c r="I66" s="3"/>
      <c r="J66" s="3"/>
      <c r="K66" s="3"/>
      <c r="L66" s="3"/>
      <c r="M66" s="3"/>
    </row>
    <row r="67" spans="8:13" ht="15" customHeight="1">
      <c r="H67" s="105"/>
      <c r="I67" s="4"/>
      <c r="J67" s="4"/>
      <c r="K67" s="4"/>
      <c r="L67" s="4"/>
      <c r="M67" s="4"/>
    </row>
    <row r="68" spans="8:13" ht="15" customHeight="1">
      <c r="H68" s="105"/>
      <c r="I68" s="3"/>
      <c r="J68" s="3"/>
      <c r="K68" s="3"/>
      <c r="L68" s="3"/>
      <c r="M68" s="3"/>
    </row>
    <row r="69" spans="8:13" ht="15" customHeight="1">
      <c r="H69" s="105"/>
      <c r="I69" s="4"/>
      <c r="J69" s="4"/>
      <c r="K69" s="4"/>
      <c r="L69" s="4"/>
      <c r="M69" s="4"/>
    </row>
    <row r="70" spans="8:13" ht="15" customHeight="1">
      <c r="H70" s="105"/>
      <c r="I70" s="3"/>
      <c r="J70" s="3"/>
      <c r="K70" s="3"/>
      <c r="L70" s="3"/>
      <c r="M70" s="3"/>
    </row>
    <row r="71" spans="8:13" ht="15" customHeight="1">
      <c r="H71" s="105"/>
      <c r="I71" s="4"/>
      <c r="J71" s="4"/>
      <c r="K71" s="4"/>
      <c r="L71" s="4"/>
      <c r="M71" s="4"/>
    </row>
    <row r="72" spans="8:13" ht="15" customHeight="1">
      <c r="H72" s="105"/>
      <c r="I72" s="3"/>
      <c r="J72" s="3"/>
      <c r="K72" s="3"/>
      <c r="L72" s="3"/>
      <c r="M72" s="3"/>
    </row>
    <row r="73" spans="8:13" ht="15" customHeight="1">
      <c r="H73" s="105"/>
      <c r="I73" s="4"/>
      <c r="J73" s="4"/>
      <c r="K73" s="4"/>
      <c r="L73" s="4"/>
      <c r="M73" s="4"/>
    </row>
    <row r="74" spans="8:13" ht="15" customHeight="1">
      <c r="H74" s="105"/>
      <c r="I74" s="3"/>
      <c r="J74" s="3"/>
      <c r="K74" s="3"/>
      <c r="L74" s="3"/>
      <c r="M74" s="3"/>
    </row>
    <row r="75" spans="8:13" ht="15" customHeight="1">
      <c r="H75" s="105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731" activePane="bottomLeft" state="frozen"/>
      <selection pane="bottomLeft" activeCell="E745" sqref="E745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178</v>
      </c>
      <c r="C1" s="8" t="s">
        <v>12</v>
      </c>
      <c r="D1" s="8" t="s">
        <v>13</v>
      </c>
      <c r="E1" s="8" t="s">
        <v>179</v>
      </c>
      <c r="F1" s="8" t="s">
        <v>180</v>
      </c>
      <c r="G1" s="8" t="s">
        <v>14</v>
      </c>
      <c r="H1" s="8" t="s">
        <v>15</v>
      </c>
      <c r="I1" s="8" t="s">
        <v>181</v>
      </c>
      <c r="J1" s="8" t="s">
        <v>182</v>
      </c>
      <c r="K1" s="8" t="s">
        <v>183</v>
      </c>
      <c r="L1" s="69" t="s">
        <v>184</v>
      </c>
      <c r="M1" s="8" t="s">
        <v>185</v>
      </c>
      <c r="N1" s="8" t="s">
        <v>186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187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107" t="s">
        <v>188</v>
      </c>
      <c r="B14" s="107"/>
      <c r="C14" s="107"/>
      <c r="D14" s="107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189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119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119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119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119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119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119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119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119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119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119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119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119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7" t="s">
        <v>190</v>
      </c>
      <c r="B27" s="107"/>
      <c r="C27" s="107"/>
      <c r="D27" s="10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189</v>
      </c>
      <c r="N27" s="20">
        <v>0</v>
      </c>
    </row>
    <row r="28" spans="1:14" ht="18" customHeight="1">
      <c r="A28" s="97" t="s">
        <v>191</v>
      </c>
      <c r="B28" s="97"/>
      <c r="C28" s="97"/>
      <c r="D28" s="97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192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137</v>
      </c>
      <c r="I37" s="16" t="s">
        <v>193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7" t="s">
        <v>188</v>
      </c>
      <c r="B41" s="107"/>
      <c r="C41" s="107"/>
      <c r="D41" s="107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189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7" t="s">
        <v>190</v>
      </c>
      <c r="B54" s="107"/>
      <c r="C54" s="107"/>
      <c r="D54" s="107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189</v>
      </c>
      <c r="N54" s="20">
        <v>125660</v>
      </c>
    </row>
    <row r="55" spans="1:14" ht="18" customHeight="1">
      <c r="A55" s="97" t="s">
        <v>191</v>
      </c>
      <c r="B55" s="97"/>
      <c r="C55" s="97"/>
      <c r="D55" s="97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192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107" t="s">
        <v>188</v>
      </c>
      <c r="B68" s="107"/>
      <c r="C68" s="107"/>
      <c r="D68" s="107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189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107" t="s">
        <v>190</v>
      </c>
      <c r="B81" s="107"/>
      <c r="C81" s="107"/>
      <c r="D81" s="107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189</v>
      </c>
      <c r="N81" s="20">
        <v>580300</v>
      </c>
    </row>
    <row r="82" spans="1:14" ht="18" customHeight="1">
      <c r="A82" s="97" t="s">
        <v>191</v>
      </c>
      <c r="B82" s="97"/>
      <c r="C82" s="97"/>
      <c r="D82" s="97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192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187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107" t="s">
        <v>188</v>
      </c>
      <c r="B95" s="107"/>
      <c r="C95" s="107"/>
      <c r="D95" s="107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189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194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137</v>
      </c>
      <c r="I104" s="10" t="s">
        <v>193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107" t="s">
        <v>190</v>
      </c>
      <c r="B108" s="107"/>
      <c r="C108" s="107"/>
      <c r="D108" s="107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189</v>
      </c>
      <c r="N108" s="20">
        <v>652520</v>
      </c>
    </row>
    <row r="109" spans="1:14" ht="18" customHeight="1">
      <c r="A109" s="97" t="s">
        <v>191</v>
      </c>
      <c r="B109" s="97"/>
      <c r="C109" s="97"/>
      <c r="D109" s="97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192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195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107" t="s">
        <v>188</v>
      </c>
      <c r="B122" s="107"/>
      <c r="C122" s="107"/>
      <c r="D122" s="107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189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107" t="s">
        <v>190</v>
      </c>
      <c r="B135" s="107"/>
      <c r="C135" s="107"/>
      <c r="D135" s="107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189</v>
      </c>
      <c r="N135" s="20">
        <v>909050</v>
      </c>
    </row>
    <row r="136" spans="1:14" ht="18" customHeight="1">
      <c r="A136" s="97" t="s">
        <v>191</v>
      </c>
      <c r="B136" s="97"/>
      <c r="C136" s="97"/>
      <c r="D136" s="97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192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187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107" t="s">
        <v>188</v>
      </c>
      <c r="B149" s="107"/>
      <c r="C149" s="107"/>
      <c r="D149" s="107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189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137</v>
      </c>
      <c r="I150" s="10" t="s">
        <v>125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107" t="s">
        <v>190</v>
      </c>
      <c r="B162" s="107"/>
      <c r="C162" s="107"/>
      <c r="D162" s="107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189</v>
      </c>
      <c r="N162" s="27">
        <v>1048880</v>
      </c>
    </row>
    <row r="163" spans="1:14" ht="18" customHeight="1">
      <c r="A163" s="97" t="s">
        <v>191</v>
      </c>
      <c r="B163" s="97"/>
      <c r="C163" s="97"/>
      <c r="D163" s="97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192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195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137</v>
      </c>
      <c r="I165" s="16" t="s">
        <v>125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196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107" t="s">
        <v>188</v>
      </c>
      <c r="B176" s="107"/>
      <c r="C176" s="107"/>
      <c r="D176" s="107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189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107" t="s">
        <v>190</v>
      </c>
      <c r="B189" s="107"/>
      <c r="C189" s="107"/>
      <c r="D189" s="107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189</v>
      </c>
      <c r="N189" s="20">
        <v>797540</v>
      </c>
    </row>
    <row r="190" spans="1:14" ht="18" customHeight="1">
      <c r="A190" s="97" t="s">
        <v>191</v>
      </c>
      <c r="B190" s="97"/>
      <c r="C190" s="97"/>
      <c r="D190" s="97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192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195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197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137</v>
      </c>
      <c r="I192" s="10" t="s">
        <v>125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107" t="s">
        <v>188</v>
      </c>
      <c r="B203" s="107"/>
      <c r="C203" s="107"/>
      <c r="D203" s="107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189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107" t="s">
        <v>190</v>
      </c>
      <c r="B216" s="107"/>
      <c r="C216" s="107"/>
      <c r="D216" s="107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189</v>
      </c>
      <c r="N216" s="28">
        <v>203080</v>
      </c>
    </row>
    <row r="217" spans="1:14" ht="18" customHeight="1">
      <c r="A217" s="97" t="s">
        <v>191</v>
      </c>
      <c r="B217" s="97"/>
      <c r="C217" s="97"/>
      <c r="D217" s="97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192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107" t="s">
        <v>188</v>
      </c>
      <c r="B230" s="107"/>
      <c r="C230" s="107"/>
      <c r="D230" s="107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189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144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107" t="s">
        <v>190</v>
      </c>
      <c r="B243" s="107"/>
      <c r="C243" s="107"/>
      <c r="D243" s="107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189</v>
      </c>
      <c r="N243" s="20">
        <v>0</v>
      </c>
    </row>
    <row r="244" spans="1:14" ht="18" customHeight="1">
      <c r="A244" s="97" t="s">
        <v>191</v>
      </c>
      <c r="B244" s="97"/>
      <c r="C244" s="97"/>
      <c r="D244" s="97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192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144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147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150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107" t="s">
        <v>188</v>
      </c>
      <c r="B257" s="107"/>
      <c r="C257" s="107"/>
      <c r="D257" s="107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189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107" t="s">
        <v>190</v>
      </c>
      <c r="B270" s="107"/>
      <c r="C270" s="107"/>
      <c r="D270" s="107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189</v>
      </c>
      <c r="N270" s="20">
        <f>346400+269080</f>
        <v>615480</v>
      </c>
    </row>
    <row r="271" spans="1:14" ht="18" customHeight="1">
      <c r="A271" s="97" t="s">
        <v>191</v>
      </c>
      <c r="B271" s="97"/>
      <c r="C271" s="97"/>
      <c r="D271" s="97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192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128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198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107" t="s">
        <v>188</v>
      </c>
      <c r="B284" s="107"/>
      <c r="C284" s="107"/>
      <c r="D284" s="107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189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105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107" t="s">
        <v>190</v>
      </c>
      <c r="B297" s="107"/>
      <c r="C297" s="107"/>
      <c r="D297" s="107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189</v>
      </c>
      <c r="N297" s="20">
        <f>35160+383610</f>
        <v>418770</v>
      </c>
    </row>
    <row r="298" spans="1:14" ht="18" customHeight="1">
      <c r="A298" s="97" t="s">
        <v>191</v>
      </c>
      <c r="B298" s="97"/>
      <c r="C298" s="97"/>
      <c r="D298" s="97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192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121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199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107" t="s">
        <v>188</v>
      </c>
      <c r="B311" s="107"/>
      <c r="C311" s="107"/>
      <c r="D311" s="107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189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200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107" t="s">
        <v>190</v>
      </c>
      <c r="B324" s="107"/>
      <c r="C324" s="107"/>
      <c r="D324" s="107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189</v>
      </c>
      <c r="N324" s="20">
        <f>411220+466620</f>
        <v>877840</v>
      </c>
    </row>
    <row r="325" spans="1:14" ht="18" customHeight="1">
      <c r="A325" s="97" t="s">
        <v>191</v>
      </c>
      <c r="B325" s="97"/>
      <c r="C325" s="97"/>
      <c r="D325" s="97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192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201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107" t="s">
        <v>188</v>
      </c>
      <c r="B338" s="107"/>
      <c r="C338" s="107"/>
      <c r="D338" s="107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189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107" t="s">
        <v>190</v>
      </c>
      <c r="B351" s="107"/>
      <c r="C351" s="107"/>
      <c r="D351" s="107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189</v>
      </c>
      <c r="N351" s="20"/>
    </row>
    <row r="352" spans="1:14" ht="18" customHeight="1">
      <c r="A352" s="97" t="s">
        <v>191</v>
      </c>
      <c r="B352" s="97"/>
      <c r="C352" s="97"/>
      <c r="D352" s="97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192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137</v>
      </c>
      <c r="I353" s="16" t="s">
        <v>121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202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107" t="s">
        <v>188</v>
      </c>
      <c r="B365" s="107"/>
      <c r="C365" s="107"/>
      <c r="D365" s="107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189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116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203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125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204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107" t="s">
        <v>190</v>
      </c>
      <c r="B378" s="107"/>
      <c r="C378" s="107"/>
      <c r="D378" s="107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189</v>
      </c>
      <c r="N378" s="20">
        <v>1299920</v>
      </c>
    </row>
    <row r="379" spans="1:14" ht="18" customHeight="1">
      <c r="A379" s="97" t="s">
        <v>191</v>
      </c>
      <c r="B379" s="97"/>
      <c r="C379" s="97"/>
      <c r="D379" s="97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192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133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121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107" t="s">
        <v>188</v>
      </c>
      <c r="B392" s="107"/>
      <c r="C392" s="107"/>
      <c r="D392" s="107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189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136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136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107" t="s">
        <v>190</v>
      </c>
      <c r="B405" s="107"/>
      <c r="C405" s="107"/>
      <c r="D405" s="107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189</v>
      </c>
      <c r="N405" s="20">
        <v>1342790</v>
      </c>
    </row>
    <row r="406" spans="1:14" ht="18" customHeight="1">
      <c r="A406" s="97" t="s">
        <v>191</v>
      </c>
      <c r="B406" s="97"/>
      <c r="C406" s="97"/>
      <c r="D406" s="97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192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139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125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205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107" t="s">
        <v>188</v>
      </c>
      <c r="B419" s="107"/>
      <c r="C419" s="107"/>
      <c r="D419" s="107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189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136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136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206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107" t="s">
        <v>190</v>
      </c>
      <c r="B432" s="107"/>
      <c r="C432" s="107"/>
      <c r="D432" s="107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189</v>
      </c>
      <c r="N432" s="20">
        <v>963120</v>
      </c>
    </row>
    <row r="433" spans="1:14" ht="18" customHeight="1">
      <c r="A433" s="97" t="s">
        <v>191</v>
      </c>
      <c r="B433" s="97"/>
      <c r="C433" s="97"/>
      <c r="D433" s="97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192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188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189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136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136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107" t="s">
        <v>190</v>
      </c>
      <c r="B459" s="107"/>
      <c r="C459" s="107"/>
      <c r="D459" s="107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189</v>
      </c>
      <c r="N459" s="20">
        <v>534910</v>
      </c>
    </row>
    <row r="460" spans="1:14" ht="18" customHeight="1">
      <c r="A460" s="97" t="s">
        <v>191</v>
      </c>
      <c r="B460" s="97"/>
      <c r="C460" s="97"/>
      <c r="D460" s="97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192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207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133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208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107" t="s">
        <v>188</v>
      </c>
      <c r="B473" s="107"/>
      <c r="C473" s="107"/>
      <c r="D473" s="107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189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107" t="s">
        <v>190</v>
      </c>
      <c r="B486" s="107"/>
      <c r="C486" s="107"/>
      <c r="D486" s="107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189</v>
      </c>
      <c r="N486" s="20">
        <v>557170</v>
      </c>
    </row>
    <row r="487" spans="1:14" ht="18" customHeight="1">
      <c r="A487" s="97" t="s">
        <v>191</v>
      </c>
      <c r="B487" s="97"/>
      <c r="C487" s="97"/>
      <c r="D487" s="97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192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121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107" t="s">
        <v>188</v>
      </c>
      <c r="B500" s="107"/>
      <c r="C500" s="107"/>
      <c r="D500" s="107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189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121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209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107" t="s">
        <v>190</v>
      </c>
      <c r="B513" s="107"/>
      <c r="C513" s="107"/>
      <c r="D513" s="107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189</v>
      </c>
      <c r="N513" s="20">
        <v>701090</v>
      </c>
    </row>
    <row r="514" spans="1:14" ht="18" customHeight="1">
      <c r="A514" s="97" t="s">
        <v>191</v>
      </c>
      <c r="B514" s="97"/>
      <c r="C514" s="97"/>
      <c r="D514" s="97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192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210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210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211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107" t="s">
        <v>188</v>
      </c>
      <c r="B527" s="107"/>
      <c r="C527" s="107"/>
      <c r="D527" s="107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189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107" t="s">
        <v>190</v>
      </c>
      <c r="B540" s="107"/>
      <c r="C540" s="107"/>
      <c r="D540" s="107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189</v>
      </c>
      <c r="N540" s="20">
        <v>915770</v>
      </c>
    </row>
    <row r="541" spans="1:14" ht="18" customHeight="1">
      <c r="A541" s="97" t="s">
        <v>191</v>
      </c>
      <c r="B541" s="97"/>
      <c r="C541" s="97"/>
      <c r="D541" s="97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192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212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213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214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107" t="s">
        <v>188</v>
      </c>
      <c r="B554" s="107"/>
      <c r="C554" s="107"/>
      <c r="D554" s="107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189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152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107" t="s">
        <v>190</v>
      </c>
      <c r="B567" s="107"/>
      <c r="C567" s="107"/>
      <c r="D567" s="107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189</v>
      </c>
      <c r="N567" s="20">
        <v>636740</v>
      </c>
    </row>
    <row r="568" spans="1:14" ht="18" customHeight="1">
      <c r="A568" s="97" t="s">
        <v>191</v>
      </c>
      <c r="B568" s="97"/>
      <c r="C568" s="97"/>
      <c r="D568" s="97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192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152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215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99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216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107" t="s">
        <v>188</v>
      </c>
      <c r="B581" s="107"/>
      <c r="C581" s="107"/>
      <c r="D581" s="107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189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136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125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217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107" t="s">
        <v>190</v>
      </c>
      <c r="B594" s="107"/>
      <c r="C594" s="107"/>
      <c r="D594" s="107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189</v>
      </c>
      <c r="N594" s="20">
        <v>394820</v>
      </c>
    </row>
    <row r="595" spans="1:14" ht="18" customHeight="1">
      <c r="A595" s="97" t="s">
        <v>191</v>
      </c>
      <c r="B595" s="97"/>
      <c r="C595" s="97"/>
      <c r="D595" s="97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192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102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218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125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219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125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219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157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220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107" t="s">
        <v>188</v>
      </c>
      <c r="B608" s="107"/>
      <c r="C608" s="107"/>
      <c r="D608" s="107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189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221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173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121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107" t="s">
        <v>190</v>
      </c>
      <c r="B621" s="107"/>
      <c r="C621" s="107"/>
      <c r="D621" s="107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189</v>
      </c>
      <c r="N621" s="20">
        <v>587370</v>
      </c>
    </row>
    <row r="622" spans="1:14" ht="18" customHeight="1">
      <c r="A622" s="97" t="s">
        <v>191</v>
      </c>
      <c r="B622" s="97"/>
      <c r="C622" s="97"/>
      <c r="D622" s="97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192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174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164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147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107" t="s">
        <v>188</v>
      </c>
      <c r="B635" s="107"/>
      <c r="C635" s="107"/>
      <c r="D635" s="107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189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121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121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222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157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107" t="s">
        <v>190</v>
      </c>
      <c r="B648" s="107"/>
      <c r="C648" s="107"/>
      <c r="D648" s="107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189</v>
      </c>
      <c r="N648" s="20">
        <v>635110</v>
      </c>
    </row>
    <row r="649" spans="1:14" ht="18" customHeight="1">
      <c r="A649" s="97" t="s">
        <v>191</v>
      </c>
      <c r="B649" s="97"/>
      <c r="C649" s="97"/>
      <c r="D649" s="97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192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125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107" t="s">
        <v>188</v>
      </c>
      <c r="B662" s="107"/>
      <c r="C662" s="107"/>
      <c r="D662" s="107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189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107" t="s">
        <v>190</v>
      </c>
      <c r="B675" s="107"/>
      <c r="C675" s="107"/>
      <c r="D675" s="107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189</v>
      </c>
      <c r="N675" s="20">
        <v>1608610</v>
      </c>
    </row>
    <row r="676" spans="1:14" ht="18" customHeight="1">
      <c r="A676" s="97" t="s">
        <v>191</v>
      </c>
      <c r="B676" s="97"/>
      <c r="C676" s="97"/>
      <c r="D676" s="97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192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174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176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223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102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224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107" t="s">
        <v>188</v>
      </c>
      <c r="B689" s="107"/>
      <c r="C689" s="107"/>
      <c r="D689" s="107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189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128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107" t="s">
        <v>190</v>
      </c>
      <c r="B702" s="107"/>
      <c r="C702" s="107"/>
      <c r="D702" s="107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189</v>
      </c>
      <c r="N702" s="20">
        <f>316300+609860</f>
        <v>926160</v>
      </c>
    </row>
    <row r="703" spans="1:14" ht="18" customHeight="1">
      <c r="A703" s="97" t="s">
        <v>191</v>
      </c>
      <c r="B703" s="97"/>
      <c r="C703" s="97"/>
      <c r="D703" s="97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192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225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121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226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107" t="s">
        <v>188</v>
      </c>
      <c r="B716" s="107"/>
      <c r="C716" s="107"/>
      <c r="D716" s="107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189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149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107" t="s">
        <v>190</v>
      </c>
      <c r="B729" s="107"/>
      <c r="C729" s="107"/>
      <c r="D729" s="107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189</v>
      </c>
      <c r="N729" s="20">
        <v>706600</v>
      </c>
    </row>
    <row r="730" spans="1:14" ht="18" customHeight="1">
      <c r="A730" s="97" t="s">
        <v>191</v>
      </c>
      <c r="B730" s="97"/>
      <c r="C730" s="97"/>
      <c r="D730" s="97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192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>
        <v>17</v>
      </c>
      <c r="F731" s="17">
        <f t="shared" ref="F731:F742" si="165">IF(E731="","",E731*5)</f>
        <v>85</v>
      </c>
      <c r="G731" s="16" t="s">
        <v>18</v>
      </c>
      <c r="H731" s="16" t="s">
        <v>23</v>
      </c>
      <c r="I731" s="16" t="s">
        <v>157</v>
      </c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>
        <v>10</v>
      </c>
      <c r="F732" s="12">
        <f t="shared" si="165"/>
        <v>50</v>
      </c>
      <c r="G732" s="10" t="s">
        <v>18</v>
      </c>
      <c r="H732" s="10" t="s">
        <v>23</v>
      </c>
      <c r="I732" s="10" t="s">
        <v>157</v>
      </c>
      <c r="J732" s="13">
        <v>0.35972222222222222</v>
      </c>
      <c r="K732" s="13">
        <v>0.4513888888888889</v>
      </c>
      <c r="L732" s="70">
        <f t="shared" si="166"/>
        <v>9.1666666666666674E-2</v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>
        <v>25</v>
      </c>
      <c r="F733" s="17">
        <f t="shared" si="165"/>
        <v>125</v>
      </c>
      <c r="G733" s="16" t="s">
        <v>20</v>
      </c>
      <c r="H733" s="16" t="s">
        <v>23</v>
      </c>
      <c r="I733" s="16" t="s">
        <v>172</v>
      </c>
      <c r="J733" s="13">
        <v>0.63541666666666663</v>
      </c>
      <c r="K733" s="13">
        <v>0.67361111111111116</v>
      </c>
      <c r="L733" s="71">
        <f t="shared" si="166"/>
        <v>3.8194444444444531E-2</v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>
        <v>15</v>
      </c>
      <c r="F734" s="12">
        <f t="shared" si="165"/>
        <v>75</v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>
        <v>20</v>
      </c>
      <c r="F735" s="17">
        <f t="shared" si="165"/>
        <v>100</v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>
        <v>13</v>
      </c>
      <c r="F736" s="12">
        <f t="shared" si="165"/>
        <v>65</v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30</v>
      </c>
      <c r="E737" s="11">
        <v>40</v>
      </c>
      <c r="F737" s="17">
        <f t="shared" si="165"/>
        <v>200</v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30</v>
      </c>
      <c r="E738" s="11">
        <v>25</v>
      </c>
      <c r="F738" s="12">
        <f t="shared" si="165"/>
        <v>125</v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30</v>
      </c>
      <c r="E739" s="11">
        <v>0</v>
      </c>
      <c r="F739" s="17">
        <f t="shared" si="165"/>
        <v>0</v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30</v>
      </c>
      <c r="E740" s="11">
        <v>25</v>
      </c>
      <c r="F740" s="12">
        <f t="shared" si="165"/>
        <v>125</v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30</v>
      </c>
      <c r="E741" s="11">
        <v>25</v>
      </c>
      <c r="F741" s="17">
        <f t="shared" si="165"/>
        <v>125</v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30</v>
      </c>
      <c r="E742" s="11">
        <v>13</v>
      </c>
      <c r="F742" s="12">
        <f t="shared" si="165"/>
        <v>65</v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107" t="s">
        <v>188</v>
      </c>
      <c r="B743" s="107"/>
      <c r="C743" s="107"/>
      <c r="D743" s="107"/>
      <c r="E743" s="19">
        <f>SUM(E731:E742)</f>
        <v>228</v>
      </c>
      <c r="F743" s="19">
        <f>SUM(F731:F742)</f>
        <v>1140</v>
      </c>
      <c r="G743" s="18"/>
      <c r="H743" s="18"/>
      <c r="I743" s="18"/>
      <c r="J743" s="18"/>
      <c r="K743" s="18"/>
      <c r="L743" s="72">
        <f>IFERROR(SUM(L731:L742),"")</f>
        <v>0.15069444444444452</v>
      </c>
      <c r="M743" s="19" t="s">
        <v>189</v>
      </c>
      <c r="N743" s="20">
        <v>1209410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50</v>
      </c>
      <c r="F744" s="12">
        <f t="shared" ref="F744:F755" si="168">IF(E744="","",E744*5)</f>
        <v>250</v>
      </c>
      <c r="G744" s="10"/>
      <c r="H744" s="10"/>
      <c r="I744" s="10"/>
      <c r="J744" s="13"/>
      <c r="K744" s="13"/>
      <c r="L744" s="70" t="str">
        <f t="shared" ref="L744:L755" si="169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 t="s">
        <v>45</v>
      </c>
      <c r="D745" s="10" t="s">
        <v>30</v>
      </c>
      <c r="E745" s="11"/>
      <c r="F745" s="17" t="str">
        <f t="shared" si="168"/>
        <v/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 t="s">
        <v>45</v>
      </c>
      <c r="D746" s="10" t="s">
        <v>30</v>
      </c>
      <c r="E746" s="11"/>
      <c r="F746" s="12" t="str">
        <f t="shared" si="168"/>
        <v/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 t="s">
        <v>45</v>
      </c>
      <c r="D747" s="10" t="s">
        <v>30</v>
      </c>
      <c r="E747" s="11"/>
      <c r="F747" s="17" t="str">
        <f t="shared" si="168"/>
        <v/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 t="s">
        <v>45</v>
      </c>
      <c r="D748" s="10" t="s">
        <v>30</v>
      </c>
      <c r="E748" s="11"/>
      <c r="F748" s="12" t="str">
        <f t="shared" si="168"/>
        <v/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 t="s">
        <v>45</v>
      </c>
      <c r="D749" s="10" t="s">
        <v>30</v>
      </c>
      <c r="E749" s="11"/>
      <c r="F749" s="17" t="str">
        <f t="shared" si="168"/>
        <v/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 t="s">
        <v>45</v>
      </c>
      <c r="D750" s="10" t="s">
        <v>30</v>
      </c>
      <c r="E750" s="11"/>
      <c r="F750" s="12" t="str">
        <f t="shared" si="168"/>
        <v/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 t="s">
        <v>45</v>
      </c>
      <c r="D751" s="10" t="s">
        <v>30</v>
      </c>
      <c r="E751" s="11"/>
      <c r="F751" s="17" t="str">
        <f t="shared" si="168"/>
        <v/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 t="s">
        <v>45</v>
      </c>
      <c r="D752" s="10" t="s">
        <v>30</v>
      </c>
      <c r="E752" s="11"/>
      <c r="F752" s="12" t="str">
        <f t="shared" si="168"/>
        <v/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 t="s">
        <v>45</v>
      </c>
      <c r="D753" s="10" t="s">
        <v>30</v>
      </c>
      <c r="E753" s="11"/>
      <c r="F753" s="17" t="str">
        <f t="shared" si="168"/>
        <v/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 t="s">
        <v>45</v>
      </c>
      <c r="D754" s="10" t="s">
        <v>30</v>
      </c>
      <c r="E754" s="11"/>
      <c r="F754" s="12" t="str">
        <f t="shared" si="168"/>
        <v/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 t="s">
        <v>45</v>
      </c>
      <c r="D755" s="10" t="s">
        <v>30</v>
      </c>
      <c r="E755" s="11"/>
      <c r="F755" s="17" t="str">
        <f t="shared" si="168"/>
        <v/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190</v>
      </c>
      <c r="B756" s="82"/>
      <c r="C756" s="82"/>
      <c r="D756" s="82"/>
      <c r="E756" s="19">
        <f>SUM(E744:E755)</f>
        <v>50</v>
      </c>
      <c r="F756" s="19">
        <f>SUM(F744:F755)</f>
        <v>250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189</v>
      </c>
      <c r="N756" s="20"/>
    </row>
    <row r="757" spans="1:14" ht="18" customHeight="1">
      <c r="A757" s="22" t="s">
        <v>191</v>
      </c>
      <c r="B757" s="22"/>
      <c r="C757" s="22"/>
      <c r="D757" s="22"/>
      <c r="E757" s="22">
        <f>E743+E756</f>
        <v>278</v>
      </c>
      <c r="F757" s="22">
        <f>F743+F756</f>
        <v>1390</v>
      </c>
      <c r="G757" s="21"/>
      <c r="H757" s="21"/>
      <c r="I757" s="21"/>
      <c r="J757" s="21"/>
      <c r="K757" s="21"/>
      <c r="L757" s="73">
        <f>IFERROR(L743+L756,"")</f>
        <v>0.15069444444444452</v>
      </c>
      <c r="M757" s="22" t="s">
        <v>192</v>
      </c>
      <c r="N757" s="31">
        <f>IFERROR(N743+N756,"")</f>
        <v>1209410</v>
      </c>
    </row>
    <row r="758" spans="1:14" ht="15" customHeight="1">
      <c r="A758" s="58">
        <v>46202</v>
      </c>
      <c r="B758" s="9">
        <v>0.33333333333333331</v>
      </c>
      <c r="D758" s="10"/>
      <c r="E758" s="11"/>
      <c r="F758" s="12" t="str">
        <f t="shared" ref="F758:F769" si="171">IF(E758="","",E758*5)</f>
        <v/>
      </c>
      <c r="G758" s="10"/>
      <c r="H758" s="10"/>
      <c r="I758" s="10"/>
      <c r="J758" s="13"/>
      <c r="K758" s="13"/>
      <c r="L758" s="70" t="str">
        <f t="shared" ref="L758:L769" si="172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/>
      <c r="D759" s="16"/>
      <c r="E759" s="11"/>
      <c r="F759" s="17" t="str">
        <f t="shared" si="171"/>
        <v/>
      </c>
      <c r="G759" s="16"/>
      <c r="H759" s="16"/>
      <c r="I759" s="16"/>
      <c r="J759" s="13"/>
      <c r="K759" s="13"/>
      <c r="L759" s="71" t="str">
        <f t="shared" si="172"/>
        <v/>
      </c>
      <c r="M759" s="29"/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/>
      <c r="D760" s="10"/>
      <c r="E760" s="11"/>
      <c r="F760" s="12" t="str">
        <f t="shared" si="171"/>
        <v/>
      </c>
      <c r="G760" s="10"/>
      <c r="H760" s="10"/>
      <c r="I760" s="10"/>
      <c r="J760" s="13"/>
      <c r="K760" s="13"/>
      <c r="L760" s="70" t="str">
        <f t="shared" si="172"/>
        <v/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/>
      <c r="D761" s="16"/>
      <c r="E761" s="11"/>
      <c r="F761" s="17" t="str">
        <f t="shared" si="171"/>
        <v/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/>
      <c r="D762" s="10"/>
      <c r="E762" s="11"/>
      <c r="F762" s="12" t="str">
        <f t="shared" si="171"/>
        <v/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/>
      <c r="D763" s="16"/>
      <c r="E763" s="11"/>
      <c r="F763" s="17" t="str">
        <f t="shared" si="171"/>
        <v/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/>
      <c r="D764" s="10"/>
      <c r="E764" s="11"/>
      <c r="F764" s="12" t="str">
        <f t="shared" si="171"/>
        <v/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0"/>
      <c r="D765" s="16"/>
      <c r="E765" s="11"/>
      <c r="F765" s="17" t="str">
        <f t="shared" si="171"/>
        <v/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/>
      <c r="D766" s="10"/>
      <c r="E766" s="11"/>
      <c r="F766" s="12" t="str">
        <f t="shared" si="171"/>
        <v/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0"/>
      <c r="D767" s="16"/>
      <c r="E767" s="11"/>
      <c r="F767" s="17" t="str">
        <f t="shared" si="171"/>
        <v/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/>
      <c r="D768" s="10"/>
      <c r="E768" s="11"/>
      <c r="F768" s="12" t="str">
        <f t="shared" si="171"/>
        <v/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0"/>
      <c r="D769" s="16"/>
      <c r="E769" s="11"/>
      <c r="F769" s="17" t="str">
        <f t="shared" si="171"/>
        <v/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82" t="s">
        <v>188</v>
      </c>
      <c r="B770" s="82"/>
      <c r="C770" s="10"/>
      <c r="D770" s="82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189</v>
      </c>
      <c r="N770" s="20"/>
    </row>
    <row r="771" spans="1:14" ht="15" customHeight="1">
      <c r="A771" s="59">
        <v>46202</v>
      </c>
      <c r="B771" s="15">
        <v>0.83333333333333304</v>
      </c>
      <c r="C771" s="10"/>
      <c r="D771" s="16"/>
      <c r="E771" s="11"/>
      <c r="F771" s="17" t="str">
        <f t="shared" ref="F771:F782" si="174">IF(E771="","",E771*5)</f>
        <v/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/>
      <c r="D772" s="10"/>
      <c r="E772" s="11"/>
      <c r="F772" s="12" t="str">
        <f t="shared" si="174"/>
        <v/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6"/>
      <c r="D773" s="16"/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/>
      <c r="D774" s="10"/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6"/>
      <c r="D775" s="16"/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/>
      <c r="D776" s="10"/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6"/>
      <c r="D777" s="16"/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/>
      <c r="D778" s="10"/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6"/>
      <c r="D779" s="16"/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/>
      <c r="D780" s="10"/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6"/>
      <c r="D781" s="16"/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/>
      <c r="D782" s="10"/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107" t="s">
        <v>190</v>
      </c>
      <c r="B783" s="107"/>
      <c r="C783" s="107"/>
      <c r="D783" s="10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189</v>
      </c>
      <c r="N783" s="20"/>
    </row>
    <row r="784" spans="1:14" ht="18" customHeight="1">
      <c r="A784" s="97" t="s">
        <v>191</v>
      </c>
      <c r="B784" s="97"/>
      <c r="C784" s="97"/>
      <c r="D784" s="97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192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107" t="s">
        <v>188</v>
      </c>
      <c r="B797" s="107"/>
      <c r="C797" s="107"/>
      <c r="D797" s="10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189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107" t="s">
        <v>190</v>
      </c>
      <c r="B810" s="107"/>
      <c r="C810" s="107"/>
      <c r="D810" s="10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189</v>
      </c>
      <c r="N810" s="20"/>
    </row>
    <row r="811" spans="1:14" ht="18" customHeight="1">
      <c r="A811" s="97" t="s">
        <v>191</v>
      </c>
      <c r="B811" s="97"/>
      <c r="C811" s="97"/>
      <c r="D811" s="97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192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6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83:D783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D760 C759:C900 D756 C447:C756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C756:D756 D2:D755 D757:D900 C757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A730" zoomScale="85" zoomScaleNormal="85" workbookViewId="0">
      <selection activeCell="M744" sqref="M744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178</v>
      </c>
      <c r="C1" s="8" t="s">
        <v>12</v>
      </c>
      <c r="D1" s="8" t="s">
        <v>13</v>
      </c>
      <c r="E1" s="8" t="s">
        <v>179</v>
      </c>
      <c r="F1" s="8" t="s">
        <v>227</v>
      </c>
      <c r="G1" s="8" t="s">
        <v>14</v>
      </c>
      <c r="H1" s="8" t="s">
        <v>15</v>
      </c>
      <c r="I1" s="8" t="s">
        <v>181</v>
      </c>
      <c r="J1" s="8" t="s">
        <v>182</v>
      </c>
      <c r="K1" s="8" t="s">
        <v>183</v>
      </c>
      <c r="L1" s="69" t="s">
        <v>184</v>
      </c>
      <c r="M1" s="8" t="s">
        <v>185</v>
      </c>
      <c r="N1" s="8" t="s">
        <v>186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134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122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100" t="s">
        <v>188</v>
      </c>
      <c r="B14" s="100"/>
      <c r="C14" s="100"/>
      <c r="D14" s="100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189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121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100" t="s">
        <v>190</v>
      </c>
      <c r="B27" s="100"/>
      <c r="C27" s="100"/>
      <c r="D27" s="100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189</v>
      </c>
      <c r="N27" s="20">
        <v>1035240</v>
      </c>
    </row>
    <row r="28" spans="1:14" ht="18" customHeight="1">
      <c r="A28" s="97" t="s">
        <v>191</v>
      </c>
      <c r="B28" s="97"/>
      <c r="C28" s="97"/>
      <c r="D28" s="97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192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228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0" t="s">
        <v>188</v>
      </c>
      <c r="B41" s="100"/>
      <c r="C41" s="100"/>
      <c r="D41" s="100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189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117</v>
      </c>
      <c r="I43" s="16" t="s">
        <v>103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0" t="s">
        <v>190</v>
      </c>
      <c r="B54" s="100"/>
      <c r="C54" s="100"/>
      <c r="D54" s="100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189</v>
      </c>
      <c r="N54" s="20">
        <v>871960</v>
      </c>
    </row>
    <row r="55" spans="1:14" ht="18" customHeight="1">
      <c r="A55" s="97" t="s">
        <v>191</v>
      </c>
      <c r="B55" s="97"/>
      <c r="C55" s="97"/>
      <c r="D55" s="97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192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114</v>
      </c>
      <c r="I62" s="10" t="s">
        <v>229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135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134</v>
      </c>
      <c r="I65" s="16" t="s">
        <v>109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100" t="s">
        <v>188</v>
      </c>
      <c r="B68" s="100"/>
      <c r="C68" s="100"/>
      <c r="D68" s="100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189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134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148</v>
      </c>
      <c r="I71" s="16" t="s">
        <v>230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146</v>
      </c>
      <c r="I74" s="10" t="s">
        <v>113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100" t="s">
        <v>190</v>
      </c>
      <c r="B81" s="100"/>
      <c r="C81" s="100"/>
      <c r="D81" s="100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189</v>
      </c>
      <c r="N81" s="20">
        <v>482250</v>
      </c>
    </row>
    <row r="82" spans="1:14" ht="18" customHeight="1">
      <c r="A82" s="97" t="s">
        <v>191</v>
      </c>
      <c r="B82" s="97"/>
      <c r="C82" s="97"/>
      <c r="D82" s="97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192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231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134</v>
      </c>
      <c r="I84" s="10" t="s">
        <v>125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148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100" t="s">
        <v>188</v>
      </c>
      <c r="B95" s="100"/>
      <c r="C95" s="100"/>
      <c r="D95" s="100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189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232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125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100" t="s">
        <v>190</v>
      </c>
      <c r="B108" s="100"/>
      <c r="C108" s="100"/>
      <c r="D108" s="100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189</v>
      </c>
      <c r="N108" s="20">
        <v>529500</v>
      </c>
    </row>
    <row r="109" spans="1:14" ht="18" customHeight="1">
      <c r="A109" s="97" t="s">
        <v>191</v>
      </c>
      <c r="B109" s="97"/>
      <c r="C109" s="97"/>
      <c r="D109" s="97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192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232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232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100" t="s">
        <v>188</v>
      </c>
      <c r="B122" s="100"/>
      <c r="C122" s="100"/>
      <c r="D122" s="100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189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232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233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100" t="s">
        <v>190</v>
      </c>
      <c r="B135" s="100"/>
      <c r="C135" s="100"/>
      <c r="D135" s="100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189</v>
      </c>
      <c r="N135" s="20">
        <v>666150</v>
      </c>
    </row>
    <row r="136" spans="1:14" ht="18" customHeight="1">
      <c r="A136" s="97" t="s">
        <v>191</v>
      </c>
      <c r="B136" s="97"/>
      <c r="C136" s="97"/>
      <c r="D136" s="97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192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115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231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234</v>
      </c>
      <c r="I139" s="16" t="s">
        <v>235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232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117</v>
      </c>
      <c r="I141" s="16" t="s">
        <v>107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134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100" t="s">
        <v>188</v>
      </c>
      <c r="B149" s="100"/>
      <c r="C149" s="100"/>
      <c r="D149" s="100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189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134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100" t="s">
        <v>190</v>
      </c>
      <c r="B162" s="100"/>
      <c r="C162" s="100"/>
      <c r="D162" s="100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189</v>
      </c>
      <c r="N162" s="35">
        <v>183240</v>
      </c>
    </row>
    <row r="163" spans="1:14" ht="18" customHeight="1">
      <c r="A163" s="97" t="s">
        <v>191</v>
      </c>
      <c r="B163" s="97"/>
      <c r="C163" s="97"/>
      <c r="D163" s="97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192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134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134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134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134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134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134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134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134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134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134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134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134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100" t="s">
        <v>188</v>
      </c>
      <c r="B176" s="100"/>
      <c r="C176" s="100"/>
      <c r="D176" s="100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189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134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117</v>
      </c>
      <c r="I181" s="16" t="s">
        <v>236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117</v>
      </c>
      <c r="I182" s="10" t="s">
        <v>236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117</v>
      </c>
      <c r="I183" s="16" t="s">
        <v>236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117</v>
      </c>
      <c r="I184" s="10" t="s">
        <v>236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117</v>
      </c>
      <c r="I185" s="16" t="s">
        <v>236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117</v>
      </c>
      <c r="I186" s="10" t="s">
        <v>236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117</v>
      </c>
      <c r="I187" s="16" t="s">
        <v>236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117</v>
      </c>
      <c r="I188" s="10" t="s">
        <v>236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100" t="s">
        <v>190</v>
      </c>
      <c r="B189" s="100"/>
      <c r="C189" s="100"/>
      <c r="D189" s="100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189</v>
      </c>
      <c r="N189" s="20">
        <v>0</v>
      </c>
    </row>
    <row r="190" spans="1:14" ht="18" customHeight="1">
      <c r="A190" s="97" t="s">
        <v>191</v>
      </c>
      <c r="B190" s="97"/>
      <c r="C190" s="97"/>
      <c r="D190" s="97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192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117</v>
      </c>
      <c r="I191" s="10" t="s">
        <v>236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134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134</v>
      </c>
      <c r="I193" s="10" t="s">
        <v>237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100" t="s">
        <v>188</v>
      </c>
      <c r="B203" s="100"/>
      <c r="C203" s="100"/>
      <c r="D203" s="100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189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100" t="s">
        <v>190</v>
      </c>
      <c r="B216" s="100"/>
      <c r="C216" s="100"/>
      <c r="D216" s="100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189</v>
      </c>
      <c r="N216" s="28">
        <v>525070</v>
      </c>
    </row>
    <row r="217" spans="1:14" ht="18" customHeight="1">
      <c r="A217" s="97" t="s">
        <v>191</v>
      </c>
      <c r="B217" s="97"/>
      <c r="C217" s="97"/>
      <c r="D217" s="97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192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125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134</v>
      </c>
      <c r="I219" s="16" t="s">
        <v>141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238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122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100" t="s">
        <v>188</v>
      </c>
      <c r="B230" s="100"/>
      <c r="C230" s="100"/>
      <c r="D230" s="100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189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148</v>
      </c>
      <c r="I231" s="16" t="s">
        <v>121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100" t="s">
        <v>190</v>
      </c>
      <c r="B243" s="100"/>
      <c r="C243" s="100"/>
      <c r="D243" s="100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189</v>
      </c>
      <c r="N243" s="20">
        <v>244000</v>
      </c>
    </row>
    <row r="244" spans="1:14" ht="18" customHeight="1">
      <c r="A244" s="97" t="s">
        <v>191</v>
      </c>
      <c r="B244" s="97"/>
      <c r="C244" s="97"/>
      <c r="D244" s="97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192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150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239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240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100" t="s">
        <v>188</v>
      </c>
      <c r="B257" s="100"/>
      <c r="C257" s="100"/>
      <c r="D257" s="100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189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125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241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134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100" t="s">
        <v>190</v>
      </c>
      <c r="B270" s="100"/>
      <c r="C270" s="100"/>
      <c r="D270" s="100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189</v>
      </c>
      <c r="N270" s="20">
        <v>8130</v>
      </c>
    </row>
    <row r="271" spans="1:14" ht="18" customHeight="1">
      <c r="A271" s="97" t="s">
        <v>191</v>
      </c>
      <c r="B271" s="97"/>
      <c r="C271" s="97"/>
      <c r="D271" s="97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192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140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134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242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100" t="s">
        <v>188</v>
      </c>
      <c r="B284" s="100"/>
      <c r="C284" s="100"/>
      <c r="D284" s="100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189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100" t="s">
        <v>190</v>
      </c>
      <c r="B297" s="100"/>
      <c r="C297" s="100"/>
      <c r="D297" s="100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189</v>
      </c>
      <c r="N297" s="20">
        <f>229280+228660</f>
        <v>457940</v>
      </c>
    </row>
    <row r="298" spans="1:14" ht="18" customHeight="1">
      <c r="A298" s="97" t="s">
        <v>191</v>
      </c>
      <c r="B298" s="97"/>
      <c r="C298" s="97"/>
      <c r="D298" s="97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192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243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244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244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245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100" t="s">
        <v>188</v>
      </c>
      <c r="B311" s="100"/>
      <c r="C311" s="100"/>
      <c r="D311" s="100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189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246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247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146</v>
      </c>
      <c r="I321" s="16" t="s">
        <v>113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248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249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100" t="s">
        <v>190</v>
      </c>
      <c r="B324" s="100"/>
      <c r="C324" s="100"/>
      <c r="D324" s="100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189</v>
      </c>
      <c r="N324" s="20">
        <f>217310+197670</f>
        <v>414980</v>
      </c>
    </row>
    <row r="325" spans="1:14" ht="18" customHeight="1">
      <c r="A325" s="97" t="s">
        <v>191</v>
      </c>
      <c r="B325" s="97"/>
      <c r="C325" s="97"/>
      <c r="D325" s="97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192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111</v>
      </c>
      <c r="I327" s="16" t="s">
        <v>125</v>
      </c>
      <c r="J327" s="13">
        <v>0.5</v>
      </c>
      <c r="K327" s="13">
        <v>0.53125</v>
      </c>
      <c r="L327" s="71">
        <f t="shared" si="73"/>
        <v>3.125E-2</v>
      </c>
      <c r="M327" s="29" t="s">
        <v>250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111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251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111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100" t="s">
        <v>188</v>
      </c>
      <c r="B338" s="100"/>
      <c r="C338" s="100"/>
      <c r="D338" s="100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189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146</v>
      </c>
      <c r="I339" s="16" t="s">
        <v>113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252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150</v>
      </c>
      <c r="I340" s="10" t="s">
        <v>110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253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100" t="s">
        <v>190</v>
      </c>
      <c r="B351" s="100"/>
      <c r="C351" s="100"/>
      <c r="D351" s="100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189</v>
      </c>
      <c r="N351" s="20">
        <f>135270+304860</f>
        <v>440130</v>
      </c>
    </row>
    <row r="352" spans="1:14" ht="18" customHeight="1">
      <c r="A352" s="97" t="s">
        <v>191</v>
      </c>
      <c r="B352" s="97"/>
      <c r="C352" s="97"/>
      <c r="D352" s="97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192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254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255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146</v>
      </c>
      <c r="I356" s="10" t="s">
        <v>113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256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100" t="s">
        <v>188</v>
      </c>
      <c r="B365" s="100"/>
      <c r="C365" s="100"/>
      <c r="D365" s="100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189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150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100" t="s">
        <v>190</v>
      </c>
      <c r="B378" s="100"/>
      <c r="C378" s="100"/>
      <c r="D378" s="100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189</v>
      </c>
      <c r="N378" s="20">
        <f>291750+291000</f>
        <v>582750</v>
      </c>
    </row>
    <row r="379" spans="1:14" ht="18" customHeight="1">
      <c r="A379" s="97" t="s">
        <v>191</v>
      </c>
      <c r="B379" s="97"/>
      <c r="C379" s="97"/>
      <c r="D379" s="97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192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151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100" t="s">
        <v>188</v>
      </c>
      <c r="B392" s="100"/>
      <c r="C392" s="100"/>
      <c r="D392" s="100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189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151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257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156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108</v>
      </c>
      <c r="I402" s="10" t="s">
        <v>33</v>
      </c>
      <c r="J402" s="13"/>
      <c r="K402" s="13"/>
      <c r="L402" s="70" t="str">
        <f t="shared" si="88"/>
        <v/>
      </c>
      <c r="M402" s="29" t="s">
        <v>258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100" t="s">
        <v>190</v>
      </c>
      <c r="B405" s="100"/>
      <c r="C405" s="100"/>
      <c r="D405" s="100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189</v>
      </c>
      <c r="N405" s="20">
        <v>305810</v>
      </c>
    </row>
    <row r="406" spans="1:14" ht="18" customHeight="1">
      <c r="A406" s="97" t="s">
        <v>191</v>
      </c>
      <c r="B406" s="97"/>
      <c r="C406" s="97"/>
      <c r="D406" s="97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192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111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154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259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125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260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261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100" t="s">
        <v>188</v>
      </c>
      <c r="B419" s="100"/>
      <c r="C419" s="100"/>
      <c r="D419" s="100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189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121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262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263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100" t="s">
        <v>190</v>
      </c>
      <c r="B432" s="100"/>
      <c r="C432" s="100"/>
      <c r="D432" s="100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189</v>
      </c>
      <c r="N432" s="20">
        <v>522180</v>
      </c>
    </row>
    <row r="433" spans="1:14" ht="18" customHeight="1">
      <c r="A433" s="97" t="s">
        <v>191</v>
      </c>
      <c r="B433" s="97"/>
      <c r="C433" s="97"/>
      <c r="D433" s="97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192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264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265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112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140</v>
      </c>
      <c r="I439" s="16" t="s">
        <v>121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266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100" t="s">
        <v>188</v>
      </c>
      <c r="B446" s="100"/>
      <c r="C446" s="100"/>
      <c r="D446" s="100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189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147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267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150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148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100" t="s">
        <v>190</v>
      </c>
      <c r="B459" s="100"/>
      <c r="C459" s="100"/>
      <c r="D459" s="100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189</v>
      </c>
      <c r="N459" s="20">
        <v>560220</v>
      </c>
    </row>
    <row r="460" spans="1:14" ht="18" customHeight="1">
      <c r="A460" s="97" t="s">
        <v>191</v>
      </c>
      <c r="B460" s="97"/>
      <c r="C460" s="97"/>
      <c r="D460" s="97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192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129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157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114</v>
      </c>
      <c r="I465" s="16" t="s">
        <v>268</v>
      </c>
      <c r="J465" s="13">
        <v>0.70833333333333337</v>
      </c>
      <c r="K465" s="13" t="s">
        <v>269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270</v>
      </c>
      <c r="N472" s="30"/>
    </row>
    <row r="473" spans="1:14" ht="15.75" customHeight="1">
      <c r="A473" s="100" t="s">
        <v>188</v>
      </c>
      <c r="B473" s="100"/>
      <c r="C473" s="100"/>
      <c r="D473" s="100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189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150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271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114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272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100" t="s">
        <v>190</v>
      </c>
      <c r="B486" s="100"/>
      <c r="C486" s="100"/>
      <c r="D486" s="100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189</v>
      </c>
      <c r="N486" s="20">
        <v>400000</v>
      </c>
    </row>
    <row r="487" spans="1:14" ht="18" customHeight="1">
      <c r="A487" s="97" t="s">
        <v>191</v>
      </c>
      <c r="B487" s="97"/>
      <c r="C487" s="97"/>
      <c r="D487" s="97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192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100" t="s">
        <v>188</v>
      </c>
      <c r="B500" s="100"/>
      <c r="C500" s="100"/>
      <c r="D500" s="100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189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150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150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147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273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100" t="s">
        <v>190</v>
      </c>
      <c r="B513" s="100"/>
      <c r="C513" s="100"/>
      <c r="D513" s="100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189</v>
      </c>
      <c r="N513" s="20">
        <f>1031250+71560</f>
        <v>1102810</v>
      </c>
    </row>
    <row r="514" spans="1:14" ht="18" customHeight="1">
      <c r="A514" s="97" t="s">
        <v>191</v>
      </c>
      <c r="B514" s="97"/>
      <c r="C514" s="97"/>
      <c r="D514" s="97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192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210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210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210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100" t="s">
        <v>188</v>
      </c>
      <c r="B527" s="100"/>
      <c r="C527" s="100"/>
      <c r="D527" s="100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189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169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274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140</v>
      </c>
      <c r="I529" s="16" t="s">
        <v>125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275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276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126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277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278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278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148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100" t="s">
        <v>190</v>
      </c>
      <c r="B540" s="100"/>
      <c r="C540" s="100"/>
      <c r="D540" s="100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189</v>
      </c>
      <c r="N540" s="20">
        <v>504470</v>
      </c>
    </row>
    <row r="541" spans="1:14" ht="18" customHeight="1">
      <c r="A541" s="97" t="s">
        <v>191</v>
      </c>
      <c r="B541" s="97"/>
      <c r="C541" s="97"/>
      <c r="D541" s="97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192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279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100" t="s">
        <v>188</v>
      </c>
      <c r="B554" s="100"/>
      <c r="C554" s="100"/>
      <c r="D554" s="100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189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126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150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100" t="s">
        <v>190</v>
      </c>
      <c r="B567" s="100"/>
      <c r="C567" s="100"/>
      <c r="D567" s="100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189</v>
      </c>
      <c r="N567" s="20">
        <v>0</v>
      </c>
    </row>
    <row r="568" spans="1:14" ht="18" customHeight="1">
      <c r="A568" s="97" t="s">
        <v>191</v>
      </c>
      <c r="B568" s="97"/>
      <c r="C568" s="97"/>
      <c r="D568" s="97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192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129</v>
      </c>
      <c r="I569" s="16" t="s">
        <v>109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100" t="s">
        <v>188</v>
      </c>
      <c r="B581" s="100"/>
      <c r="C581" s="100"/>
      <c r="D581" s="100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189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129</v>
      </c>
      <c r="I582" s="10" t="s">
        <v>109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140</v>
      </c>
      <c r="I583" s="16" t="s">
        <v>125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280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100" t="s">
        <v>190</v>
      </c>
      <c r="B594" s="100"/>
      <c r="C594" s="100"/>
      <c r="D594" s="100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189</v>
      </c>
      <c r="N594" s="20">
        <v>258960</v>
      </c>
    </row>
    <row r="595" spans="1:14" ht="18" customHeight="1">
      <c r="A595" s="97" t="s">
        <v>191</v>
      </c>
      <c r="B595" s="97"/>
      <c r="C595" s="97"/>
      <c r="D595" s="97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192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171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281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282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147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283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100" t="s">
        <v>188</v>
      </c>
      <c r="B608" s="100"/>
      <c r="C608" s="100"/>
      <c r="D608" s="100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189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150</v>
      </c>
      <c r="I609" s="16" t="s">
        <v>161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284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157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285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100" t="s">
        <v>190</v>
      </c>
      <c r="B621" s="100"/>
      <c r="C621" s="100"/>
      <c r="D621" s="100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189</v>
      </c>
      <c r="N621" s="20">
        <v>687740</v>
      </c>
    </row>
    <row r="622" spans="1:14" ht="18" customHeight="1">
      <c r="A622" s="97" t="s">
        <v>191</v>
      </c>
      <c r="B622" s="97"/>
      <c r="C622" s="97"/>
      <c r="D622" s="97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192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150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286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100" t="s">
        <v>188</v>
      </c>
      <c r="B635" s="100"/>
      <c r="C635" s="100"/>
      <c r="D635" s="100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189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150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287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161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288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161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289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100" t="s">
        <v>190</v>
      </c>
      <c r="B648" s="100"/>
      <c r="C648" s="100"/>
      <c r="D648" s="100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189</v>
      </c>
      <c r="N648" s="20">
        <f>47050+58630</f>
        <v>105680</v>
      </c>
    </row>
    <row r="649" spans="1:14" ht="18" customHeight="1">
      <c r="A649" s="97" t="s">
        <v>191</v>
      </c>
      <c r="B649" s="97"/>
      <c r="C649" s="97"/>
      <c r="D649" s="97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192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134</v>
      </c>
      <c r="I650" s="16" t="s">
        <v>121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129</v>
      </c>
      <c r="I651" s="16" t="s">
        <v>97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100" t="s">
        <v>188</v>
      </c>
      <c r="B662" s="100"/>
      <c r="C662" s="100"/>
      <c r="D662" s="100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189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290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291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122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166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166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122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122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292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100" t="s">
        <v>190</v>
      </c>
      <c r="B675" s="100"/>
      <c r="C675" s="100"/>
      <c r="D675" s="100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189</v>
      </c>
      <c r="N675" s="20">
        <v>546550</v>
      </c>
    </row>
    <row r="676" spans="1:14" ht="18" customHeight="1">
      <c r="A676" s="97" t="s">
        <v>191</v>
      </c>
      <c r="B676" s="97"/>
      <c r="C676" s="97"/>
      <c r="D676" s="97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192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150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122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147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293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150</v>
      </c>
      <c r="I680" s="10" t="s">
        <v>157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100" t="s">
        <v>188</v>
      </c>
      <c r="B689" s="100"/>
      <c r="C689" s="100"/>
      <c r="D689" s="100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189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150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294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295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122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100" t="s">
        <v>190</v>
      </c>
      <c r="B702" s="100"/>
      <c r="C702" s="100"/>
      <c r="D702" s="100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189</v>
      </c>
      <c r="N702" s="20">
        <f>430070+116100</f>
        <v>546170</v>
      </c>
    </row>
    <row r="703" spans="1:14" ht="18" customHeight="1">
      <c r="A703" s="97" t="s">
        <v>191</v>
      </c>
      <c r="B703" s="97"/>
      <c r="C703" s="97"/>
      <c r="D703" s="97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192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150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296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108" t="s">
        <v>188</v>
      </c>
      <c r="B716" s="109"/>
      <c r="C716" s="109"/>
      <c r="D716" s="110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189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100" t="s">
        <v>190</v>
      </c>
      <c r="B729" s="100"/>
      <c r="C729" s="100"/>
      <c r="D729" s="100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189</v>
      </c>
      <c r="N729" s="20">
        <v>477920</v>
      </c>
    </row>
    <row r="730" spans="1:14" ht="18" customHeight="1">
      <c r="A730" s="97" t="s">
        <v>191</v>
      </c>
      <c r="B730" s="97"/>
      <c r="C730" s="97"/>
      <c r="D730" s="97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192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27</v>
      </c>
      <c r="F731" s="17">
        <f t="shared" ref="F731:F742" si="163">IF(E731="","",E731*4)</f>
        <v>108</v>
      </c>
      <c r="G731" s="16" t="s">
        <v>17</v>
      </c>
      <c r="H731" s="16"/>
      <c r="I731" s="16" t="s">
        <v>96</v>
      </c>
      <c r="J731" s="13">
        <v>0.37916666666666665</v>
      </c>
      <c r="K731" s="13">
        <v>0.54166666666666663</v>
      </c>
      <c r="L731" s="71">
        <f t="shared" ref="L731:L742" si="164">IFERROR(IF(K731="","",IF(K731&gt;=J731,K731-J731,K731+1-J731)),"")</f>
        <v>0.16249999999999998</v>
      </c>
      <c r="M731" s="29" t="s">
        <v>297</v>
      </c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>
        <v>7</v>
      </c>
      <c r="F732" s="12">
        <f t="shared" si="163"/>
        <v>28</v>
      </c>
      <c r="G732" s="10" t="s">
        <v>19</v>
      </c>
      <c r="H732" s="10" t="s">
        <v>150</v>
      </c>
      <c r="I732" s="16" t="s">
        <v>27</v>
      </c>
      <c r="J732" s="13">
        <v>0.71666666666666667</v>
      </c>
      <c r="K732" s="13">
        <v>0.72986111111111107</v>
      </c>
      <c r="L732" s="70">
        <f t="shared" si="164"/>
        <v>1.3194444444444398E-2</v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3"/>
        <v>0</v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3"/>
        <v>0</v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>
        <v>5</v>
      </c>
      <c r="F736" s="12">
        <f t="shared" si="163"/>
        <v>20</v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6" t="s">
        <v>30</v>
      </c>
      <c r="E738" s="11">
        <v>15</v>
      </c>
      <c r="F738" s="12">
        <f t="shared" si="163"/>
        <v>60</v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 t="s">
        <v>30</v>
      </c>
      <c r="E739" s="11">
        <v>16</v>
      </c>
      <c r="F739" s="17">
        <f t="shared" si="163"/>
        <v>64</v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6" t="s">
        <v>30</v>
      </c>
      <c r="E740" s="11">
        <v>11</v>
      </c>
      <c r="F740" s="12">
        <f t="shared" si="163"/>
        <v>44</v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 t="s">
        <v>30</v>
      </c>
      <c r="E741" s="11">
        <v>12</v>
      </c>
      <c r="F741" s="17">
        <f t="shared" si="163"/>
        <v>48</v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6" t="s">
        <v>30</v>
      </c>
      <c r="E742" s="11">
        <v>8</v>
      </c>
      <c r="F742" s="12">
        <f t="shared" si="163"/>
        <v>32</v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100" t="s">
        <v>188</v>
      </c>
      <c r="B743" s="100"/>
      <c r="C743" s="100"/>
      <c r="D743" s="100"/>
      <c r="E743" s="19">
        <f>SUM(E731:E742)</f>
        <v>113</v>
      </c>
      <c r="F743" s="19">
        <f>SUM(F731:F742)</f>
        <v>452</v>
      </c>
      <c r="G743" s="18"/>
      <c r="H743" s="18"/>
      <c r="I743" s="18"/>
      <c r="J743" s="18"/>
      <c r="K743" s="18"/>
      <c r="L743" s="72">
        <f>IFERROR(SUM(L731:L742),"")</f>
        <v>0.17569444444444438</v>
      </c>
      <c r="M743" s="19" t="s">
        <v>189</v>
      </c>
      <c r="N743" s="20">
        <v>427230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10</v>
      </c>
      <c r="F744" s="12">
        <f t="shared" ref="F744:F755" si="166">IF(E744="","",E744*4)</f>
        <v>40</v>
      </c>
      <c r="G744" s="10" t="s">
        <v>17</v>
      </c>
      <c r="H744" s="10" t="s">
        <v>90</v>
      </c>
      <c r="I744" s="16" t="s">
        <v>25</v>
      </c>
      <c r="J744" s="13">
        <v>0.84722222222222221</v>
      </c>
      <c r="K744" s="13"/>
      <c r="L744" s="70" t="str">
        <f t="shared" ref="L744:L755" si="167">IFERROR(IF(K744="","",IF(K744&gt;=J744,K744-J744,K744+1-J744)),"")</f>
        <v/>
      </c>
      <c r="M744" s="29" t="s">
        <v>298</v>
      </c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10" t="s">
        <v>30</v>
      </c>
      <c r="E745" s="11"/>
      <c r="F745" s="17" t="str">
        <f t="shared" si="166"/>
        <v/>
      </c>
      <c r="G745" s="16"/>
      <c r="H745" s="10"/>
      <c r="I745" s="16"/>
      <c r="J745" s="13"/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10" t="s">
        <v>30</v>
      </c>
      <c r="E746" s="11"/>
      <c r="F746" s="12" t="str">
        <f t="shared" si="166"/>
        <v/>
      </c>
      <c r="G746" s="10"/>
      <c r="H746" s="10"/>
      <c r="I746" s="16"/>
      <c r="J746" s="13"/>
      <c r="K746" s="13"/>
      <c r="L746" s="70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10" t="s">
        <v>30</v>
      </c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10" t="s">
        <v>30</v>
      </c>
      <c r="E748" s="11"/>
      <c r="F748" s="12" t="str">
        <f t="shared" si="166"/>
        <v/>
      </c>
      <c r="G748" s="10"/>
      <c r="H748" s="10"/>
      <c r="I748" s="16"/>
      <c r="J748" s="13"/>
      <c r="K748" s="13"/>
      <c r="L748" s="70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10" t="s">
        <v>30</v>
      </c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10" t="s">
        <v>30</v>
      </c>
      <c r="E750" s="11"/>
      <c r="F750" s="12" t="str">
        <f t="shared" si="166"/>
        <v/>
      </c>
      <c r="G750" s="10"/>
      <c r="H750" s="10"/>
      <c r="I750" s="16"/>
      <c r="J750" s="13"/>
      <c r="K750" s="13"/>
      <c r="L750" s="70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10" t="s">
        <v>30</v>
      </c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10" t="s">
        <v>30</v>
      </c>
      <c r="E752" s="11"/>
      <c r="F752" s="12" t="str">
        <f t="shared" si="166"/>
        <v/>
      </c>
      <c r="G752" s="10"/>
      <c r="H752" s="10"/>
      <c r="I752" s="16"/>
      <c r="J752" s="13"/>
      <c r="K752" s="13"/>
      <c r="L752" s="70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10" t="s">
        <v>30</v>
      </c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10" t="s">
        <v>30</v>
      </c>
      <c r="E754" s="11"/>
      <c r="F754" s="12" t="str">
        <f t="shared" si="166"/>
        <v/>
      </c>
      <c r="G754" s="10"/>
      <c r="H754" s="10"/>
      <c r="I754" s="16"/>
      <c r="J754" s="13"/>
      <c r="K754" s="13"/>
      <c r="L754" s="70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10" t="s">
        <v>30</v>
      </c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100" t="s">
        <v>190</v>
      </c>
      <c r="B756" s="100"/>
      <c r="C756" s="100"/>
      <c r="D756" s="100"/>
      <c r="E756" s="19">
        <f>SUM(E744:E755)</f>
        <v>10</v>
      </c>
      <c r="F756" s="19">
        <f>SUM(F744:F755)</f>
        <v>40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189</v>
      </c>
      <c r="N756" s="20"/>
    </row>
    <row r="757" spans="1:14" ht="18" customHeight="1">
      <c r="A757" s="97" t="s">
        <v>191</v>
      </c>
      <c r="B757" s="97"/>
      <c r="C757" s="97"/>
      <c r="D757" s="97"/>
      <c r="E757" s="22">
        <f>E743+E756</f>
        <v>123</v>
      </c>
      <c r="F757" s="22">
        <f>F743+F756</f>
        <v>492</v>
      </c>
      <c r="G757" s="21"/>
      <c r="H757" s="21"/>
      <c r="I757" s="21"/>
      <c r="J757" s="21"/>
      <c r="K757" s="21"/>
      <c r="L757" s="73">
        <f>IFERROR(L743+L756,"")</f>
        <v>0.17569444444444438</v>
      </c>
      <c r="M757" s="22" t="s">
        <v>192</v>
      </c>
      <c r="N757" s="31">
        <f>IFERROR(N743+N756,"")</f>
        <v>427230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16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29"/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10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16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10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16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10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16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10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16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10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16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100" t="s">
        <v>188</v>
      </c>
      <c r="B770" s="100"/>
      <c r="C770" s="100"/>
      <c r="D770" s="100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189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10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16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10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16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10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16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10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16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10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/>
      <c r="D781" s="16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10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100" t="s">
        <v>190</v>
      </c>
      <c r="B783" s="100"/>
      <c r="C783" s="100"/>
      <c r="D783" s="100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189</v>
      </c>
      <c r="N783" s="20"/>
    </row>
    <row r="784" spans="1:14" ht="18" customHeight="1">
      <c r="A784" s="97" t="s">
        <v>191</v>
      </c>
      <c r="B784" s="97"/>
      <c r="C784" s="97"/>
      <c r="D784" s="97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192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100" t="s">
        <v>188</v>
      </c>
      <c r="B797" s="100"/>
      <c r="C797" s="100"/>
      <c r="D797" s="100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189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100" t="s">
        <v>190</v>
      </c>
      <c r="B810" s="100"/>
      <c r="C810" s="100"/>
      <c r="D810" s="100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189</v>
      </c>
      <c r="N810" s="20"/>
    </row>
    <row r="811" spans="1:14" ht="18" customHeight="1">
      <c r="A811" s="97" t="s">
        <v>191</v>
      </c>
      <c r="B811" s="97"/>
      <c r="C811" s="97"/>
      <c r="D811" s="97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192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43:D743"/>
    <mergeCell ref="A756:D756"/>
    <mergeCell ref="A757:D757"/>
    <mergeCell ref="A770:D770"/>
    <mergeCell ref="A783:D783"/>
    <mergeCell ref="A784:D784"/>
    <mergeCell ref="A797:D797"/>
    <mergeCell ref="A810:D810"/>
    <mergeCell ref="A811:D811"/>
  </mergeCells>
  <dataValidations count="1">
    <dataValidation type="list" showErrorMessage="1" errorTitle="Atenção" error="Selecione primeiro o Tipo de Parada (col G) e depois escolha a Descrição da lista." sqref="I2:I681 I683:I900" xr:uid="{E4D8C6DE-5EAA-4CC4-B2D9-75E053B04982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7E1F6087-2BE4-4999-A02E-8EF8D0FFD49B}">
          <x14:formula1>
            <xm:f>Cadastro!$E$4:$E$10</xm:f>
          </x14:formula1>
          <x14:formula2>
            <xm:f>0</xm:f>
          </x14:formula2>
          <xm:sqref>H682:I682 G2:G900</xm:sqref>
        </x14:dataValidation>
        <x14:dataValidation type="list" allowBlank="1" showErrorMessage="1" errorTitle="Valor inválido" error="Selecione da lista." xr:uid="{315E14AD-77A1-4CF4-8ADF-1E7207CB4CAB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D16F2A10-0B55-4C3D-A1BE-D015F7B1B202}">
          <x14:formula1>
            <xm:f>Cadastro!$A$4:$A$50</xm:f>
          </x14:formula1>
          <x14:formula2>
            <xm:f>0</xm:f>
          </x14:formula2>
          <xm:sqref>D542:D553 C2:C900</xm:sqref>
        </x14:dataValidation>
        <x14:dataValidation type="list" allowBlank="1" showErrorMessage="1" errorTitle="Valor inválido" error="Selecione da lista." xr:uid="{F8CBD7A6-28F7-4DAA-A64A-E5BF2AC04DB4}">
          <x14:formula1>
            <xm:f>Cadastro!$C$4:$C$10</xm:f>
          </x14:formula1>
          <x14:formula2>
            <xm:f>0</xm:f>
          </x14:formula2>
          <xm:sqref>D2:D900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tabSelected="1" zoomScale="80" zoomScaleNormal="80" workbookViewId="0">
      <pane ySplit="1" topLeftCell="A730" activePane="bottomLeft" state="frozen"/>
      <selection pane="bottomLeft" activeCell="M744" sqref="M744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178</v>
      </c>
      <c r="C1" s="8" t="s">
        <v>12</v>
      </c>
      <c r="D1" s="8" t="s">
        <v>13</v>
      </c>
      <c r="E1" s="8" t="s">
        <v>179</v>
      </c>
      <c r="F1" s="8" t="s">
        <v>299</v>
      </c>
      <c r="G1" s="8" t="s">
        <v>14</v>
      </c>
      <c r="H1" s="8" t="s">
        <v>15</v>
      </c>
      <c r="I1" s="8" t="s">
        <v>181</v>
      </c>
      <c r="J1" s="8" t="s">
        <v>182</v>
      </c>
      <c r="K1" s="8" t="s">
        <v>183</v>
      </c>
      <c r="L1" s="69" t="s">
        <v>184</v>
      </c>
      <c r="M1" s="8" t="s">
        <v>185</v>
      </c>
      <c r="N1" s="8" t="s">
        <v>186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0" t="s">
        <v>188</v>
      </c>
      <c r="B14" s="100"/>
      <c r="C14" s="100"/>
      <c r="D14" s="100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189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0" t="s">
        <v>190</v>
      </c>
      <c r="B27" s="100"/>
      <c r="C27" s="100"/>
      <c r="D27" s="100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189</v>
      </c>
      <c r="N27" s="20"/>
    </row>
    <row r="28" spans="1:14" ht="18" customHeight="1">
      <c r="A28" s="97" t="s">
        <v>191</v>
      </c>
      <c r="B28" s="97"/>
      <c r="C28" s="97"/>
      <c r="D28" s="97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192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0" t="s">
        <v>188</v>
      </c>
      <c r="B41" s="100"/>
      <c r="C41" s="100"/>
      <c r="D41" s="100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189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0" t="s">
        <v>190</v>
      </c>
      <c r="B54" s="100"/>
      <c r="C54" s="100"/>
      <c r="D54" s="100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189</v>
      </c>
      <c r="N54" s="20"/>
    </row>
    <row r="55" spans="1:14" ht="18" customHeight="1">
      <c r="A55" s="97" t="s">
        <v>191</v>
      </c>
      <c r="B55" s="97"/>
      <c r="C55" s="97"/>
      <c r="D55" s="97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192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0" t="s">
        <v>188</v>
      </c>
      <c r="B68" s="100"/>
      <c r="C68" s="100"/>
      <c r="D68" s="100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189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134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125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146</v>
      </c>
      <c r="I77" s="16" t="s">
        <v>113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300</v>
      </c>
      <c r="I80" s="10" t="s">
        <v>230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100" t="s">
        <v>190</v>
      </c>
      <c r="B81" s="100"/>
      <c r="C81" s="100"/>
      <c r="D81" s="100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189</v>
      </c>
      <c r="N81" s="20">
        <v>206440</v>
      </c>
    </row>
    <row r="82" spans="1:14" ht="18" customHeight="1">
      <c r="A82" s="97" t="s">
        <v>191</v>
      </c>
      <c r="B82" s="97"/>
      <c r="C82" s="97"/>
      <c r="D82" s="97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192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0" t="s">
        <v>188</v>
      </c>
      <c r="B95" s="100"/>
      <c r="C95" s="100"/>
      <c r="D95" s="100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189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0" t="s">
        <v>190</v>
      </c>
      <c r="B108" s="100"/>
      <c r="C108" s="100"/>
      <c r="D108" s="100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189</v>
      </c>
      <c r="N108" s="20"/>
    </row>
    <row r="109" spans="1:14" ht="18" customHeight="1">
      <c r="A109" s="97" t="s">
        <v>191</v>
      </c>
      <c r="B109" s="97"/>
      <c r="C109" s="97"/>
      <c r="D109" s="97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192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0" t="s">
        <v>188</v>
      </c>
      <c r="B122" s="100"/>
      <c r="C122" s="100"/>
      <c r="D122" s="100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189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0" t="s">
        <v>190</v>
      </c>
      <c r="B135" s="100"/>
      <c r="C135" s="100"/>
      <c r="D135" s="100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189</v>
      </c>
      <c r="N135" s="20"/>
    </row>
    <row r="136" spans="1:14" ht="18" customHeight="1">
      <c r="A136" s="97" t="s">
        <v>191</v>
      </c>
      <c r="B136" s="97"/>
      <c r="C136" s="97"/>
      <c r="D136" s="97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192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0" t="s">
        <v>188</v>
      </c>
      <c r="B149" s="100"/>
      <c r="C149" s="100"/>
      <c r="D149" s="100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189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0" t="s">
        <v>190</v>
      </c>
      <c r="B162" s="100"/>
      <c r="C162" s="100"/>
      <c r="D162" s="100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189</v>
      </c>
      <c r="N162" s="20">
        <v>0</v>
      </c>
    </row>
    <row r="163" spans="1:14" ht="18" customHeight="1">
      <c r="A163" s="97" t="s">
        <v>191</v>
      </c>
      <c r="B163" s="97"/>
      <c r="C163" s="97"/>
      <c r="D163" s="97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192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0" t="s">
        <v>188</v>
      </c>
      <c r="B176" s="100"/>
      <c r="C176" s="100"/>
      <c r="D176" s="100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189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0" t="s">
        <v>190</v>
      </c>
      <c r="B189" s="100"/>
      <c r="C189" s="100"/>
      <c r="D189" s="100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189</v>
      </c>
      <c r="N189" s="20">
        <v>0</v>
      </c>
    </row>
    <row r="190" spans="1:14" ht="18" customHeight="1">
      <c r="A190" s="97" t="s">
        <v>191</v>
      </c>
      <c r="B190" s="97"/>
      <c r="C190" s="97"/>
      <c r="D190" s="97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192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0" t="s">
        <v>188</v>
      </c>
      <c r="B203" s="100"/>
      <c r="C203" s="100"/>
      <c r="D203" s="100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189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100" t="s">
        <v>190</v>
      </c>
      <c r="B216" s="100"/>
      <c r="C216" s="100"/>
      <c r="D216" s="100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189</v>
      </c>
      <c r="N216" s="20"/>
    </row>
    <row r="217" spans="1:14" ht="18" customHeight="1">
      <c r="A217" s="97" t="s">
        <v>191</v>
      </c>
      <c r="B217" s="97"/>
      <c r="C217" s="97"/>
      <c r="D217" s="97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192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134</v>
      </c>
      <c r="I218" s="10" t="s">
        <v>141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100" t="s">
        <v>188</v>
      </c>
      <c r="B230" s="100"/>
      <c r="C230" s="100"/>
      <c r="D230" s="100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189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148</v>
      </c>
      <c r="I231" s="16" t="s">
        <v>121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100" t="s">
        <v>190</v>
      </c>
      <c r="B243" s="100"/>
      <c r="C243" s="100"/>
      <c r="D243" s="100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189</v>
      </c>
      <c r="N243" s="20">
        <v>180000</v>
      </c>
    </row>
    <row r="244" spans="1:14" ht="18" customHeight="1">
      <c r="A244" s="97" t="s">
        <v>191</v>
      </c>
      <c r="B244" s="97"/>
      <c r="C244" s="97"/>
      <c r="D244" s="97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192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134</v>
      </c>
      <c r="I245" s="16" t="s">
        <v>109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301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134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301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100" t="s">
        <v>188</v>
      </c>
      <c r="B257" s="100"/>
      <c r="C257" s="100"/>
      <c r="D257" s="100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189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122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241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100" t="s">
        <v>190</v>
      </c>
      <c r="B270" s="100"/>
      <c r="C270" s="100"/>
      <c r="D270" s="100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189</v>
      </c>
      <c r="N270" s="20">
        <f>103170+137770</f>
        <v>240940</v>
      </c>
    </row>
    <row r="271" spans="1:14" ht="18" customHeight="1">
      <c r="A271" s="97" t="s">
        <v>191</v>
      </c>
      <c r="B271" s="97"/>
      <c r="C271" s="97"/>
      <c r="D271" s="97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192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140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134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140</v>
      </c>
      <c r="I276" s="10" t="s">
        <v>125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100" t="s">
        <v>188</v>
      </c>
      <c r="B284" s="100"/>
      <c r="C284" s="100"/>
      <c r="D284" s="100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189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302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100" t="s">
        <v>190</v>
      </c>
      <c r="B297" s="100"/>
      <c r="C297" s="100"/>
      <c r="D297" s="100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189</v>
      </c>
      <c r="N297" s="20">
        <f>110740+118380</f>
        <v>229120</v>
      </c>
    </row>
    <row r="298" spans="1:14" ht="18" customHeight="1">
      <c r="A298" s="97" t="s">
        <v>191</v>
      </c>
      <c r="B298" s="97"/>
      <c r="C298" s="97"/>
      <c r="D298" s="97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192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303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100" t="s">
        <v>188</v>
      </c>
      <c r="B311" s="100"/>
      <c r="C311" s="100"/>
      <c r="D311" s="100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189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304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146</v>
      </c>
      <c r="I321" s="16" t="s">
        <v>113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248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100" t="s">
        <v>190</v>
      </c>
      <c r="B324" s="100"/>
      <c r="C324" s="100"/>
      <c r="D324" s="100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189</v>
      </c>
      <c r="N324" s="20">
        <f>119730+227060</f>
        <v>346790</v>
      </c>
    </row>
    <row r="325" spans="1:14" ht="18" customHeight="1">
      <c r="A325" s="97" t="s">
        <v>191</v>
      </c>
      <c r="B325" s="97"/>
      <c r="C325" s="97"/>
      <c r="D325" s="97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192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111</v>
      </c>
      <c r="I327" s="16" t="s">
        <v>125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111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111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100" t="s">
        <v>188</v>
      </c>
      <c r="B338" s="100"/>
      <c r="C338" s="100"/>
      <c r="D338" s="100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189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113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146</v>
      </c>
      <c r="I344" s="10" t="s">
        <v>113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146</v>
      </c>
      <c r="I345" s="16" t="s">
        <v>113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110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253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100" t="s">
        <v>190</v>
      </c>
      <c r="B351" s="100"/>
      <c r="C351" s="100"/>
      <c r="D351" s="100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189</v>
      </c>
      <c r="N351" s="20">
        <f>50730+24450</f>
        <v>75180</v>
      </c>
    </row>
    <row r="352" spans="1:14" ht="18" customHeight="1">
      <c r="A352" s="97" t="s">
        <v>191</v>
      </c>
      <c r="B352" s="97"/>
      <c r="C352" s="97"/>
      <c r="D352" s="97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192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256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305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100" t="s">
        <v>188</v>
      </c>
      <c r="B365" s="100"/>
      <c r="C365" s="100"/>
      <c r="D365" s="100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189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146</v>
      </c>
      <c r="I366" s="10" t="s">
        <v>113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100" t="s">
        <v>190</v>
      </c>
      <c r="B378" s="100"/>
      <c r="C378" s="100"/>
      <c r="D378" s="100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189</v>
      </c>
      <c r="N378" s="20">
        <f>151130+160740</f>
        <v>311870</v>
      </c>
    </row>
    <row r="379" spans="1:14" ht="18" customHeight="1">
      <c r="A379" s="97" t="s">
        <v>191</v>
      </c>
      <c r="B379" s="97"/>
      <c r="C379" s="97"/>
      <c r="D379" s="97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192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188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189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156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100" t="s">
        <v>190</v>
      </c>
      <c r="B405" s="100"/>
      <c r="C405" s="100"/>
      <c r="D405" s="100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189</v>
      </c>
      <c r="N405" s="20">
        <v>340530</v>
      </c>
    </row>
    <row r="406" spans="1:14" ht="18" customHeight="1">
      <c r="A406" s="97" t="s">
        <v>191</v>
      </c>
      <c r="B406" s="97"/>
      <c r="C406" s="97"/>
      <c r="D406" s="97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192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111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100" t="s">
        <v>188</v>
      </c>
      <c r="B419" s="100"/>
      <c r="C419" s="100"/>
      <c r="D419" s="100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189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146</v>
      </c>
      <c r="I423" s="16" t="s">
        <v>113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146</v>
      </c>
      <c r="I431" s="16" t="s">
        <v>113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100" t="s">
        <v>190</v>
      </c>
      <c r="B432" s="100"/>
      <c r="C432" s="100"/>
      <c r="D432" s="100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189</v>
      </c>
      <c r="N432" s="20">
        <v>169230</v>
      </c>
    </row>
    <row r="433" spans="1:14" ht="18" customHeight="1">
      <c r="A433" s="97" t="s">
        <v>191</v>
      </c>
      <c r="B433" s="97"/>
      <c r="C433" s="97"/>
      <c r="D433" s="97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192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306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140</v>
      </c>
      <c r="I439" s="16" t="s">
        <v>121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266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100" t="s">
        <v>188</v>
      </c>
      <c r="B446" s="100"/>
      <c r="C446" s="100"/>
      <c r="D446" s="100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189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307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148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100" t="s">
        <v>190</v>
      </c>
      <c r="B459" s="100"/>
      <c r="C459" s="100"/>
      <c r="D459" s="100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189</v>
      </c>
      <c r="N459" s="20">
        <v>221750</v>
      </c>
    </row>
    <row r="460" spans="1:14" ht="18" customHeight="1">
      <c r="A460" s="97" t="s">
        <v>191</v>
      </c>
      <c r="B460" s="97"/>
      <c r="C460" s="97"/>
      <c r="D460" s="97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192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129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114</v>
      </c>
      <c r="I464" s="10" t="s">
        <v>268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270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270</v>
      </c>
      <c r="N472" s="30"/>
    </row>
    <row r="473" spans="1:14" ht="15.75" customHeight="1">
      <c r="A473" s="100" t="s">
        <v>188</v>
      </c>
      <c r="B473" s="100"/>
      <c r="C473" s="100"/>
      <c r="D473" s="100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189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100" t="s">
        <v>190</v>
      </c>
      <c r="B486" s="100"/>
      <c r="C486" s="100"/>
      <c r="D486" s="100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189</v>
      </c>
      <c r="N486" s="20">
        <v>240000</v>
      </c>
    </row>
    <row r="487" spans="1:14" ht="18" customHeight="1">
      <c r="A487" s="97" t="s">
        <v>191</v>
      </c>
      <c r="B487" s="97"/>
      <c r="C487" s="97"/>
      <c r="D487" s="97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192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100" t="s">
        <v>188</v>
      </c>
      <c r="B500" s="100"/>
      <c r="C500" s="100"/>
      <c r="D500" s="100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189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100" t="s">
        <v>190</v>
      </c>
      <c r="B513" s="100"/>
      <c r="C513" s="100"/>
      <c r="D513" s="100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189</v>
      </c>
      <c r="N513" s="20">
        <v>3930</v>
      </c>
    </row>
    <row r="514" spans="1:14" ht="18" customHeight="1">
      <c r="A514" s="97" t="s">
        <v>191</v>
      </c>
      <c r="B514" s="97"/>
      <c r="C514" s="97"/>
      <c r="D514" s="97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192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100" t="s">
        <v>188</v>
      </c>
      <c r="B527" s="100"/>
      <c r="C527" s="100"/>
      <c r="D527" s="100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189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140</v>
      </c>
      <c r="I528" s="10" t="s">
        <v>125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308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98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276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148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100" t="s">
        <v>190</v>
      </c>
      <c r="B540" s="100"/>
      <c r="C540" s="100"/>
      <c r="D540" s="100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189</v>
      </c>
      <c r="N540" s="20">
        <v>304230</v>
      </c>
    </row>
    <row r="541" spans="1:14" ht="18" customHeight="1">
      <c r="A541" s="97" t="s">
        <v>191</v>
      </c>
      <c r="B541" s="97"/>
      <c r="C541" s="97"/>
      <c r="D541" s="97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192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264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100" t="s">
        <v>188</v>
      </c>
      <c r="B554" s="100"/>
      <c r="C554" s="100"/>
      <c r="D554" s="100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189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129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129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100" t="s">
        <v>190</v>
      </c>
      <c r="B567" s="100"/>
      <c r="C567" s="100"/>
      <c r="D567" s="100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189</v>
      </c>
      <c r="N567" s="20">
        <v>437260</v>
      </c>
    </row>
    <row r="568" spans="1:14" ht="18" customHeight="1">
      <c r="A568" s="97" t="s">
        <v>191</v>
      </c>
      <c r="B568" s="97"/>
      <c r="C568" s="97"/>
      <c r="D568" s="97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192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158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309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160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100" t="s">
        <v>188</v>
      </c>
      <c r="B581" s="100"/>
      <c r="C581" s="100"/>
      <c r="D581" s="100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189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126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310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126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248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100" t="s">
        <v>190</v>
      </c>
      <c r="B594" s="100"/>
      <c r="C594" s="100"/>
      <c r="D594" s="100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189</v>
      </c>
      <c r="N594" s="20">
        <v>269570</v>
      </c>
    </row>
    <row r="595" spans="1:14" ht="18" customHeight="1">
      <c r="A595" s="97" t="s">
        <v>191</v>
      </c>
      <c r="B595" s="97"/>
      <c r="C595" s="97"/>
      <c r="D595" s="97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192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147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158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100" t="s">
        <v>188</v>
      </c>
      <c r="B608" s="100"/>
      <c r="C608" s="100"/>
      <c r="D608" s="100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189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122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162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161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311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100" t="s">
        <v>190</v>
      </c>
      <c r="B621" s="100"/>
      <c r="C621" s="100"/>
      <c r="D621" s="100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189</v>
      </c>
      <c r="N621" s="20">
        <v>176650</v>
      </c>
    </row>
    <row r="622" spans="1:14" ht="18" customHeight="1">
      <c r="A622" s="97" t="s">
        <v>191</v>
      </c>
      <c r="B622" s="97"/>
      <c r="C622" s="97"/>
      <c r="D622" s="97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192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312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100" t="s">
        <v>188</v>
      </c>
      <c r="B635" s="100"/>
      <c r="C635" s="100"/>
      <c r="D635" s="100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189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313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100" t="s">
        <v>190</v>
      </c>
      <c r="B648" s="100"/>
      <c r="C648" s="100"/>
      <c r="D648" s="100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189</v>
      </c>
      <c r="N648" s="20">
        <f>154590+56700</f>
        <v>211290</v>
      </c>
    </row>
    <row r="649" spans="1:14" ht="18" customHeight="1">
      <c r="A649" s="97" t="s">
        <v>191</v>
      </c>
      <c r="B649" s="97"/>
      <c r="C649" s="97"/>
      <c r="D649" s="97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192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129</v>
      </c>
      <c r="I652" s="10" t="s">
        <v>99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100" t="s">
        <v>188</v>
      </c>
      <c r="B662" s="100"/>
      <c r="C662" s="100"/>
      <c r="D662" s="100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189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122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100" t="s">
        <v>190</v>
      </c>
      <c r="B675" s="100"/>
      <c r="C675" s="100"/>
      <c r="D675" s="100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189</v>
      </c>
      <c r="N675" s="20">
        <v>234010</v>
      </c>
    </row>
    <row r="676" spans="1:14" ht="18" customHeight="1">
      <c r="A676" s="97" t="s">
        <v>191</v>
      </c>
      <c r="B676" s="97"/>
      <c r="C676" s="97"/>
      <c r="D676" s="97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192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158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314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168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100" t="s">
        <v>188</v>
      </c>
      <c r="B689" s="100"/>
      <c r="C689" s="100"/>
      <c r="D689" s="100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189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122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100" t="s">
        <v>190</v>
      </c>
      <c r="B702" s="100"/>
      <c r="C702" s="100"/>
      <c r="D702" s="100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189</v>
      </c>
      <c r="N702" s="20">
        <f>151740+85690</f>
        <v>237430</v>
      </c>
    </row>
    <row r="703" spans="1:14" ht="18" customHeight="1">
      <c r="A703" s="97" t="s">
        <v>191</v>
      </c>
      <c r="B703" s="97"/>
      <c r="C703" s="97"/>
      <c r="D703" s="97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192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220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100" t="s">
        <v>188</v>
      </c>
      <c r="B716" s="100"/>
      <c r="C716" s="100"/>
      <c r="D716" s="100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189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100" t="s">
        <v>190</v>
      </c>
      <c r="B729" s="100"/>
      <c r="C729" s="100"/>
      <c r="D729" s="100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189</v>
      </c>
      <c r="N729" s="20">
        <v>377030</v>
      </c>
    </row>
    <row r="730" spans="1:14" ht="18" customHeight="1">
      <c r="A730" s="97" t="s">
        <v>191</v>
      </c>
      <c r="B730" s="97"/>
      <c r="C730" s="97"/>
      <c r="D730" s="97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192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5</v>
      </c>
      <c r="F731" s="17">
        <f t="shared" ref="F731:F742" si="162">IF(E731="","",E731*4)</f>
        <v>20</v>
      </c>
      <c r="G731" s="16" t="s">
        <v>17</v>
      </c>
      <c r="H731" s="16"/>
      <c r="I731" s="16" t="s">
        <v>96</v>
      </c>
      <c r="J731" s="13">
        <v>0.37916666666666665</v>
      </c>
      <c r="K731" s="13">
        <v>0.58333333333333337</v>
      </c>
      <c r="L731" s="71">
        <f t="shared" ref="L731:L742" si="163">IFERROR(IF(K731="","",IF(K731&gt;=J731,K731-J731,K731+1-J731)),"")</f>
        <v>0.20416666666666672</v>
      </c>
      <c r="M731" s="11" t="s">
        <v>297</v>
      </c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>
        <v>8</v>
      </c>
      <c r="F732" s="12">
        <f t="shared" si="162"/>
        <v>32</v>
      </c>
      <c r="G732" s="10" t="s">
        <v>17</v>
      </c>
      <c r="H732" s="10"/>
      <c r="I732" s="10" t="s">
        <v>54</v>
      </c>
      <c r="J732" s="13">
        <v>0.62638888888888888</v>
      </c>
      <c r="K732" s="13">
        <v>0.64583333333333337</v>
      </c>
      <c r="L732" s="70">
        <f t="shared" si="163"/>
        <v>1.9444444444444486E-2</v>
      </c>
      <c r="M732" s="11" t="s">
        <v>315</v>
      </c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2"/>
        <v>0</v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2"/>
        <v>0</v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2"/>
        <v>0</v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>
        <v>0</v>
      </c>
      <c r="F736" s="12">
        <f t="shared" si="162"/>
        <v>0</v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 t="s">
        <v>30</v>
      </c>
      <c r="E737" s="11">
        <v>0</v>
      </c>
      <c r="F737" s="17">
        <f t="shared" si="162"/>
        <v>0</v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6" t="s">
        <v>30</v>
      </c>
      <c r="E738" s="11">
        <v>7</v>
      </c>
      <c r="F738" s="12">
        <f t="shared" si="162"/>
        <v>28</v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 t="s">
        <v>30</v>
      </c>
      <c r="E739" s="11">
        <v>9</v>
      </c>
      <c r="F739" s="17">
        <f t="shared" si="162"/>
        <v>36</v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6" t="s">
        <v>30</v>
      </c>
      <c r="E740" s="11">
        <v>3</v>
      </c>
      <c r="F740" s="12">
        <f t="shared" si="162"/>
        <v>12</v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 t="s">
        <v>30</v>
      </c>
      <c r="E741" s="11">
        <v>7</v>
      </c>
      <c r="F741" s="17">
        <f t="shared" si="162"/>
        <v>28</v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6" t="s">
        <v>30</v>
      </c>
      <c r="E742" s="11">
        <v>2</v>
      </c>
      <c r="F742" s="12">
        <f t="shared" si="162"/>
        <v>8</v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100" t="s">
        <v>188</v>
      </c>
      <c r="B743" s="100"/>
      <c r="C743" s="100"/>
      <c r="D743" s="100"/>
      <c r="E743" s="19">
        <f>SUM(E731:E742)</f>
        <v>41</v>
      </c>
      <c r="F743" s="19">
        <f>SUM(F731:F742)</f>
        <v>164</v>
      </c>
      <c r="G743" s="18"/>
      <c r="H743" s="18"/>
      <c r="I743" s="18"/>
      <c r="J743" s="18"/>
      <c r="K743" s="18"/>
      <c r="L743" s="72">
        <f>IFERROR(SUM(L731:L742),"")</f>
        <v>0.2236111111111112</v>
      </c>
      <c r="M743" s="19" t="s">
        <v>189</v>
      </c>
      <c r="N743" s="20">
        <v>180990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7</v>
      </c>
      <c r="F744" s="12">
        <f t="shared" ref="F744:F755" si="165">IF(E744="","",E744*4)</f>
        <v>28</v>
      </c>
      <c r="G744" s="10" t="s">
        <v>17</v>
      </c>
      <c r="H744" s="10" t="s">
        <v>90</v>
      </c>
      <c r="I744" s="10" t="s">
        <v>25</v>
      </c>
      <c r="J744" s="13">
        <v>0.84722222222222221</v>
      </c>
      <c r="K744" s="13"/>
      <c r="L744" s="70" t="str">
        <f t="shared" ref="L744:L755" si="166">IFERROR(IF(K744="","",IF(K744&gt;=J744,K744-J744,K744+1-J744)),"")</f>
        <v/>
      </c>
      <c r="M744" s="11"/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0" t="s">
        <v>45</v>
      </c>
      <c r="D745" s="10" t="s">
        <v>30</v>
      </c>
      <c r="E745" s="11"/>
      <c r="F745" s="17" t="str">
        <f t="shared" si="165"/>
        <v/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 t="s">
        <v>45</v>
      </c>
      <c r="D746" s="10" t="s">
        <v>30</v>
      </c>
      <c r="E746" s="11"/>
      <c r="F746" s="12" t="str">
        <f t="shared" si="165"/>
        <v/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0" t="s">
        <v>45</v>
      </c>
      <c r="D747" s="10" t="s">
        <v>30</v>
      </c>
      <c r="E747" s="11"/>
      <c r="F747" s="17" t="str">
        <f t="shared" si="165"/>
        <v/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 t="s">
        <v>45</v>
      </c>
      <c r="D748" s="10" t="s">
        <v>30</v>
      </c>
      <c r="E748" s="11"/>
      <c r="F748" s="12" t="str">
        <f t="shared" si="165"/>
        <v/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0" t="s">
        <v>45</v>
      </c>
      <c r="D749" s="10" t="s">
        <v>30</v>
      </c>
      <c r="E749" s="11"/>
      <c r="F749" s="17" t="str">
        <f t="shared" si="165"/>
        <v/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 t="s">
        <v>45</v>
      </c>
      <c r="D750" s="10" t="s">
        <v>30</v>
      </c>
      <c r="E750" s="11"/>
      <c r="F750" s="12" t="str">
        <f t="shared" si="165"/>
        <v/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0" t="s">
        <v>45</v>
      </c>
      <c r="D751" s="10" t="s">
        <v>30</v>
      </c>
      <c r="E751" s="11"/>
      <c r="F751" s="17" t="str">
        <f t="shared" si="165"/>
        <v/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 t="s">
        <v>45</v>
      </c>
      <c r="D752" s="10" t="s">
        <v>30</v>
      </c>
      <c r="E752" s="11"/>
      <c r="F752" s="12" t="str">
        <f t="shared" si="165"/>
        <v/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0" t="s">
        <v>45</v>
      </c>
      <c r="D753" s="10" t="s">
        <v>30</v>
      </c>
      <c r="E753" s="11"/>
      <c r="F753" s="17" t="str">
        <f t="shared" si="165"/>
        <v/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 t="s">
        <v>45</v>
      </c>
      <c r="D754" s="10" t="s">
        <v>30</v>
      </c>
      <c r="E754" s="11"/>
      <c r="F754" s="12" t="str">
        <f t="shared" si="165"/>
        <v/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0" t="s">
        <v>45</v>
      </c>
      <c r="D755" s="10" t="s">
        <v>30</v>
      </c>
      <c r="E755" s="11"/>
      <c r="F755" s="17" t="str">
        <f t="shared" si="165"/>
        <v/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100" t="s">
        <v>190</v>
      </c>
      <c r="B756" s="100"/>
      <c r="C756" s="100"/>
      <c r="D756" s="100"/>
      <c r="E756" s="19">
        <f>SUM(E744:E755)</f>
        <v>7</v>
      </c>
      <c r="F756" s="19">
        <f>SUM(F744:F755)</f>
        <v>28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189</v>
      </c>
      <c r="N756" s="20"/>
    </row>
    <row r="757" spans="1:14" ht="18" customHeight="1">
      <c r="A757" s="97" t="s">
        <v>191</v>
      </c>
      <c r="B757" s="97"/>
      <c r="C757" s="97"/>
      <c r="D757" s="97"/>
      <c r="E757" s="22">
        <f>E743+E756</f>
        <v>48</v>
      </c>
      <c r="F757" s="22">
        <f>F743+F756</f>
        <v>192</v>
      </c>
      <c r="G757" s="21"/>
      <c r="H757" s="21"/>
      <c r="I757" s="21"/>
      <c r="J757" s="21"/>
      <c r="K757" s="21"/>
      <c r="L757" s="73">
        <f>IFERROR(L743+L756,"")</f>
        <v>0.2236111111111112</v>
      </c>
      <c r="M757" s="22" t="s">
        <v>192</v>
      </c>
      <c r="N757" s="31">
        <f>IFERROR(N743+N756,"")</f>
        <v>180990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8">IF(E758="","",E758*4)</f>
        <v/>
      </c>
      <c r="G758" s="10"/>
      <c r="H758" s="10"/>
      <c r="I758" s="10"/>
      <c r="J758" s="13"/>
      <c r="K758" s="13"/>
      <c r="L758" s="70" t="str">
        <f t="shared" ref="L758:L769" si="169">IFERROR(IF(K758="","",IF(K758&gt;=J758,K758-J758,K758+1-J758)),"")</f>
        <v/>
      </c>
      <c r="M758" s="11"/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6"/>
      <c r="D759" s="16"/>
      <c r="E759" s="11"/>
      <c r="F759" s="17" t="str">
        <f t="shared" si="168"/>
        <v/>
      </c>
      <c r="G759" s="16"/>
      <c r="H759" s="16"/>
      <c r="I759" s="16"/>
      <c r="J759" s="13"/>
      <c r="K759" s="13"/>
      <c r="L759" s="71" t="str">
        <f t="shared" si="169"/>
        <v/>
      </c>
      <c r="M759" s="11"/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/>
      <c r="D760" s="10"/>
      <c r="E760" s="11"/>
      <c r="F760" s="12" t="str">
        <f t="shared" si="168"/>
        <v/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6"/>
      <c r="D761" s="16"/>
      <c r="E761" s="11"/>
      <c r="F761" s="17" t="str">
        <f t="shared" si="168"/>
        <v/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/>
      <c r="D762" s="10"/>
      <c r="E762" s="11"/>
      <c r="F762" s="12" t="str">
        <f t="shared" si="168"/>
        <v/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6"/>
      <c r="D763" s="16"/>
      <c r="E763" s="11"/>
      <c r="F763" s="17" t="str">
        <f t="shared" si="168"/>
        <v/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/>
      <c r="D764" s="10"/>
      <c r="E764" s="11"/>
      <c r="F764" s="12" t="str">
        <f t="shared" si="168"/>
        <v/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6"/>
      <c r="D765" s="16"/>
      <c r="E765" s="11"/>
      <c r="F765" s="17" t="str">
        <f t="shared" si="168"/>
        <v/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/>
      <c r="D766" s="10"/>
      <c r="E766" s="11"/>
      <c r="F766" s="12" t="str">
        <f t="shared" si="168"/>
        <v/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6"/>
      <c r="D767" s="16"/>
      <c r="E767" s="11"/>
      <c r="F767" s="17" t="str">
        <f t="shared" si="168"/>
        <v/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/>
      <c r="D768" s="10"/>
      <c r="E768" s="11"/>
      <c r="F768" s="12" t="str">
        <f t="shared" si="168"/>
        <v/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6"/>
      <c r="D769" s="16"/>
      <c r="E769" s="11"/>
      <c r="F769" s="17" t="str">
        <f t="shared" si="168"/>
        <v/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100" t="s">
        <v>188</v>
      </c>
      <c r="B770" s="100"/>
      <c r="C770" s="100"/>
      <c r="D770" s="100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189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1">IF(E771="","",E771*4)</f>
        <v/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0"/>
      <c r="D772" s="10"/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/>
      <c r="D773" s="16"/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0"/>
      <c r="D774" s="10"/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/>
      <c r="D775" s="16"/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0"/>
      <c r="D776" s="10"/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/>
      <c r="D777" s="16"/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0"/>
      <c r="D778" s="10"/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/>
      <c r="D779" s="16"/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0"/>
      <c r="D780" s="10"/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/>
      <c r="D781" s="16"/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0"/>
      <c r="D782" s="10"/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100" t="s">
        <v>190</v>
      </c>
      <c r="B783" s="100"/>
      <c r="C783" s="100"/>
      <c r="D783" s="100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189</v>
      </c>
      <c r="N783" s="20"/>
    </row>
    <row r="784" spans="1:14" ht="18" customHeight="1">
      <c r="A784" s="97" t="s">
        <v>191</v>
      </c>
      <c r="B784" s="97"/>
      <c r="C784" s="97"/>
      <c r="D784" s="97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192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100" t="s">
        <v>188</v>
      </c>
      <c r="B797" s="100"/>
      <c r="C797" s="100"/>
      <c r="D797" s="100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189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100" t="s">
        <v>190</v>
      </c>
      <c r="B810" s="100"/>
      <c r="C810" s="100"/>
      <c r="D810" s="100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189</v>
      </c>
      <c r="N810" s="20"/>
    </row>
    <row r="811" spans="1:14" ht="18" customHeight="1">
      <c r="A811" s="97" t="s">
        <v>191</v>
      </c>
      <c r="B811" s="97"/>
      <c r="C811" s="97"/>
      <c r="D811" s="97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192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zoomScale="70" zoomScaleNormal="70" workbookViewId="0">
      <pane ySplit="1" topLeftCell="A729" activePane="bottomLeft" state="frozen"/>
      <selection pane="bottomLeft" activeCell="E745" sqref="E745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178</v>
      </c>
      <c r="C1" s="8" t="s">
        <v>12</v>
      </c>
      <c r="D1" s="57" t="s">
        <v>13</v>
      </c>
      <c r="E1" s="8" t="s">
        <v>179</v>
      </c>
      <c r="F1" s="8" t="s">
        <v>316</v>
      </c>
      <c r="G1" s="8" t="s">
        <v>14</v>
      </c>
      <c r="H1" s="8" t="s">
        <v>15</v>
      </c>
      <c r="I1" s="8" t="s">
        <v>181</v>
      </c>
      <c r="J1" s="8" t="s">
        <v>182</v>
      </c>
      <c r="K1" s="8" t="s">
        <v>183</v>
      </c>
      <c r="L1" s="69" t="s">
        <v>184</v>
      </c>
      <c r="M1" s="8" t="s">
        <v>185</v>
      </c>
      <c r="N1" s="8" t="s">
        <v>186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317</v>
      </c>
      <c r="I2" s="10" t="s">
        <v>318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317</v>
      </c>
      <c r="I3" s="16" t="s">
        <v>318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317</v>
      </c>
      <c r="I4" s="10" t="s">
        <v>318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317</v>
      </c>
      <c r="I5" s="16" t="s">
        <v>318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317</v>
      </c>
      <c r="I6" s="10" t="s">
        <v>318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317</v>
      </c>
      <c r="I7" s="16" t="s">
        <v>318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317</v>
      </c>
      <c r="I8" s="10" t="s">
        <v>318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317</v>
      </c>
      <c r="I9" s="16" t="s">
        <v>318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317</v>
      </c>
      <c r="I10" s="10" t="s">
        <v>318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317</v>
      </c>
      <c r="I11" s="16" t="s">
        <v>318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317</v>
      </c>
      <c r="I12" s="10" t="s">
        <v>318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317</v>
      </c>
      <c r="I13" s="16" t="s">
        <v>318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0" t="s">
        <v>188</v>
      </c>
      <c r="B14" s="100"/>
      <c r="C14" s="100"/>
      <c r="D14" s="100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189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125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123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123</v>
      </c>
      <c r="I24" s="10" t="s">
        <v>319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0" t="s">
        <v>190</v>
      </c>
      <c r="B27" s="100"/>
      <c r="C27" s="100"/>
      <c r="D27" s="100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189</v>
      </c>
      <c r="N27" s="20">
        <v>537710</v>
      </c>
    </row>
    <row r="28" spans="1:14" ht="18" customHeight="1">
      <c r="A28" s="97" t="s">
        <v>191</v>
      </c>
      <c r="B28" s="97"/>
      <c r="C28" s="97"/>
      <c r="D28" s="97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192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320</v>
      </c>
      <c r="I30" s="10" t="s">
        <v>97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321</v>
      </c>
      <c r="I33" s="16" t="s">
        <v>322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187</v>
      </c>
      <c r="H36" s="10" t="s">
        <v>323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0" t="s">
        <v>188</v>
      </c>
      <c r="B41" s="100"/>
      <c r="C41" s="100"/>
      <c r="D41" s="100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189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125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230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0" t="s">
        <v>190</v>
      </c>
      <c r="B54" s="100"/>
      <c r="C54" s="100"/>
      <c r="D54" s="100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189</v>
      </c>
      <c r="N54" s="20">
        <v>800250</v>
      </c>
    </row>
    <row r="55" spans="1:14" ht="18" customHeight="1">
      <c r="A55" s="97" t="s">
        <v>191</v>
      </c>
      <c r="B55" s="97"/>
      <c r="C55" s="97"/>
      <c r="D55" s="97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192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134</v>
      </c>
      <c r="I65" s="16" t="s">
        <v>109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134</v>
      </c>
      <c r="I66" s="10" t="s">
        <v>109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134</v>
      </c>
      <c r="I67" s="16" t="s">
        <v>109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0" t="s">
        <v>188</v>
      </c>
      <c r="B68" s="100"/>
      <c r="C68" s="100"/>
      <c r="D68" s="100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189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134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323</v>
      </c>
      <c r="I71" s="16" t="s">
        <v>125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146</v>
      </c>
      <c r="I77" s="16" t="s">
        <v>113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100" t="s">
        <v>190</v>
      </c>
      <c r="B81" s="100"/>
      <c r="C81" s="100"/>
      <c r="D81" s="100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189</v>
      </c>
      <c r="N81" s="20">
        <v>423590</v>
      </c>
    </row>
    <row r="82" spans="1:14" ht="18" customHeight="1">
      <c r="A82" s="97" t="s">
        <v>191</v>
      </c>
      <c r="B82" s="97"/>
      <c r="C82" s="97"/>
      <c r="D82" s="97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192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153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134</v>
      </c>
      <c r="I84" s="10" t="s">
        <v>125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134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0" t="s">
        <v>188</v>
      </c>
      <c r="B95" s="100"/>
      <c r="C95" s="100"/>
      <c r="D95" s="100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189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324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0" t="s">
        <v>190</v>
      </c>
      <c r="B108" s="100"/>
      <c r="C108" s="100"/>
      <c r="D108" s="100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189</v>
      </c>
      <c r="N108" s="20">
        <v>784300</v>
      </c>
    </row>
    <row r="109" spans="1:14" ht="18" customHeight="1">
      <c r="A109" s="97" t="s">
        <v>191</v>
      </c>
      <c r="B109" s="97"/>
      <c r="C109" s="97"/>
      <c r="D109" s="97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192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115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153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0" t="s">
        <v>188</v>
      </c>
      <c r="B122" s="100"/>
      <c r="C122" s="100"/>
      <c r="D122" s="100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189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125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187</v>
      </c>
      <c r="H124" s="10" t="s">
        <v>153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0" t="s">
        <v>190</v>
      </c>
      <c r="B135" s="100"/>
      <c r="C135" s="100"/>
      <c r="D135" s="100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189</v>
      </c>
      <c r="N135" s="20">
        <v>527600</v>
      </c>
    </row>
    <row r="136" spans="1:14" ht="18" customHeight="1">
      <c r="A136" s="97" t="s">
        <v>191</v>
      </c>
      <c r="B136" s="97"/>
      <c r="C136" s="97"/>
      <c r="D136" s="97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192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153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112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187</v>
      </c>
      <c r="H139" s="16" t="s">
        <v>104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153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134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0" t="s">
        <v>188</v>
      </c>
      <c r="B149" s="100"/>
      <c r="C149" s="100"/>
      <c r="D149" s="100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189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134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0" t="s">
        <v>190</v>
      </c>
      <c r="B162" s="100"/>
      <c r="C162" s="100"/>
      <c r="D162" s="100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189</v>
      </c>
      <c r="N162" s="20">
        <v>215370</v>
      </c>
    </row>
    <row r="163" spans="1:14" ht="18" customHeight="1">
      <c r="A163" s="97" t="s">
        <v>191</v>
      </c>
      <c r="B163" s="97"/>
      <c r="C163" s="97"/>
      <c r="D163" s="97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192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134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134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134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134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134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134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134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134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134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134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134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134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0" t="s">
        <v>188</v>
      </c>
      <c r="B176" s="100"/>
      <c r="C176" s="100"/>
      <c r="D176" s="100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189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134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134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134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134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134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134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134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134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134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134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134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134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0" t="s">
        <v>190</v>
      </c>
      <c r="B189" s="100"/>
      <c r="C189" s="100"/>
      <c r="D189" s="100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189</v>
      </c>
      <c r="N189" s="20">
        <v>400530</v>
      </c>
    </row>
    <row r="190" spans="1:14" ht="18" customHeight="1">
      <c r="A190" s="97" t="s">
        <v>191</v>
      </c>
      <c r="B190" s="97"/>
      <c r="C190" s="97"/>
      <c r="D190" s="97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192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112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134</v>
      </c>
      <c r="I193" s="16" t="s">
        <v>325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0" t="s">
        <v>188</v>
      </c>
      <c r="B203" s="100"/>
      <c r="C203" s="100"/>
      <c r="D203" s="100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189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233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100" t="s">
        <v>190</v>
      </c>
      <c r="B216" s="100"/>
      <c r="C216" s="100"/>
      <c r="D216" s="100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189</v>
      </c>
      <c r="N216" s="28">
        <v>704110</v>
      </c>
    </row>
    <row r="217" spans="1:14" ht="18" customHeight="1">
      <c r="A217" s="97" t="s">
        <v>191</v>
      </c>
      <c r="B217" s="97"/>
      <c r="C217" s="97"/>
      <c r="D217" s="97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192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153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134</v>
      </c>
      <c r="I219" s="16" t="s">
        <v>326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112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248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100" t="s">
        <v>188</v>
      </c>
      <c r="B230" s="100"/>
      <c r="C230" s="100"/>
      <c r="D230" s="100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189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131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100" t="s">
        <v>190</v>
      </c>
      <c r="B243" s="100"/>
      <c r="C243" s="100"/>
      <c r="D243" s="100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189</v>
      </c>
      <c r="N243" s="20">
        <v>0</v>
      </c>
    </row>
    <row r="244" spans="1:14" ht="18" customHeight="1">
      <c r="A244" s="97" t="s">
        <v>191</v>
      </c>
      <c r="B244" s="97"/>
      <c r="C244" s="97"/>
      <c r="D244" s="97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192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143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327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100" t="s">
        <v>188</v>
      </c>
      <c r="B257" s="100"/>
      <c r="C257" s="100"/>
      <c r="D257" s="100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189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153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100" t="s">
        <v>190</v>
      </c>
      <c r="B270" s="100"/>
      <c r="C270" s="100"/>
      <c r="D270" s="100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189</v>
      </c>
      <c r="N270" s="20">
        <f>214250+252630</f>
        <v>466880</v>
      </c>
    </row>
    <row r="271" spans="1:14" ht="18" customHeight="1">
      <c r="A271" s="97" t="s">
        <v>191</v>
      </c>
      <c r="B271" s="97"/>
      <c r="C271" s="97"/>
      <c r="D271" s="97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192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143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134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328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153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100" t="s">
        <v>188</v>
      </c>
      <c r="B284" s="100"/>
      <c r="C284" s="100"/>
      <c r="D284" s="100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189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329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330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331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100" t="s">
        <v>190</v>
      </c>
      <c r="B297" s="100"/>
      <c r="C297" s="100"/>
      <c r="D297" s="100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189</v>
      </c>
      <c r="N297" s="20">
        <f>124260+105220</f>
        <v>229480</v>
      </c>
    </row>
    <row r="298" spans="1:14" ht="18" customHeight="1">
      <c r="A298" s="97" t="s">
        <v>191</v>
      </c>
      <c r="B298" s="97"/>
      <c r="C298" s="97"/>
      <c r="D298" s="97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192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330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332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303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100" t="s">
        <v>188</v>
      </c>
      <c r="B311" s="100"/>
      <c r="C311" s="100"/>
      <c r="D311" s="100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189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333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153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333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153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333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153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334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100" t="s">
        <v>190</v>
      </c>
      <c r="B324" s="100"/>
      <c r="C324" s="100"/>
      <c r="D324" s="100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189</v>
      </c>
      <c r="N324" s="20">
        <f>311920+165290</f>
        <v>477210</v>
      </c>
    </row>
    <row r="325" spans="1:14" ht="18" customHeight="1">
      <c r="A325" s="97" t="s">
        <v>191</v>
      </c>
      <c r="B325" s="97"/>
      <c r="C325" s="97"/>
      <c r="D325" s="97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192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153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100" t="s">
        <v>188</v>
      </c>
      <c r="B338" s="100"/>
      <c r="C338" s="100"/>
      <c r="D338" s="100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189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153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335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153</v>
      </c>
      <c r="I340" s="10" t="s">
        <v>110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253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100" t="s">
        <v>190</v>
      </c>
      <c r="B351" s="100"/>
      <c r="C351" s="100"/>
      <c r="D351" s="100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189</v>
      </c>
      <c r="N351" s="20">
        <f>117790+390790</f>
        <v>508580</v>
      </c>
    </row>
    <row r="352" spans="1:14" ht="18" customHeight="1">
      <c r="A352" s="97" t="s">
        <v>191</v>
      </c>
      <c r="B352" s="97"/>
      <c r="C352" s="97"/>
      <c r="D352" s="97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192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100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336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337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305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100" t="s">
        <v>188</v>
      </c>
      <c r="B365" s="100"/>
      <c r="C365" s="100"/>
      <c r="D365" s="100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189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153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100" t="s">
        <v>190</v>
      </c>
      <c r="B378" s="100"/>
      <c r="C378" s="100"/>
      <c r="D378" s="100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189</v>
      </c>
      <c r="N378" s="20">
        <f>490380+390690</f>
        <v>881070</v>
      </c>
    </row>
    <row r="379" spans="1:14" ht="18" customHeight="1">
      <c r="A379" s="97" t="s">
        <v>191</v>
      </c>
      <c r="B379" s="97"/>
      <c r="C379" s="97"/>
      <c r="D379" s="97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192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125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153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100" t="s">
        <v>188</v>
      </c>
      <c r="B392" s="100"/>
      <c r="C392" s="100"/>
      <c r="D392" s="100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189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156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153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100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143</v>
      </c>
      <c r="I401" s="16" t="s">
        <v>121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100" t="s">
        <v>190</v>
      </c>
      <c r="B405" s="100"/>
      <c r="C405" s="100"/>
      <c r="D405" s="100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189</v>
      </c>
      <c r="N405" s="20">
        <v>745910</v>
      </c>
    </row>
    <row r="406" spans="1:14" ht="18" customHeight="1">
      <c r="A406" s="97" t="s">
        <v>191</v>
      </c>
      <c r="B406" s="97"/>
      <c r="C406" s="97"/>
      <c r="D406" s="97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192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338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339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340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100" t="s">
        <v>188</v>
      </c>
      <c r="B419" s="100"/>
      <c r="C419" s="100"/>
      <c r="D419" s="100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189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153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100" t="s">
        <v>190</v>
      </c>
      <c r="B432" s="100"/>
      <c r="C432" s="100"/>
      <c r="D432" s="100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189</v>
      </c>
      <c r="N432" s="20">
        <v>669300</v>
      </c>
    </row>
    <row r="433" spans="1:16" ht="18" customHeight="1">
      <c r="A433" s="97" t="s">
        <v>191</v>
      </c>
      <c r="B433" s="97"/>
      <c r="C433" s="97"/>
      <c r="D433" s="97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192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143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100" t="s">
        <v>188</v>
      </c>
      <c r="B446" s="100"/>
      <c r="C446" s="100"/>
      <c r="D446" s="100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189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123</v>
      </c>
      <c r="I447" s="16" t="s">
        <v>163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330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122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153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330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100" t="s">
        <v>190</v>
      </c>
      <c r="B459" s="100"/>
      <c r="C459" s="100"/>
      <c r="D459" s="100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189</v>
      </c>
      <c r="N459" s="20">
        <v>561580</v>
      </c>
    </row>
    <row r="460" spans="1:14" ht="18" customHeight="1">
      <c r="A460" s="97" t="s">
        <v>191</v>
      </c>
      <c r="B460" s="97"/>
      <c r="C460" s="97"/>
      <c r="D460" s="97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192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143</v>
      </c>
      <c r="I462" s="10" t="s">
        <v>159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108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270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270</v>
      </c>
      <c r="N472" s="41"/>
    </row>
    <row r="473" spans="1:14" ht="15.75" customHeight="1">
      <c r="A473" s="100" t="s">
        <v>188</v>
      </c>
      <c r="B473" s="100"/>
      <c r="C473" s="100"/>
      <c r="D473" s="100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189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153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341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342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343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100" t="s">
        <v>190</v>
      </c>
      <c r="B486" s="100"/>
      <c r="C486" s="100"/>
      <c r="D486" s="100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189</v>
      </c>
      <c r="N486" s="20">
        <v>508000</v>
      </c>
    </row>
    <row r="487" spans="1:14" ht="18" customHeight="1">
      <c r="A487" s="97" t="s">
        <v>191</v>
      </c>
      <c r="B487" s="97"/>
      <c r="C487" s="97"/>
      <c r="D487" s="97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192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100" t="s">
        <v>188</v>
      </c>
      <c r="B500" s="100"/>
      <c r="C500" s="100"/>
      <c r="D500" s="100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189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344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153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157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345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100" t="s">
        <v>190</v>
      </c>
      <c r="B513" s="100"/>
      <c r="C513" s="100"/>
      <c r="D513" s="100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189</v>
      </c>
      <c r="N513" s="20">
        <v>745760</v>
      </c>
    </row>
    <row r="514" spans="1:14" ht="18" customHeight="1">
      <c r="A514" s="97" t="s">
        <v>191</v>
      </c>
      <c r="B514" s="97"/>
      <c r="C514" s="97"/>
      <c r="D514" s="97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192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100" t="s">
        <v>188</v>
      </c>
      <c r="B527" s="100"/>
      <c r="C527" s="100"/>
      <c r="D527" s="100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189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153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104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153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346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98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347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104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248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100" t="s">
        <v>190</v>
      </c>
      <c r="B540" s="100"/>
      <c r="C540" s="100"/>
      <c r="D540" s="100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189</v>
      </c>
      <c r="N540" s="20">
        <v>426450</v>
      </c>
    </row>
    <row r="541" spans="1:14" ht="18" customHeight="1">
      <c r="A541" s="97" t="s">
        <v>191</v>
      </c>
      <c r="B541" s="97"/>
      <c r="C541" s="97"/>
      <c r="D541" s="97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192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348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349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100" t="s">
        <v>188</v>
      </c>
      <c r="B554" s="100"/>
      <c r="C554" s="100"/>
      <c r="D554" s="100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189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350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149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153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100" t="s">
        <v>190</v>
      </c>
      <c r="B567" s="100"/>
      <c r="C567" s="100"/>
      <c r="D567" s="100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189</v>
      </c>
      <c r="N567" s="20">
        <v>652080</v>
      </c>
    </row>
    <row r="568" spans="1:14" ht="18" customHeight="1">
      <c r="A568" s="97" t="s">
        <v>191</v>
      </c>
      <c r="B568" s="97"/>
      <c r="C568" s="97"/>
      <c r="D568" s="97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192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351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155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352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143</v>
      </c>
      <c r="I573" s="16" t="s">
        <v>121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160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188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189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353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157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274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248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100" t="s">
        <v>190</v>
      </c>
      <c r="B594" s="100"/>
      <c r="C594" s="100"/>
      <c r="D594" s="100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189</v>
      </c>
      <c r="N594" s="20">
        <v>800310</v>
      </c>
    </row>
    <row r="595" spans="1:14" ht="18" customHeight="1">
      <c r="A595" s="97" t="s">
        <v>191</v>
      </c>
      <c r="B595" s="97"/>
      <c r="C595" s="97"/>
      <c r="D595" s="97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192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123</v>
      </c>
      <c r="I597" s="16" t="s">
        <v>107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123</v>
      </c>
      <c r="I598" s="10" t="s">
        <v>107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123</v>
      </c>
      <c r="I599" s="16" t="s">
        <v>107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123</v>
      </c>
      <c r="I600" s="10" t="s">
        <v>107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354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100" t="s">
        <v>188</v>
      </c>
      <c r="B608" s="100"/>
      <c r="C608" s="100"/>
      <c r="D608" s="100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189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161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355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100" t="s">
        <v>190</v>
      </c>
      <c r="B621" s="100"/>
      <c r="C621" s="100"/>
      <c r="D621" s="100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189</v>
      </c>
      <c r="N621" s="20">
        <v>141320</v>
      </c>
    </row>
    <row r="622" spans="1:14" ht="18" customHeight="1">
      <c r="A622" s="97" t="s">
        <v>191</v>
      </c>
      <c r="B622" s="97"/>
      <c r="C622" s="97"/>
      <c r="D622" s="97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192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342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123</v>
      </c>
      <c r="I625" s="16" t="s">
        <v>107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123</v>
      </c>
      <c r="I626" s="10" t="s">
        <v>107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100" t="s">
        <v>188</v>
      </c>
      <c r="B635" s="100"/>
      <c r="C635" s="100"/>
      <c r="D635" s="100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189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123</v>
      </c>
      <c r="I636" s="10" t="s">
        <v>107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356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153</v>
      </c>
      <c r="I637" s="16" t="s">
        <v>175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357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153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123</v>
      </c>
      <c r="I639" s="16" t="s">
        <v>107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153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100" t="s">
        <v>190</v>
      </c>
      <c r="B648" s="100"/>
      <c r="C648" s="100"/>
      <c r="D648" s="100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189</v>
      </c>
      <c r="N648" s="20">
        <f>89640+153770</f>
        <v>243410</v>
      </c>
    </row>
    <row r="649" spans="1:14" ht="18" customHeight="1">
      <c r="A649" s="97" t="s">
        <v>191</v>
      </c>
      <c r="B649" s="97"/>
      <c r="C649" s="97"/>
      <c r="D649" s="97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192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188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189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358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122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123</v>
      </c>
      <c r="I669" s="16" t="s">
        <v>107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100" t="s">
        <v>190</v>
      </c>
      <c r="B675" s="100"/>
      <c r="C675" s="100"/>
      <c r="D675" s="100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189</v>
      </c>
      <c r="N675" s="20">
        <v>425320</v>
      </c>
    </row>
    <row r="676" spans="1:14" ht="18" customHeight="1">
      <c r="A676" s="97" t="s">
        <v>191</v>
      </c>
      <c r="B676" s="97"/>
      <c r="C676" s="97"/>
      <c r="D676" s="97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192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153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100" t="s">
        <v>188</v>
      </c>
      <c r="B689" s="100"/>
      <c r="C689" s="100"/>
      <c r="D689" s="100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189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153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359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122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98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360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100" t="s">
        <v>190</v>
      </c>
      <c r="B702" s="100"/>
      <c r="C702" s="100"/>
      <c r="D702" s="100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189</v>
      </c>
      <c r="N702" s="20">
        <f>626540+94190</f>
        <v>720730</v>
      </c>
    </row>
    <row r="703" spans="1:14" ht="18" customHeight="1">
      <c r="A703" s="97" t="s">
        <v>191</v>
      </c>
      <c r="B703" s="97"/>
      <c r="C703" s="97"/>
      <c r="D703" s="97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192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153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361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132</v>
      </c>
      <c r="I705" s="16" t="s">
        <v>170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362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363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100" t="s">
        <v>188</v>
      </c>
      <c r="B716" s="100"/>
      <c r="C716" s="100"/>
      <c r="D716" s="100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189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153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364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365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100" t="s">
        <v>190</v>
      </c>
      <c r="B729" s="100"/>
      <c r="C729" s="100"/>
      <c r="D729" s="100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189</v>
      </c>
      <c r="N729" s="20">
        <v>874110</v>
      </c>
    </row>
    <row r="730" spans="1:14" ht="18" customHeight="1">
      <c r="A730" s="97" t="s">
        <v>191</v>
      </c>
      <c r="B730" s="97"/>
      <c r="C730" s="97"/>
      <c r="D730" s="97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192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 t="s">
        <v>22</v>
      </c>
      <c r="E731" s="11">
        <v>10</v>
      </c>
      <c r="F731" s="17">
        <f t="shared" ref="F731:F742" si="163">IF(E731="","",E731*4)</f>
        <v>40</v>
      </c>
      <c r="G731" s="16" t="s">
        <v>16</v>
      </c>
      <c r="H731" s="16" t="s">
        <v>153</v>
      </c>
      <c r="I731" s="16" t="s">
        <v>32</v>
      </c>
      <c r="J731" s="13">
        <v>0.29166666666666669</v>
      </c>
      <c r="K731" s="13">
        <v>0.33333333333333331</v>
      </c>
      <c r="L731" s="71">
        <f t="shared" ref="L731:L742" si="164">IFERROR(IF(K731="","",IF(K731&gt;=J731,K731-J731,K731+1-J731)),"")</f>
        <v>4.166666666666663E-2</v>
      </c>
      <c r="M731" s="11" t="s">
        <v>366</v>
      </c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>
        <v>12</v>
      </c>
      <c r="F732" s="12">
        <f t="shared" si="163"/>
        <v>48</v>
      </c>
      <c r="G732" s="10" t="s">
        <v>17</v>
      </c>
      <c r="H732" s="10"/>
      <c r="I732" s="10" t="s">
        <v>96</v>
      </c>
      <c r="J732" s="13">
        <v>0.37916666666666665</v>
      </c>
      <c r="K732" s="13">
        <v>0.44166666666666665</v>
      </c>
      <c r="L732" s="70">
        <f t="shared" si="164"/>
        <v>6.25E-2</v>
      </c>
      <c r="M732" s="11" t="s">
        <v>297</v>
      </c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>
        <v>5</v>
      </c>
      <c r="F733" s="17">
        <f t="shared" si="163"/>
        <v>20</v>
      </c>
      <c r="G733" s="16" t="s">
        <v>17</v>
      </c>
      <c r="H733" s="16"/>
      <c r="I733" s="16" t="s">
        <v>59</v>
      </c>
      <c r="J733" s="13">
        <v>0.62638888888888888</v>
      </c>
      <c r="K733" s="13">
        <v>0.64583333333333337</v>
      </c>
      <c r="L733" s="71">
        <f t="shared" si="164"/>
        <v>1.9444444444444486E-2</v>
      </c>
      <c r="M733" s="11" t="s">
        <v>315</v>
      </c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>
        <v>12</v>
      </c>
      <c r="F734" s="12">
        <f t="shared" si="163"/>
        <v>48</v>
      </c>
      <c r="G734" s="10" t="s">
        <v>19</v>
      </c>
      <c r="H734" s="10" t="s">
        <v>52</v>
      </c>
      <c r="I734" s="10" t="s">
        <v>27</v>
      </c>
      <c r="J734" s="13">
        <v>0.69444444444444442</v>
      </c>
      <c r="K734" s="13">
        <v>0.71527777777777779</v>
      </c>
      <c r="L734" s="70">
        <f t="shared" si="164"/>
        <v>2.083333333333337E-2</v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>
        <v>9</v>
      </c>
      <c r="F736" s="12">
        <f t="shared" si="163"/>
        <v>36</v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3" t="s">
        <v>30</v>
      </c>
      <c r="E738" s="11">
        <v>13</v>
      </c>
      <c r="F738" s="12">
        <f t="shared" si="163"/>
        <v>52</v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 t="s">
        <v>30</v>
      </c>
      <c r="E739" s="11">
        <v>24</v>
      </c>
      <c r="F739" s="17">
        <f t="shared" si="163"/>
        <v>96</v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3" t="s">
        <v>30</v>
      </c>
      <c r="E740" s="11">
        <v>8</v>
      </c>
      <c r="F740" s="12">
        <f t="shared" si="163"/>
        <v>32</v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 t="s">
        <v>30</v>
      </c>
      <c r="E741" s="11">
        <v>16</v>
      </c>
      <c r="F741" s="17">
        <f t="shared" si="163"/>
        <v>64</v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3" t="s">
        <v>30</v>
      </c>
      <c r="E742" s="11">
        <v>3</v>
      </c>
      <c r="F742" s="12">
        <f t="shared" si="163"/>
        <v>12</v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100" t="s">
        <v>188</v>
      </c>
      <c r="B743" s="100"/>
      <c r="C743" s="100"/>
      <c r="D743" s="100"/>
      <c r="E743" s="19">
        <f>SUM(E731:E742)</f>
        <v>124</v>
      </c>
      <c r="F743" s="19">
        <f>SUM(F731:F742)</f>
        <v>496</v>
      </c>
      <c r="G743" s="38"/>
      <c r="H743" s="38"/>
      <c r="I743" s="38"/>
      <c r="J743" s="38"/>
      <c r="K743" s="38"/>
      <c r="L743" s="72">
        <f>IFERROR(SUM(L731:L742),"")</f>
        <v>0.14444444444444449</v>
      </c>
      <c r="M743" s="19" t="s">
        <v>189</v>
      </c>
      <c r="N743" s="20">
        <v>471600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62" t="s">
        <v>30</v>
      </c>
      <c r="E744" s="11">
        <v>24</v>
      </c>
      <c r="F744" s="12">
        <f t="shared" ref="F744:F755" si="166">IF(E744="","",E744*4)</f>
        <v>96</v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11"/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62" t="s">
        <v>30</v>
      </c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62" t="s">
        <v>30</v>
      </c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62" t="s">
        <v>30</v>
      </c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62" t="s">
        <v>30</v>
      </c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62" t="s">
        <v>30</v>
      </c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62" t="s">
        <v>30</v>
      </c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62" t="s">
        <v>30</v>
      </c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62" t="s">
        <v>30</v>
      </c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62" t="s">
        <v>30</v>
      </c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62" t="s">
        <v>30</v>
      </c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62" t="s">
        <v>30</v>
      </c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100" t="s">
        <v>190</v>
      </c>
      <c r="B756" s="100"/>
      <c r="C756" s="100"/>
      <c r="D756" s="100"/>
      <c r="E756" s="19">
        <f>SUM(E744:E755)</f>
        <v>24</v>
      </c>
      <c r="F756" s="19">
        <f>SUM(F744:F755)</f>
        <v>96</v>
      </c>
      <c r="G756" s="38"/>
      <c r="H756" s="38"/>
      <c r="I756" s="38"/>
      <c r="J756" s="38"/>
      <c r="K756" s="38"/>
      <c r="L756" s="72">
        <f>IFERROR(SUM(L744:L755),"")</f>
        <v>0</v>
      </c>
      <c r="M756" s="19" t="s">
        <v>189</v>
      </c>
      <c r="N756" s="20"/>
    </row>
    <row r="757" spans="1:14" ht="18" customHeight="1">
      <c r="A757" s="97" t="s">
        <v>191</v>
      </c>
      <c r="B757" s="97"/>
      <c r="C757" s="97"/>
      <c r="D757" s="97"/>
      <c r="E757" s="22">
        <f>E743+E756</f>
        <v>148</v>
      </c>
      <c r="F757" s="22">
        <f>F743+F756</f>
        <v>592</v>
      </c>
      <c r="G757" s="39"/>
      <c r="H757" s="39"/>
      <c r="I757" s="39"/>
      <c r="J757" s="39"/>
      <c r="K757" s="39"/>
      <c r="L757" s="73">
        <f>IFERROR(L743+L756,"")</f>
        <v>0.14444444444444449</v>
      </c>
      <c r="M757" s="22" t="s">
        <v>192</v>
      </c>
      <c r="N757" s="31">
        <f>IFERROR(N743+N756,"")</f>
        <v>471600</v>
      </c>
    </row>
    <row r="758" spans="1:14" ht="15" customHeight="1">
      <c r="A758" s="58">
        <v>46202</v>
      </c>
      <c r="B758" s="9">
        <v>0.33333333333333298</v>
      </c>
      <c r="C758" s="10"/>
      <c r="D758" s="62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63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11"/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62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11"/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63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62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63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62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63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62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63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62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63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100" t="s">
        <v>188</v>
      </c>
      <c r="B770" s="100"/>
      <c r="C770" s="100"/>
      <c r="D770" s="100"/>
      <c r="E770" s="19">
        <f>SUM(E758:E769)</f>
        <v>0</v>
      </c>
      <c r="F770" s="19">
        <f>SUM(F758:F769)</f>
        <v>0</v>
      </c>
      <c r="G770" s="38"/>
      <c r="H770" s="38"/>
      <c r="I770" s="38"/>
      <c r="J770" s="38"/>
      <c r="K770" s="38"/>
      <c r="L770" s="72">
        <f>IFERROR(SUM(L758:L769),"")</f>
        <v>0</v>
      </c>
      <c r="M770" s="19" t="s">
        <v>189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63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62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63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62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63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62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63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62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63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62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/>
      <c r="D781" s="63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62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100" t="s">
        <v>190</v>
      </c>
      <c r="B783" s="100"/>
      <c r="C783" s="100"/>
      <c r="D783" s="100"/>
      <c r="E783" s="19">
        <f>SUM(E771:E782)</f>
        <v>0</v>
      </c>
      <c r="F783" s="19">
        <f>SUM(F771:F782)</f>
        <v>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189</v>
      </c>
      <c r="N783" s="20"/>
    </row>
    <row r="784" spans="1:14" ht="18" customHeight="1">
      <c r="A784" s="97" t="s">
        <v>191</v>
      </c>
      <c r="B784" s="97"/>
      <c r="C784" s="97"/>
      <c r="D784" s="97"/>
      <c r="E784" s="22">
        <f>E770+E783</f>
        <v>0</v>
      </c>
      <c r="F784" s="22">
        <f>F770+F783</f>
        <v>0</v>
      </c>
      <c r="G784" s="39"/>
      <c r="H784" s="39"/>
      <c r="I784" s="39"/>
      <c r="J784" s="39"/>
      <c r="K784" s="39"/>
      <c r="L784" s="73">
        <f>IFERROR(L770+L783,"")</f>
        <v>0</v>
      </c>
      <c r="M784" s="22" t="s">
        <v>192</v>
      </c>
      <c r="N784" s="31">
        <f>IFERROR(N770+N783,"")</f>
        <v>0</v>
      </c>
    </row>
    <row r="785" spans="1:14" ht="15" customHeight="1">
      <c r="A785" s="90">
        <v>46203</v>
      </c>
      <c r="B785" s="91">
        <v>0.33333333333333298</v>
      </c>
      <c r="C785" s="67"/>
      <c r="D785" s="92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/>
      <c r="D787" s="92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/>
      <c r="D789" s="92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/>
      <c r="D791" s="92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/>
      <c r="D793" s="92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/>
      <c r="D795" s="92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98" t="s">
        <v>188</v>
      </c>
      <c r="B797" s="98"/>
      <c r="C797" s="98"/>
      <c r="D797" s="98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189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98" t="s">
        <v>190</v>
      </c>
      <c r="B810" s="98"/>
      <c r="C810" s="98"/>
      <c r="D810" s="98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189</v>
      </c>
      <c r="N810" s="20"/>
    </row>
    <row r="811" spans="1:14" ht="18" customHeight="1">
      <c r="A811" s="99" t="s">
        <v>191</v>
      </c>
      <c r="B811" s="99"/>
      <c r="C811" s="99"/>
      <c r="D811" s="99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192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94:D594"/>
    <mergeCell ref="A595:D595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91E8D77-88C5-466C-9E71-B0518BBFB650}"/>
</file>

<file path=customXml/itemProps2.xml><?xml version="1.0" encoding="utf-8"?>
<ds:datastoreItem xmlns:ds="http://schemas.openxmlformats.org/officeDocument/2006/customXml" ds:itemID="{914D07B3-4831-4991-A053-ED05E81548EC}"/>
</file>

<file path=customXml/itemProps3.xml><?xml version="1.0" encoding="utf-8"?>
<ds:datastoreItem xmlns:ds="http://schemas.openxmlformats.org/officeDocument/2006/customXml" ds:itemID="{0CAD78A7-70F4-47FD-AA51-B85539CA803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2026-06-29T00:55:18Z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