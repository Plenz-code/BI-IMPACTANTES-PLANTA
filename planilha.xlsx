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16" documentId="8_{C51EB6CB-002B-4D6B-B68F-DDEBDB4460C0}" xr6:coauthVersionLast="47" xr6:coauthVersionMax="47" xr10:uidLastSave="{65DCE8DA-6FE7-4F6B-8DCD-057BCDA8BF5B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<sst xmlns="http://schemas.openxmlformats.org/spreadsheetml/2006/main" count="2845" uniqueCount="272">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</sst>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8" sqref="G8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12985645</v>
      </c>
      <c r="D35" s="13">
        <f>IFERROR(SUM(D4:D34),"")</f>
        <v>3800510</v>
      </c>
      <c r="E35" s="13">
        <f>IFERROR(SUM(E4:E34),"")</f>
        <v>2247410</v>
      </c>
      <c r="F35" s="13">
        <f>IFERROR(SUM(F4:F34),"")</f>
        <v>5004440</v>
      </c>
      <c r="G35" s="13">
        <f>IFERROR(SUM(G4:G34),"")</f>
        <v>11052360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 t="s">
        <v>218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8" activePane="bottomLeft" state="frozen"/>
      <selection pane="bottomLeft" activeCell="E125" sqref="E12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229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229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229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229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229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229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229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229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229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229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229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229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231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229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229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229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232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229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229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229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229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229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229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229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231</v>
      </c>
      <c r="O27" s="39">
        <v>997910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235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229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229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236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229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232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229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229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229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229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229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229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231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229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229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229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229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229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229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229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231</v>
      </c>
      <c r="O54" s="39">
        <v>981310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235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229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229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229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229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229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229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229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229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229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229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229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229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231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229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229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238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229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229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229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229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229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229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229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231</v>
      </c>
      <c r="O81" s="39">
        <v>1547910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235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229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229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229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239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229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229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229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229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229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229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229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231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229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229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229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229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229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229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240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229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229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229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229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229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3156240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235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229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/>
      <c r="M110" s="30">
        <f t="shared" ref="M110:M121" ca="1" si="25">IFERROR(IF(K110="","",IF(L110="",MOD(NOW()-K110,1),IF(L110&gt;=K110,L110-K110,L110+1-K110))),"")</f>
        <v>0.24474675925739575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229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229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229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229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229</v>
      </c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229</v>
      </c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229</v>
      </c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229</v>
      </c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229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229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229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110</v>
      </c>
      <c r="G122" s="36">
        <f>SUM(G110:G121)</f>
        <v>550</v>
      </c>
      <c r="H122" s="37"/>
      <c r="I122" s="37"/>
      <c r="J122" s="37"/>
      <c r="K122" s="37"/>
      <c r="L122" s="37"/>
      <c r="M122" s="38">
        <f ca="1">IFERROR(SUM(M110:M121),"")</f>
        <v>0.24474675925739575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110</v>
      </c>
      <c r="G136" s="40">
        <f>G122+G135</f>
        <v>550</v>
      </c>
      <c r="H136" s="41"/>
      <c r="I136" s="41"/>
      <c r="J136" s="41"/>
      <c r="K136" s="41"/>
      <c r="L136" s="41"/>
      <c r="M136" s="42">
        <f ca="1">IFERROR(M122+M135,"")</f>
        <v>0.24474675925739575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4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0" t="s">
        <v>234</v>
      </c>
      <c r="B811" s="101"/>
      <c r="C811" s="101"/>
      <c r="D811" s="101"/>
      <c r="E811" s="102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L114" sqref="L11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231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231</v>
      </c>
      <c r="O27" s="77">
        <v>549860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235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231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241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241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241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241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241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241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241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241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0.56488564814208075</v>
      </c>
      <c r="N53" s="46" t="s">
        <v>250</v>
      </c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0.70377453703096959</v>
      </c>
      <c r="N54" s="36" t="s">
        <v>231</v>
      </c>
      <c r="O54" s="84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0.78849675925319196</v>
      </c>
      <c r="N55" s="40" t="s">
        <v>235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231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241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241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241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241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241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241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241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241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231</v>
      </c>
      <c r="O81" s="54">
        <v>634210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235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252</v>
      </c>
      <c r="E83" s="59" t="s">
        <v>241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231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253</v>
      </c>
      <c r="M96" s="30" t="str">
        <f t="shared" ref="M96:M107" ca="1" si="22">IFERROR(IF(K96="","",IF(L96="",MOD(NOW()-K96,1),IF(L96&gt;=K96,L96-K96,L96+1-K96))),"")</f>
        <v/>
      </c>
      <c r="N96" s="46" t="s">
        <v>254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232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255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180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256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232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231</v>
      </c>
      <c r="O108" s="54">
        <v>456830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235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153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257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153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140</v>
      </c>
      <c r="G122" s="36">
        <f>SUM(G110:G121)</f>
        <v>588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231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54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140</v>
      </c>
      <c r="G136" s="40">
        <f>G122+G135</f>
        <v>588</v>
      </c>
      <c r="H136" s="41"/>
      <c r="I136" s="41"/>
      <c r="J136" s="41"/>
      <c r="K136" s="41"/>
      <c r="L136" s="41"/>
      <c r="M136" s="42">
        <f ca="1">IFERROR(M122+M135,"")</f>
        <v>9.5138888888888884E-2</v>
      </c>
      <c r="N136" s="40" t="s">
        <v>235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54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77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77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230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77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77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77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77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77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77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77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233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77"/>
    </row>
    <row r="433" spans="1:15" ht="18" customHeight="1">
      <c r="A433" s="92" t="s">
        <v>234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77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77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233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77"/>
    </row>
    <row r="514" spans="1:15" ht="18" customHeight="1">
      <c r="A514" s="92" t="s">
        <v>234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84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04" zoomScale="50" zoomScaleNormal="50" workbookViewId="0">
      <selection activeCell="F119" sqref="F1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231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233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231</v>
      </c>
      <c r="O27" s="39">
        <v>358000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235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230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231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231</v>
      </c>
      <c r="O54" s="39">
        <v>279980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235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241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241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241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241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241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260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241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241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241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241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241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231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261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231</v>
      </c>
      <c r="O81" s="39">
        <v>185920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235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262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263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231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264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7</v>
      </c>
      <c r="G99" s="28">
        <f t="shared" si="21"/>
        <v>29.400000000000002</v>
      </c>
      <c r="H99" s="33" t="s">
        <v>20</v>
      </c>
      <c r="I99" s="33" t="s">
        <v>154</v>
      </c>
      <c r="J99" s="33" t="s">
        <v>74</v>
      </c>
      <c r="K99" s="29">
        <v>0.27847222222222223</v>
      </c>
      <c r="L99" s="29"/>
      <c r="M99" s="35">
        <f t="shared" ca="1" si="22"/>
        <v>0.40794120370264864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0.4551634259248708</v>
      </c>
      <c r="N108" s="36" t="s">
        <v>231</v>
      </c>
      <c r="O108" s="39">
        <v>434370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0.6114134259248708</v>
      </c>
      <c r="N109" s="40" t="s">
        <v>235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62</v>
      </c>
      <c r="G122" s="36">
        <f>SUM(G110:G121)</f>
        <v>260.40000000000003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231</v>
      </c>
      <c r="O135" s="39"/>
    </row>
    <row r="136" spans="1:15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62</v>
      </c>
      <c r="G136" s="40">
        <f>G122+G135</f>
        <v>260.40000000000003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235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231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231</v>
      </c>
      <c r="O216" s="39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230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230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/>
    </row>
    <row r="433" spans="1:15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231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235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F119" sqref="F1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230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231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265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266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267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233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231</v>
      </c>
      <c r="O27" s="39">
        <v>491520</v>
      </c>
    </row>
    <row r="28" spans="1:15" ht="18" customHeight="1">
      <c r="A28" s="103" t="s">
        <v>234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235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230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231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241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241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241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241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268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241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241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241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241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241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241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241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233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231</v>
      </c>
      <c r="O54" s="39">
        <v>352430</v>
      </c>
    </row>
    <row r="55" spans="1:15" ht="18" customHeight="1">
      <c r="A55" s="103" t="s">
        <v>234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235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241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241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241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241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269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241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270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241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241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241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241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241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241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230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231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241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271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241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241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241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241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241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241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241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241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241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241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233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231</v>
      </c>
      <c r="O81" s="39">
        <v>612410</v>
      </c>
    </row>
    <row r="82" spans="1:15" ht="18" customHeight="1">
      <c r="A82" s="103" t="s">
        <v>234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235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241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241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241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241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241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241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241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241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241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241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241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241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230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231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241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241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241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241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241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241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241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241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241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241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241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233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231</v>
      </c>
      <c r="O108" s="39">
        <v>956070</v>
      </c>
    </row>
    <row r="109" spans="1:15" ht="18" customHeight="1">
      <c r="A109" s="103" t="s">
        <v>234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235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241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159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241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213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241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218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241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218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241</v>
      </c>
      <c r="F114" s="27">
        <v>14</v>
      </c>
      <c r="G114" s="28">
        <f t="shared" si="24"/>
        <v>58.800000000000004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241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241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241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241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241</v>
      </c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241</v>
      </c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241</v>
      </c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230</v>
      </c>
      <c r="B122" s="107"/>
      <c r="C122" s="107"/>
      <c r="D122" s="107"/>
      <c r="E122" s="108">
        <f>SUM(E110:E121)</f>
        <v>0</v>
      </c>
      <c r="F122" s="36">
        <f>SUM(F110:F121)</f>
        <v>144</v>
      </c>
      <c r="G122" s="36">
        <f>SUM(G110:G121)</f>
        <v>604.80000000000007</v>
      </c>
      <c r="H122" s="37"/>
      <c r="I122" s="37"/>
      <c r="J122" s="37"/>
      <c r="K122" s="61"/>
      <c r="L122" s="61"/>
      <c r="M122" s="38">
        <f ca="1">IFERROR(SUM(M110:M121),"")</f>
        <v>7.083333333333347E-2</v>
      </c>
      <c r="N122" s="36" t="s">
        <v>231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/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233</v>
      </c>
      <c r="B135" s="107"/>
      <c r="C135" s="107"/>
      <c r="D135" s="107"/>
      <c r="E135" s="108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231</v>
      </c>
      <c r="O135" s="39"/>
    </row>
    <row r="136" spans="1:18" ht="18" customHeight="1">
      <c r="A136" s="103" t="s">
        <v>234</v>
      </c>
      <c r="B136" s="104"/>
      <c r="C136" s="104"/>
      <c r="D136" s="104"/>
      <c r="E136" s="105">
        <f>E122+E135</f>
        <v>0</v>
      </c>
      <c r="F136" s="40">
        <f>F122+F135</f>
        <v>144</v>
      </c>
      <c r="G136" s="40">
        <f>G122+G135</f>
        <v>604.80000000000007</v>
      </c>
      <c r="H136" s="41"/>
      <c r="I136" s="41"/>
      <c r="J136" s="41"/>
      <c r="K136" s="63"/>
      <c r="L136" s="63"/>
      <c r="M136" s="42">
        <f ca="1">IFERROR(M122+M135,"")</f>
        <v>7.083333333333347E-2</v>
      </c>
      <c r="N136" s="40" t="s">
        <v>235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230</v>
      </c>
      <c r="B149" s="107"/>
      <c r="C149" s="107"/>
      <c r="D149" s="107"/>
      <c r="E149" s="108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231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233</v>
      </c>
      <c r="B162" s="107"/>
      <c r="C162" s="107"/>
      <c r="D162" s="107"/>
      <c r="E162" s="10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231</v>
      </c>
      <c r="O162" s="39"/>
    </row>
    <row r="163" spans="1:15" ht="18" customHeight="1">
      <c r="A163" s="103" t="s">
        <v>234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235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230</v>
      </c>
      <c r="B176" s="107"/>
      <c r="C176" s="107"/>
      <c r="D176" s="107"/>
      <c r="E176" s="10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231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233</v>
      </c>
      <c r="B189" s="107"/>
      <c r="C189" s="107"/>
      <c r="D189" s="107"/>
      <c r="E189" s="10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231</v>
      </c>
      <c r="O189" s="39"/>
    </row>
    <row r="190" spans="1:15" ht="18" customHeight="1">
      <c r="A190" s="103" t="s">
        <v>234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235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230</v>
      </c>
      <c r="B203" s="107"/>
      <c r="C203" s="107"/>
      <c r="D203" s="107"/>
      <c r="E203" s="10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231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233</v>
      </c>
      <c r="B216" s="107"/>
      <c r="C216" s="107"/>
      <c r="D216" s="107"/>
      <c r="E216" s="10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231</v>
      </c>
      <c r="O216" s="45"/>
    </row>
    <row r="217" spans="1:15" ht="18" customHeight="1">
      <c r="A217" s="103" t="s">
        <v>234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235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230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231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233</v>
      </c>
      <c r="B243" s="107"/>
      <c r="C243" s="107"/>
      <c r="D243" s="107"/>
      <c r="E243" s="10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231</v>
      </c>
      <c r="O243" s="39"/>
    </row>
    <row r="244" spans="1:15" ht="18" customHeight="1">
      <c r="A244" s="103" t="s">
        <v>234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235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230</v>
      </c>
      <c r="B257" s="107"/>
      <c r="C257" s="107"/>
      <c r="D257" s="107"/>
      <c r="E257" s="10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231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233</v>
      </c>
      <c r="B270" s="107"/>
      <c r="C270" s="107"/>
      <c r="D270" s="107"/>
      <c r="E270" s="10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231</v>
      </c>
      <c r="O270" s="39"/>
    </row>
    <row r="271" spans="1:15" ht="18" customHeight="1">
      <c r="A271" s="103" t="s">
        <v>234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235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230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231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233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231</v>
      </c>
      <c r="O297" s="39"/>
    </row>
    <row r="298" spans="1:15" ht="18" customHeight="1">
      <c r="A298" s="103" t="s">
        <v>234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235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230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231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233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231</v>
      </c>
      <c r="O324" s="39"/>
    </row>
    <row r="325" spans="1:15" ht="18" customHeight="1">
      <c r="A325" s="103" t="s">
        <v>234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235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230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231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233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231</v>
      </c>
      <c r="O351" s="39"/>
    </row>
    <row r="352" spans="1:15" ht="18" customHeight="1">
      <c r="A352" s="103" t="s">
        <v>234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235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231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233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231</v>
      </c>
      <c r="O378" s="39"/>
    </row>
    <row r="379" spans="1:15" ht="18" customHeight="1">
      <c r="A379" s="103" t="s">
        <v>234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235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230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231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233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231</v>
      </c>
      <c r="O405" s="39"/>
    </row>
    <row r="406" spans="1:15" ht="18" customHeight="1">
      <c r="A406" s="103" t="s">
        <v>234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235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230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231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233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231</v>
      </c>
      <c r="O432" s="39"/>
    </row>
    <row r="433" spans="1:17" ht="18" customHeight="1">
      <c r="A433" s="103" t="s">
        <v>234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235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230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231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233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231</v>
      </c>
      <c r="O459" s="39"/>
    </row>
    <row r="460" spans="1:15" ht="18" customHeight="1">
      <c r="A460" s="103" t="s">
        <v>234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235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230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231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233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231</v>
      </c>
      <c r="O486" s="39"/>
    </row>
    <row r="487" spans="1:15" ht="18" customHeight="1">
      <c r="A487" s="103" t="s">
        <v>234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235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230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231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233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231</v>
      </c>
      <c r="O513" s="39"/>
    </row>
    <row r="514" spans="1:15" ht="18" customHeight="1">
      <c r="A514" s="103" t="s">
        <v>234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235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230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231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233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3" t="s">
        <v>234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235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230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233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3" t="s">
        <v>234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235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230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233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3" t="s">
        <v>234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235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230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233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3" t="s">
        <v>234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235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230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233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3" t="s">
        <v>234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235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230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233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3" t="s">
        <v>234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235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230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233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3" t="s">
        <v>234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235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230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233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3" t="s">
        <v>234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235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230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233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3" t="s">
        <v>234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235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230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233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3" t="s">
        <v>234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235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230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233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3" t="s">
        <v>234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235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230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231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233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231</v>
      </c>
      <c r="O837" s="39"/>
    </row>
    <row r="838" spans="1:15" ht="18" customHeight="1">
      <c r="A838" s="103" t="s">
        <v>234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235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2026-08-05T20:29:00Z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