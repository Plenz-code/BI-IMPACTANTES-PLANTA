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890" documentId="8_{AF585B22-221D-4780-BB9C-493D365A6A02}" xr6:coauthVersionLast="47" xr6:coauthVersionMax="47" xr10:uidLastSave="{234FAF73-9138-4509-8791-2DC68620C0F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<sst xmlns="http://schemas.openxmlformats.org/spreadsheetml/2006/main" count="9481" uniqueCount="382">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</sst>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7" activePane="bottomLeft" state="frozen"/>
      <selection pane="bottomLeft" activeCell="F609" sqref="F6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391</v>
      </c>
      <c r="G622" s="40">
        <f>G608+G621</f>
        <v>1955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9" sqref="F6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0.569415856480191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0.72705474536907988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0.83677696759130205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0.54788807870500023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0.71872141203833362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0.86386030092722255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257</v>
      </c>
      <c r="F611" s="27"/>
      <c r="G611" s="34" t="str">
        <f>IF(F611="","",IF(E612="PC 17",F611*4.2,IF(E612="PC 19",F611*5,"")))</f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>IF(F612="","",IF(#REF!="PC 17",F612*4.2,IF(#REF!="PC 19",F612*5,"")))</f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164</v>
      </c>
      <c r="G622" s="40">
        <f>G608+G621</f>
        <v>688.80000000000007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09" sqref="F6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257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141</v>
      </c>
      <c r="G622" s="40">
        <f>G608+G621</f>
        <v>592.20000000000005</v>
      </c>
      <c r="H622" s="41"/>
      <c r="I622" s="41"/>
      <c r="J622" s="41"/>
      <c r="K622" s="41"/>
      <c r="L622" s="41"/>
      <c r="M622" s="42">
        <f ca="1">IFERROR(M608+M621,"")</f>
        <v>7.0138888888888862E-2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J609" sqref="J60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341</v>
      </c>
      <c r="L58" s="29">
        <v>0.54097222222222219</v>
      </c>
      <c r="M58" s="30" t="str">
        <f t="shared" ca="1" si="13"/>
        <v/>
      </c>
      <c r="N58" s="27" t="s">
        <v>342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0.55969363426265772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0.75899918981821335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1.1263603009293244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370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0.100665856480191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0.15552696759130219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/>
      <c r="G609" s="34" t="str">
        <f t="shared" ref="G609:G614" si="135">IF(F609="","",IF(E609="PC 17",F609*4.2,IF(E609="PC 19",F609*5,"")))</f>
        <v/>
      </c>
      <c r="H609" s="33" t="s">
        <v>18</v>
      </c>
      <c r="I609" s="33" t="s">
        <v>75</v>
      </c>
      <c r="J609" s="33" t="s">
        <v>100</v>
      </c>
      <c r="K609" s="29">
        <v>0.29166666666666669</v>
      </c>
      <c r="L609" s="29"/>
      <c r="M609" s="35">
        <f t="shared" ref="M609:M620" ca="1" si="136">IFERROR(IF(K609="","",IF(L609="",MOD(NOW()-K609,1),IF(L609&gt;=K609,L609-K609,L609+1-K609))),"")</f>
        <v>0.5173325231517083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257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0.5173325231517083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0.67285949074301055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2026-07-23T23:25:01Z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