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2" documentId="8_{AF585B22-221D-4780-BB9C-493D365A6A02}" xr6:coauthVersionLast="47" xr6:coauthVersionMax="47" xr10:uidLastSave="{7DBA2F77-B148-4F8E-A1C0-59BB4A7DE89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55" i="5" l="1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<sst xmlns="http://schemas.openxmlformats.org/spreadsheetml/2006/main" count="1425" uniqueCount="203">
  <si>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</si>
  <si>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</si>
  <si>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</si>
  <si>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</si>
  <si>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</si>
  <si>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</si>
  <si>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</si>
  <si>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</si>
  <si>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</si>
  <si>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</si>
  <si>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</si>
  <si>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</si>
  <si>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</si>
  <si>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</si>
  <si>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</si>
  <si>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</si>
  <si>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</si>
  <si>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</si>
  <si>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</si>
  <si>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</si>
  <si>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</si>
  <si>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</si>
  <si>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</si>
  <si>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</si>
  <si>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</si>
  <si>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</si>
  <si>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</si>
  <si>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</si>
  <si>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</si>
  <si>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</si>
  <si>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</si>
  <si>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</si>
  <si>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</si>
  <si>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</si>
  <si>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</si>
  <si>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</si>
  <si>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</si>
  <si>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</si>
  <si>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</si>
  <si>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</si>
  <si>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</si>
  <si>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</si>
  <si>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</si>
  <si>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</si>
  <si>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</si>
  <si>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</si>
  <si>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</si>
  <si>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</si>
  <si>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</si>
  <si>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</si>
  <si>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</si>
  <si>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</si>
  <si>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</si>
  <si>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</si>
  <si>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</si>
  <si>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</si>
  <si>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</si>
  <si>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</si>
  <si>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</si>
  <si>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</si>
  <si>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</si>
  <si>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</si>
  <si>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</si>
  <si>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</si>
  <si>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</si>
  <si>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</si>
  <si>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</si>
  <si>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</si>
  <si>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</si>
  <si>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</si>
  <si>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</si>
  <si>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</si>
  <si>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</si>
  <si>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</si>
  <si>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</si>
  <si>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</si>
  <si>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</si>
  <si>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</si>
  <si>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</si>
  <si>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</si>
  <si>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</si>
  <si>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</si>
  <si>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</si>
  <si>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</si>
  <si>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</si>
  <si>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</si>
  <si>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</si>
  <si>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</si>
  <si>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</si>
  <si>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</si>
  <si>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</si>
  <si>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</si>
  <si>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</si>
  <si>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</si>
  <si>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</si>
  <si>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</si>
  <si>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</si>
  <si>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</si>
  <si>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</si>
  <si>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</si>
  <si>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</si>
  <si>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</si>
  <si>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</si>
  <si>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</si>
  <si>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</si>
  <si>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</si>
  <si>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</si>
  <si>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</si>
  <si>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</si>
  <si>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</si>
  <si>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</si>
  <si>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</si>
  <si>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</si>
  <si>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</si>
  <si>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</si>
  <si>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</si>
  <si>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</si>
  <si>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</si>
  <si>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</si>
  <si>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</si>
  <si>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</si>
  <si>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</si>
  <si>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</si>
  <si>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</si>
  <si>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</si>
  <si>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</si>
  <si>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</si>
  <si>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</si>
  <si>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</si>
  <si>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</si>
  <si>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</si>
  <si>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</si>
  <si>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</si>
  <si>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</si>
  <si>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</si>
  <si>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</si>
  <si>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</si>
  <si>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</si>
  <si>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</si>
  <si>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</si>
  <si>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</si>
  <si>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</si>
  <si>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</si>
  <si>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</si>
  <si>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</si>
  <si>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</si>
  <si>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</si>
  <si>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</si>
  <si>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</si>
  <si>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</si>
  <si>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</si>
  <si>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</si>
  <si>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</si>
  <si>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</si>
  <si>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</si>
  <si>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</si>
  <si>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</si>
  <si>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</si>
  <si>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</si>
  <si>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</si>
  <si>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</si>
  <si>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</si>
  <si>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</si>
  <si>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</si>
  <si>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</si>
  <si>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</si>
  <si>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</si>
  <si>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</si>
  <si>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</si>
  <si>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</si>
  <si>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</si>
  <si>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</si>
  <si>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</si>
  <si>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</si>
  <si>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</si>
  <si>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</si>
  <si>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</si>
  <si>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</si>
  <si>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</si>
  <si>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</si>
  <si>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</si>
  <si>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</si>
  <si>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</si>
  <si>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</si>
  <si>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</si>
  <si>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</si>
  <si>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</si>
  <si>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</si>
  <si>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</si>
  <si>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</si>
  <si>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</si>
  <si>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</si>
  <si>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</si>
  <si>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</si>
  <si>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</si>
  <si>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</si>
  <si>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martelo soltou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</si>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</sst>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K31" sqref="K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/>
      <c r="M29" s="35">
        <f t="shared" ref="M29:M40" ca="1" si="7">IFERROR(IF(K29="","",IF(L29="",MOD(NOW()-K29,1),IF(L29&gt;=K29,L29-K29,L29+1-K29))),"")</f>
        <v>3.5386458337598015E-2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>
        <v>0.34027777777777779</v>
      </c>
      <c r="L30" s="29"/>
      <c r="M30" s="30">
        <f t="shared" ca="1" si="7"/>
        <v>1.5942013887979556E-2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5.132847222557757E-2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5.132847222557757E-2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K31" sqref="K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>
        <v>1</v>
      </c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/>
      <c r="M29" s="35">
        <f t="shared" ref="M29:M40" ca="1" si="7">IFERROR(IF(K29="","",IF(L29="",MOD(NOW()-K29,1),IF(L29&gt;=K29,L29-K29,L29+1-K29))),"")</f>
        <v>4.8580902781395707E-2</v>
      </c>
      <c r="N29" s="46" t="s">
        <v>196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>
        <v>0.34027777777777779</v>
      </c>
      <c r="L30" s="29"/>
      <c r="M30" s="30">
        <f t="shared" ca="1" si="7"/>
        <v>1.5942013887979556E-2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1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6.4522916669375263E-2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1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6.4522916669375263E-2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K31" sqref="K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>
        <v>0</v>
      </c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6.4553125004749745E-2</v>
      </c>
      <c r="N29" s="27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>
        <v>0.34027777777777779</v>
      </c>
      <c r="L30" s="29"/>
      <c r="M30" s="30">
        <f t="shared" ca="1" si="7"/>
        <v>1.5942013887979556E-2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8.0495138892729301E-2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8.0495138892729301E-2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K30" sqref="K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>
        <v>7</v>
      </c>
      <c r="G29" s="28" t="str">
        <f t="shared" ref="G29:G40" si="6">IF(F29="","",IF(E29="PC 17",F29*4.2,IF(E29="PC 19",F29*5,"")))</f>
        <v/>
      </c>
      <c r="H29" s="33"/>
      <c r="I29" s="33"/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1.5942013887979556E-2</v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7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1.5942013887979556E-2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7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1.5942013887979556E-2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2026-07-02T12:34:09Z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