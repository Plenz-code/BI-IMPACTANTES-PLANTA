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733" documentId="8_{AF585B22-221D-4780-BB9C-493D365A6A02}" xr6:coauthVersionLast="47" xr6:coauthVersionMax="47" xr10:uidLastSave="{942BA6FF-6D70-4DF5-B909-AE16AA5FEEDF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<sst xmlns="http://schemas.openxmlformats.org/spreadsheetml/2006/main" count="10910" uniqueCount="408">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</sst>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1568140</v>
      </c>
      <c r="D30" s="8">
        <f>IFERROR('Linha 1'!O730,"")</f>
        <v>479760</v>
      </c>
      <c r="E30" s="8">
        <f>IFERROR('Linha 2'!O730,"")</f>
        <v>333820</v>
      </c>
      <c r="F30" s="8">
        <f>IFERROR('Linha 3'!O730,"")</f>
        <v>613260</v>
      </c>
      <c r="G30" s="9">
        <f t="shared" si="0"/>
        <v>1426840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81097358</v>
      </c>
      <c r="D35" s="13">
        <f>IFERROR(SUM(D4:D34),"")</f>
        <v>32568970</v>
      </c>
      <c r="E35" s="13">
        <f>IFERROR(SUM(E4:E34),"")</f>
        <v>19103080</v>
      </c>
      <c r="F35" s="13">
        <f>IFERROR(SUM(F4:F34),"")</f>
        <v>33969740</v>
      </c>
      <c r="G35" s="13">
        <f>IFERROR(SUM(G4:G34),"")</f>
        <v>85641790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01" activePane="bottomLeft" state="frozen"/>
      <selection pane="bottomLeft" activeCell="F718" sqref="F71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/>
      <c r="I717" s="33"/>
      <c r="J717" s="33"/>
      <c r="K717" s="29">
        <v>0.83333333333333337</v>
      </c>
      <c r="L717" s="29"/>
      <c r="M717" s="35">
        <f t="shared" ref="M717:M728" ca="1" si="160">IFERROR(IF(K717="","",IF(L717="",MOD(NOW()-K717,1),IF(L717&gt;=K717,L717-K717,L717+1-K717))),"")</f>
        <v>1.6316666660713963E-2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231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</v>
      </c>
      <c r="G729" s="36">
        <f>SUM(G717:G728)</f>
        <v>75</v>
      </c>
      <c r="H729" s="37"/>
      <c r="I729" s="37"/>
      <c r="J729" s="37"/>
      <c r="K729" s="37"/>
      <c r="L729" s="37"/>
      <c r="M729" s="38">
        <f ca="1">IFERROR(SUM(M717:M728),"")</f>
        <v>1.6316666660713963E-2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318</v>
      </c>
      <c r="G730" s="40">
        <f>G716+G729</f>
        <v>1590</v>
      </c>
      <c r="H730" s="41"/>
      <c r="I730" s="41"/>
      <c r="J730" s="41"/>
      <c r="K730" s="41"/>
      <c r="L730" s="41"/>
      <c r="M730" s="42">
        <f ca="1">IFERROR(M716+M729,"")</f>
        <v>0.1058999999940472</v>
      </c>
      <c r="N730" s="40" t="s">
        <v>237</v>
      </c>
      <c r="O730" s="48">
        <f>IFERROR(O716+O729,"")</f>
        <v>1568140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703" activePane="bottomLeft" state="frozen"/>
      <selection pane="bottomLeft" activeCell="N718" sqref="N71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0.61006666666071396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0.76770555554960285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0.87742777777182501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0.58853888888552319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0.75937222221885659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0.90451111110774551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258</v>
      </c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</v>
      </c>
      <c r="G729" s="36">
        <f>SUM(G717:G728)</f>
        <v>71.400000000000006</v>
      </c>
      <c r="H729" s="37"/>
      <c r="I729" s="37"/>
      <c r="J729" s="37"/>
      <c r="K729" s="37"/>
      <c r="L729" s="37"/>
      <c r="M729" s="38">
        <f ca="1">IFERROR(SUM(M717:M728),"")</f>
        <v>2.430555555555558E-2</v>
      </c>
      <c r="N729" s="36" t="s">
        <v>234</v>
      </c>
      <c r="O729" s="77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134</v>
      </c>
      <c r="G730" s="40">
        <f>G716+G729</f>
        <v>562.80000000000007</v>
      </c>
      <c r="H730" s="41"/>
      <c r="I730" s="41"/>
      <c r="J730" s="41"/>
      <c r="K730" s="41"/>
      <c r="L730" s="41"/>
      <c r="M730" s="42">
        <f ca="1">IFERROR(M716+M729,"")</f>
        <v>0.31805555555555548</v>
      </c>
      <c r="N730" s="40" t="s">
        <v>237</v>
      </c>
      <c r="O730" s="83">
        <f>IFERROR(O716+O729,"")</f>
        <v>479760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02" zoomScale="50" zoomScaleNormal="50" workbookViewId="0">
      <selection activeCell="F718" sqref="F71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329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331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332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334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336</v>
      </c>
      <c r="N166" s="27" t="s">
        <v>337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338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339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340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344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348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349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350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351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353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354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357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0.31944444444444442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0.51388888888888895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258</v>
      </c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4</v>
      </c>
      <c r="G729" s="36">
        <f>SUM(G717:G728)</f>
        <v>16.8</v>
      </c>
      <c r="H729" s="37"/>
      <c r="I729" s="37"/>
      <c r="J729" s="37"/>
      <c r="K729" s="37"/>
      <c r="L729" s="37"/>
      <c r="M729" s="38">
        <f ca="1">IFERROR(SUM(M717:M728),"")</f>
        <v>0.51388888888888895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80</v>
      </c>
      <c r="G730" s="40">
        <f>G716+G729</f>
        <v>336</v>
      </c>
      <c r="H730" s="41"/>
      <c r="I730" s="41"/>
      <c r="J730" s="41"/>
      <c r="K730" s="41"/>
      <c r="L730" s="41"/>
      <c r="M730" s="42">
        <f ca="1">IFERROR(M716+M729,"")</f>
        <v>0.61736111111111125</v>
      </c>
      <c r="N730" s="40" t="s">
        <v>237</v>
      </c>
      <c r="O730" s="48">
        <f>IFERROR(O716+O729,"")</f>
        <v>333820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96" activePane="bottomLeft" state="frozen"/>
      <selection pane="bottomLeft" activeCell="H728" sqref="H72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362</v>
      </c>
      <c r="L58" s="29">
        <v>0.54097222222222219</v>
      </c>
      <c r="M58" s="30" t="str">
        <f t="shared" ca="1" si="13"/>
        <v/>
      </c>
      <c r="N58" s="27" t="s">
        <v>363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0.60034444444318069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0.79964999999873632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1.1670111111098473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391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392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393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394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395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396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397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398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399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400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401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402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403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404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405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406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407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/>
      <c r="D717" s="62"/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/>
      <c r="K717" s="29">
        <v>0.84305555555555556</v>
      </c>
      <c r="L717" s="29"/>
      <c r="M717" s="35">
        <f t="shared" ref="M717:M728" ca="1" si="160">IFERROR(IF(K717="","",IF(L717="",MOD(NOW()-K717,1),IF(L717&gt;=K717,L717-K717,L717+1-K717))),"")</f>
        <v>6.5944444431806915E-3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62" t="s">
        <v>258</v>
      </c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 t="s">
        <v>258</v>
      </c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62" t="s">
        <v>258</v>
      </c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 t="s">
        <v>258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62" t="s">
        <v>258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62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62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20</v>
      </c>
      <c r="G729" s="36">
        <f>SUM(G717:G728)</f>
        <v>84</v>
      </c>
      <c r="H729" s="37"/>
      <c r="I729" s="37"/>
      <c r="J729" s="37"/>
      <c r="K729" s="61"/>
      <c r="L729" s="61"/>
      <c r="M729" s="38">
        <f ca="1">IFERROR(SUM(M717:M728),"")</f>
        <v>6.5944444431806915E-3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152</v>
      </c>
      <c r="G730" s="40">
        <f>G716+G729</f>
        <v>638.40000000000009</v>
      </c>
      <c r="H730" s="41"/>
      <c r="I730" s="41"/>
      <c r="J730" s="41"/>
      <c r="K730" s="63"/>
      <c r="L730" s="63"/>
      <c r="M730" s="42">
        <f ca="1">IFERROR(M716+M729,"")</f>
        <v>0.21284444444318068</v>
      </c>
      <c r="N730" s="40" t="s">
        <v>237</v>
      </c>
      <c r="O730" s="48">
        <f>IFERROR(O716+O729,"")</f>
        <v>613260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2026-07-28T00:23:47Z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