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978" documentId="13_ncr:1_{0A10D8D4-8450-4366-8075-B53B08E6B7EA}" xr6:coauthVersionLast="47" xr6:coauthVersionMax="47" xr10:uidLastSave="{CC6C183E-D6E2-4BD1-A5CC-C56932987EE1}"/>
  <bookViews>
    <workbookView xWindow="-28920" yWindow="-60" windowWidth="29040" windowHeight="1572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03" i="6" l="1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G406" i="6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380" i="6" l="1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92" i="6" l="1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<sst xmlns="http://schemas.openxmlformats.org/spreadsheetml/2006/main" count="6951" uniqueCount="353">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</sst>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3" sqref="F23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56392520</v>
      </c>
      <c r="D35" s="13">
        <f t="shared" si="2"/>
        <v>18248020</v>
      </c>
      <c r="E35" s="13">
        <f t="shared" si="2"/>
        <v>9434670</v>
      </c>
      <c r="F35" s="13">
        <f t="shared" si="2"/>
        <v>23508930</v>
      </c>
      <c r="G35" s="13">
        <f t="shared" si="2"/>
        <v>51191620</v>
      </c>
      <c r="H35" s="97">
        <f t="shared" si="2"/>
        <v>3210.2952927907322</v>
      </c>
      <c r="I35" s="97">
        <f>IFERROR(SUM(I4:I34),"")</f>
        <v>2403.2399999999998</v>
      </c>
      <c r="J35" s="130">
        <f>IFERROR(AVERAGE(J4:J34),"-")</f>
        <v>0.71867777186346116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77" activePane="bottomLeft" state="frozen"/>
      <selection pane="bottomLeft" activeCell="O406" sqref="O406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23" t="s">
        <v>234</v>
      </c>
      <c r="G1" s="23" t="s">
        <v>235</v>
      </c>
      <c r="H1" s="23" t="s">
        <v>21</v>
      </c>
      <c r="I1" s="23" t="s">
        <v>22</v>
      </c>
      <c r="J1" s="23" t="s">
        <v>236</v>
      </c>
      <c r="K1" s="23" t="s">
        <v>237</v>
      </c>
      <c r="L1" s="23" t="s">
        <v>238</v>
      </c>
      <c r="M1" s="24" t="s">
        <v>239</v>
      </c>
      <c r="N1" s="23" t="s">
        <v>240</v>
      </c>
      <c r="O1" s="23" t="s">
        <v>241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243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244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242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242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245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246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244</v>
      </c>
      <c r="O27" s="39">
        <v>997910</v>
      </c>
    </row>
    <row r="28" spans="1:15" ht="18" customHeight="1">
      <c r="A28" s="160" t="s">
        <v>247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248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242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249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242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245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243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244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250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242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242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242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242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242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246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244</v>
      </c>
      <c r="O54" s="39">
        <v>981310</v>
      </c>
    </row>
    <row r="55" spans="1:15" ht="18" customHeight="1">
      <c r="A55" s="160" t="s">
        <v>247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248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242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243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244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242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251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246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244</v>
      </c>
      <c r="O81" s="39">
        <v>1547910</v>
      </c>
    </row>
    <row r="82" spans="1:15" ht="18" customHeight="1">
      <c r="A82" s="160" t="s">
        <v>247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248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242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242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252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243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244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253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246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244</v>
      </c>
      <c r="O108" s="39">
        <v>3156240</v>
      </c>
    </row>
    <row r="109" spans="1:15" ht="18" customHeight="1">
      <c r="A109" s="160" t="s">
        <v>247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248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243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244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246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244</v>
      </c>
      <c r="O135" s="39">
        <v>2875180</v>
      </c>
    </row>
    <row r="136" spans="1:15" ht="18" customHeight="1">
      <c r="A136" s="160" t="s">
        <v>247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248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254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242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242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242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243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244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242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255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242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242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242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246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244</v>
      </c>
      <c r="O162" s="44">
        <v>842000</v>
      </c>
    </row>
    <row r="163" spans="1:15" ht="18" customHeight="1">
      <c r="A163" s="160" t="s">
        <v>247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248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256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242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242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242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242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242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242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242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243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244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242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257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242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242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242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242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242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242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242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258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242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242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242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246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244</v>
      </c>
      <c r="O189" s="39">
        <v>1901630</v>
      </c>
    </row>
    <row r="190" spans="1:15" ht="18" customHeight="1">
      <c r="A190" s="160" t="s">
        <v>247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248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242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242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242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259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242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242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242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242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242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242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242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242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243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244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242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242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242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242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242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242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242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242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242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242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242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242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246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244</v>
      </c>
      <c r="O216" s="45">
        <v>1852295</v>
      </c>
    </row>
    <row r="217" spans="1:15" ht="18" customHeight="1">
      <c r="A217" s="160" t="s">
        <v>247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248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242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242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242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260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242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242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242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242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242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242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242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243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244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242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242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242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261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261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261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261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261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261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261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261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261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246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244</v>
      </c>
      <c r="O243" s="39">
        <v>991010</v>
      </c>
    </row>
    <row r="244" spans="1:15" ht="18" customHeight="1">
      <c r="A244" s="160" t="s">
        <v>247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248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242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242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242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242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242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262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242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242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242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242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242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242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242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243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244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263</v>
      </c>
      <c r="E258" s="62" t="s">
        <v>242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263</v>
      </c>
      <c r="E259" s="62" t="s">
        <v>242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263</v>
      </c>
      <c r="E260" s="62" t="s">
        <v>242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263</v>
      </c>
      <c r="E261" s="62" t="s">
        <v>242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263</v>
      </c>
      <c r="E262" s="62" t="s">
        <v>242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263</v>
      </c>
      <c r="E263" s="62" t="s">
        <v>242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263</v>
      </c>
      <c r="E264" s="62" t="s">
        <v>242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263</v>
      </c>
      <c r="E265" s="62" t="s">
        <v>242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263</v>
      </c>
      <c r="E266" s="62" t="s">
        <v>242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263</v>
      </c>
      <c r="E267" s="62" t="s">
        <v>242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263</v>
      </c>
      <c r="E268" s="62" t="s">
        <v>242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263</v>
      </c>
      <c r="E269" s="62" t="s">
        <v>242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246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244</v>
      </c>
      <c r="O270" s="39">
        <v>1544700</v>
      </c>
    </row>
    <row r="271" spans="1:15" ht="18" customHeight="1">
      <c r="A271" s="160" t="s">
        <v>247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248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263</v>
      </c>
      <c r="E272" s="59" t="s">
        <v>242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263</v>
      </c>
      <c r="E273" s="59" t="s">
        <v>242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263</v>
      </c>
      <c r="E274" s="59" t="s">
        <v>242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263</v>
      </c>
      <c r="E275" s="59" t="s">
        <v>242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263</v>
      </c>
      <c r="E276" s="59" t="s">
        <v>242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263</v>
      </c>
      <c r="E277" s="59" t="s">
        <v>242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264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263</v>
      </c>
      <c r="E278" s="59" t="s">
        <v>242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263</v>
      </c>
      <c r="E279" s="59" t="s">
        <v>242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263</v>
      </c>
      <c r="E280" s="59" t="s">
        <v>242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263</v>
      </c>
      <c r="E281" s="59" t="s">
        <v>242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263</v>
      </c>
      <c r="E282" s="59" t="s">
        <v>242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263</v>
      </c>
      <c r="E283" s="59" t="s">
        <v>242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243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244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263</v>
      </c>
      <c r="E285" s="62" t="s">
        <v>258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263</v>
      </c>
      <c r="E286" s="62" t="s">
        <v>258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263</v>
      </c>
      <c r="E287" s="62" t="s">
        <v>258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263</v>
      </c>
      <c r="E288" s="62" t="s">
        <v>258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263</v>
      </c>
      <c r="E289" s="62" t="s">
        <v>258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263</v>
      </c>
      <c r="E290" s="62" t="s">
        <v>258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263</v>
      </c>
      <c r="E291" s="62" t="s">
        <v>258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263</v>
      </c>
      <c r="E292" s="62" t="s">
        <v>258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263</v>
      </c>
      <c r="E293" s="62" t="s">
        <v>258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263</v>
      </c>
      <c r="E294" s="62" t="s">
        <v>258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263</v>
      </c>
      <c r="E295" s="62" t="s">
        <v>258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263</v>
      </c>
      <c r="E296" s="62" t="s">
        <v>258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246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244</v>
      </c>
      <c r="O297" s="39">
        <v>1715230</v>
      </c>
    </row>
    <row r="298" spans="1:15" ht="18" customHeight="1">
      <c r="A298" s="160" t="s">
        <v>247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248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242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242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242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242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265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242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242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242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242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242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242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242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242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243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244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242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242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242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242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242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242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242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242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242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242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242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242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246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244</v>
      </c>
      <c r="O324" s="39">
        <v>2216340</v>
      </c>
    </row>
    <row r="325" spans="1:15" ht="18" customHeight="1">
      <c r="A325" s="160" t="s">
        <v>247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248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266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242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242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242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267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242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242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242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242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243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244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242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242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242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242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242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242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242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242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242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242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242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242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246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244</v>
      </c>
      <c r="O351" s="39">
        <v>2154990</v>
      </c>
    </row>
    <row r="352" spans="1:15" ht="18" customHeight="1">
      <c r="A352" s="160" t="s">
        <v>247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248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242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242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242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242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242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242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258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242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242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242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242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242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243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244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242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242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242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242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242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242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242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242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242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242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242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242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246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244</v>
      </c>
      <c r="O378" s="39">
        <v>2614830</v>
      </c>
    </row>
    <row r="379" spans="1:15" ht="18" customHeight="1">
      <c r="A379" s="160" t="s">
        <v>247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248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242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242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242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242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242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242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242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242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242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242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242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242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243</v>
      </c>
      <c r="B392" s="159"/>
      <c r="C392" s="159"/>
      <c r="D392" s="159"/>
      <c r="E392" s="176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244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242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268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242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242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242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242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242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242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242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242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242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242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242</v>
      </c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246</v>
      </c>
      <c r="B405" s="159"/>
      <c r="C405" s="159"/>
      <c r="D405" s="159"/>
      <c r="E405" s="176">
        <f>SUM(E393:E404)</f>
        <v>0</v>
      </c>
      <c r="F405" s="36">
        <f>SUM(F393:F404)</f>
        <v>380</v>
      </c>
      <c r="G405" s="36">
        <f>SUM(G393:G404)</f>
        <v>1900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244</v>
      </c>
      <c r="O405" s="39">
        <v>2612000</v>
      </c>
    </row>
    <row r="406" spans="1:15" ht="18" customHeight="1">
      <c r="A406" s="160" t="s">
        <v>247</v>
      </c>
      <c r="B406" s="161"/>
      <c r="C406" s="161"/>
      <c r="D406" s="161"/>
      <c r="E406" s="175">
        <f>E392+E405</f>
        <v>0</v>
      </c>
      <c r="F406" s="40">
        <f>F392+F405</f>
        <v>660</v>
      </c>
      <c r="G406" s="40">
        <f>G392+G405</f>
        <v>3315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248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243</v>
      </c>
      <c r="B419" s="159"/>
      <c r="C419" s="159"/>
      <c r="D419" s="159"/>
      <c r="E419" s="17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244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246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244</v>
      </c>
      <c r="O432" s="39"/>
    </row>
    <row r="433" spans="1:15" ht="18" customHeight="1">
      <c r="A433" s="160" t="s">
        <v>247</v>
      </c>
      <c r="B433" s="161"/>
      <c r="C433" s="161"/>
      <c r="D433" s="161"/>
      <c r="E433" s="17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248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243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244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246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244</v>
      </c>
      <c r="O459" s="39"/>
    </row>
    <row r="460" spans="1:15" ht="18" customHeight="1">
      <c r="A460" s="160" t="s">
        <v>247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248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243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244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246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244</v>
      </c>
      <c r="O486" s="39"/>
    </row>
    <row r="487" spans="1:15" ht="18" customHeight="1">
      <c r="A487" s="160" t="s">
        <v>247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248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243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244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246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244</v>
      </c>
      <c r="O513" s="39"/>
    </row>
    <row r="514" spans="1:15" ht="18" customHeight="1">
      <c r="A514" s="160" t="s">
        <v>247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248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243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244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246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244</v>
      </c>
      <c r="O540" s="39"/>
    </row>
    <row r="541" spans="1:15" ht="18" customHeight="1">
      <c r="A541" s="160" t="s">
        <v>247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248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243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244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246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244</v>
      </c>
      <c r="O567" s="39"/>
    </row>
    <row r="568" spans="1:15" ht="18" customHeight="1">
      <c r="A568" s="160" t="s">
        <v>247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248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243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244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246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244</v>
      </c>
      <c r="O594" s="39"/>
    </row>
    <row r="595" spans="1:15" ht="18" customHeight="1">
      <c r="A595" s="160" t="s">
        <v>247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248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243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244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246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244</v>
      </c>
      <c r="O621" s="39"/>
    </row>
    <row r="622" spans="1:15" ht="18" customHeight="1">
      <c r="A622" s="160" t="s">
        <v>247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248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243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244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246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244</v>
      </c>
      <c r="O648" s="39"/>
    </row>
    <row r="649" spans="1:15" ht="18" customHeight="1">
      <c r="A649" s="160" t="s">
        <v>247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248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243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244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246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244</v>
      </c>
      <c r="O675" s="39"/>
    </row>
    <row r="676" spans="1:15" ht="18" customHeight="1">
      <c r="A676" s="160" t="s">
        <v>247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248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243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244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246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244</v>
      </c>
      <c r="O702" s="39"/>
    </row>
    <row r="703" spans="1:15" ht="18" customHeight="1">
      <c r="A703" s="160" t="s">
        <v>247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248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243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244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246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244</v>
      </c>
      <c r="O729" s="39"/>
    </row>
    <row r="730" spans="1:15" ht="18" customHeight="1">
      <c r="A730" s="160" t="s">
        <v>247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248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243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244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246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244</v>
      </c>
      <c r="O756" s="39"/>
    </row>
    <row r="757" spans="1:15" ht="18" customHeight="1">
      <c r="A757" s="160" t="s">
        <v>247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248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243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244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246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244</v>
      </c>
      <c r="O783" s="39"/>
    </row>
    <row r="784" spans="1:15" ht="18" customHeight="1">
      <c r="A784" s="160" t="s">
        <v>247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248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243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244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246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244</v>
      </c>
      <c r="O810" s="39"/>
    </row>
    <row r="811" spans="1:15" ht="18" customHeight="1">
      <c r="A811" s="172" t="s">
        <v>247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248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243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244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246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244</v>
      </c>
      <c r="O837" s="39"/>
    </row>
    <row r="838" spans="1:15" ht="18" customHeight="1">
      <c r="A838" s="160" t="s">
        <v>247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248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75" activePane="bottomLeft" state="frozen"/>
      <selection pane="bottomLeft" activeCell="P401" sqref="P401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244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258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258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258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258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258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258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258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258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258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258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258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244</v>
      </c>
      <c r="S27" s="45">
        <v>549860</v>
      </c>
      <c r="T27" s="122"/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248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244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0.15690937500039581</v>
      </c>
      <c r="R53" s="46" t="s">
        <v>279</v>
      </c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0.29579826388928471</v>
      </c>
      <c r="R54" s="36" t="s">
        <v>244</v>
      </c>
      <c r="S54" s="75">
        <v>352430</v>
      </c>
      <c r="T54" s="117"/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0.38052048611150702</v>
      </c>
      <c r="R55" s="40" t="s">
        <v>248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244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258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244</v>
      </c>
      <c r="S81" s="54">
        <v>634210</v>
      </c>
      <c r="T81" s="118"/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248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258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244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245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244</v>
      </c>
      <c r="S108" s="54">
        <v>456830</v>
      </c>
      <c r="T108" s="118"/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248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244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244</v>
      </c>
      <c r="S135" s="54">
        <v>756720</v>
      </c>
      <c r="T135" s="118"/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248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244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244</v>
      </c>
      <c r="S162" s="54">
        <v>501750</v>
      </c>
      <c r="T162" s="118"/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248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258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258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258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258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258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258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258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258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258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258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244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258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258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258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258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244</v>
      </c>
      <c r="S189" s="45">
        <v>362530</v>
      </c>
      <c r="T189" s="122"/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248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244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244</v>
      </c>
      <c r="S216" s="45">
        <v>609740</v>
      </c>
      <c r="T216" s="122"/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248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245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243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244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245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244</v>
      </c>
      <c r="S243" s="45">
        <v>825930</v>
      </c>
      <c r="T243" s="122"/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248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244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258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258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258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258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258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258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258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258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258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258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258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258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45">
        <v>732130</v>
      </c>
      <c r="T270" s="122"/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248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258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258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258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258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242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258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242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242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258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258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242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242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242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242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242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45">
        <v>990260</v>
      </c>
      <c r="T297" s="122"/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258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258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258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258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258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258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258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258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258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258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258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258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244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258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258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258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258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258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258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258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258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258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258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244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248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244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244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248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244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244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248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258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258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302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244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303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258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258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258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244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248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246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45"/>
      <c r="T432" s="122">
        <f>IFERROR(J432,"")</f>
        <v>0</v>
      </c>
    </row>
    <row r="433" spans="1:20" ht="18" customHeight="1">
      <c r="A433" s="83" t="s">
        <v>247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45"/>
      <c r="T459" s="122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45"/>
      <c r="T486" s="122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246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45"/>
      <c r="T513" s="122">
        <f>IFERROR(J513,"")</f>
        <v>0</v>
      </c>
    </row>
    <row r="514" spans="1:20" ht="18" customHeight="1">
      <c r="A514" s="83" t="s">
        <v>247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45"/>
      <c r="T540" s="122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45"/>
      <c r="T567" s="122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45"/>
      <c r="T594" s="122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45"/>
      <c r="T621" s="122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45"/>
      <c r="T648" s="122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45"/>
      <c r="T675" s="122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45"/>
      <c r="T702" s="122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45"/>
      <c r="T729" s="122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75"/>
      <c r="T837" s="117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tabSelected="1" zoomScale="80" zoomScaleNormal="80" workbookViewId="0">
      <pane ySplit="1" topLeftCell="A382" activePane="bottomLeft" state="frozen"/>
      <selection pane="bottomLeft" activeCell="P397" sqref="P397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244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304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305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258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258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244</v>
      </c>
      <c r="S27" s="39">
        <v>358000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248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244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304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304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244</v>
      </c>
      <c r="S54" s="39">
        <v>279980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248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258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258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258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258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258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306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258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258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258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258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244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307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244</v>
      </c>
      <c r="S81" s="39">
        <v>185920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248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308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309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244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310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244</v>
      </c>
      <c r="S108" s="39">
        <v>434370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248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244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311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244</v>
      </c>
      <c r="S135" s="39">
        <v>416350</v>
      </c>
      <c r="T135" s="119">
        <f>IFERROR(J135,"")</f>
        <v>0</v>
      </c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248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312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244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244</v>
      </c>
      <c r="S162" s="39">
        <v>169760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248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313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244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314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244</v>
      </c>
      <c r="S189" s="39">
        <v>72220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248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244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315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244</v>
      </c>
      <c r="S216" s="39">
        <v>148720</v>
      </c>
      <c r="T216" s="119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248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316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317</v>
      </c>
      <c r="Q222" s="30" t="str">
        <f t="shared" ca="1" si="49"/>
        <v/>
      </c>
      <c r="R222" s="27" t="s">
        <v>318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244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244</v>
      </c>
      <c r="S243" s="39">
        <v>352720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248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319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242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242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244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258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258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258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258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258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258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258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258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258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258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258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258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39">
        <v>327900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248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242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39">
        <v>462190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244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244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248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320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258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244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244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248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244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244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248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321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302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244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258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258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258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244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248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0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72" activePane="bottomLeft" state="frozen"/>
      <selection pane="bottomLeft" activeCell="S406" sqref="S406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244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258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322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304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323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324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258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258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244</v>
      </c>
      <c r="S27" s="39">
        <v>491520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248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258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258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258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258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258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258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258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258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258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258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243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244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325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244</v>
      </c>
      <c r="S54" s="39">
        <v>352430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248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326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327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244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328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304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244</v>
      </c>
      <c r="S81" s="39">
        <v>612410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248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244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304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244</v>
      </c>
      <c r="S108" s="39">
        <v>956070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248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329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244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330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304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244</v>
      </c>
      <c r="S135" s="39">
        <v>912240</v>
      </c>
      <c r="T135" s="119">
        <f>IFERROR(J135,"")</f>
        <v>0</v>
      </c>
    </row>
    <row r="136" spans="1:22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248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331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332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243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244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333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334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244</v>
      </c>
      <c r="S162" s="39">
        <v>573230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248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335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244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336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244</v>
      </c>
      <c r="S189" s="39">
        <v>692750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248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337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244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338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339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340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244</v>
      </c>
      <c r="S216" s="45">
        <v>607180</v>
      </c>
      <c r="T216" s="122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248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341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342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244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343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344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244</v>
      </c>
      <c r="S243" s="39">
        <v>795250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248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 t="s">
        <v>268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345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244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258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258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258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258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258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258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258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258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258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258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258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258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244</v>
      </c>
      <c r="S270" s="39">
        <v>683360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248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258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244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244</v>
      </c>
      <c r="S297" s="39">
        <v>904710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248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244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244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248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258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243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244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346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347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244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248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348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349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243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244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350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244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248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258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302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/>
      <c r="Q385" s="35">
        <f t="shared" ca="1" si="92"/>
        <v>0.650659375001851</v>
      </c>
      <c r="R385" s="27" t="s">
        <v>351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0.71524270833518422</v>
      </c>
      <c r="R392" s="36" t="s">
        <v>244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352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258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258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258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244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0.77496493055740645</v>
      </c>
      <c r="R406" s="40" t="s">
        <v>248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1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248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2026-08-16T10:41:09Z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