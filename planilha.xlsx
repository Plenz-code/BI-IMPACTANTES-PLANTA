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49" documentId="8_{C51EB6CB-002B-4D6B-B68F-DDEBDB4460C0}" xr6:coauthVersionLast="47" xr6:coauthVersionMax="47" xr10:uidLastSave="{9FE7FF15-DC76-41A0-AD2B-A6CED9E99979}"/>
  <bookViews>
    <workbookView xWindow="-108" yWindow="-108" windowWidth="23256" windowHeight="12456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271" i="5" s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E271" i="5" s="1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F257" i="4"/>
  <c r="E257" i="4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18" i="1" l="1"/>
  <c r="G20" i="1"/>
  <c r="E271" i="4"/>
  <c r="F271" i="4"/>
  <c r="E271" i="6"/>
  <c r="G270" i="4"/>
  <c r="F271" i="6"/>
  <c r="G31" i="1"/>
  <c r="G270" i="6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271" i="3" l="1"/>
  <c r="M487" i="3"/>
  <c r="M838" i="4"/>
  <c r="M703" i="6"/>
  <c r="G649" i="3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<sst xmlns="http://schemas.openxmlformats.org/spreadsheetml/2006/main" count="5205" uniqueCount="326">
  <si>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</si>
  <si>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</si>
  <si>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</si>
  <si>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</si>
  <si>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</si>
  <si>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</si>
  <si>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</si>
  <si>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</si>
  <si>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</si>
  <si>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</si>
  <si>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</si>
  <si>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</si>
  <si>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</si>
  <si>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</si>
  <si>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</si>
  <si>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</si>
  <si>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</si>
  <si>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</si>
  <si>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</si>
  <si>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</si>
  <si>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</si>
  <si>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</si>
  <si>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</si>
  <si>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</si>
  <si>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</si>
  <si>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</si>
  <si>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</si>
  <si>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</si>
  <si>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</si>
  <si>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</si>
  <si>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</si>
  <si>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</si>
  <si>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</si>
  <si>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</si>
  <si>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</si>
  <si>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</si>
  <si>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</si>
  <si>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</si>
  <si>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</si>
  <si>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</si>
  <si>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</si>
  <si>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</si>
  <si>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</si>
  <si>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</si>
  <si>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</si>
  <si>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</si>
  <si>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</si>
  <si>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</si>
  <si>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</si>
  <si>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</si>
  <si>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</si>
  <si>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</si>
  <si>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</si>
  <si>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</si>
  <si>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</si>
  <si>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</si>
  <si>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</si>
  <si>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</si>
  <si>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</si>
  <si>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</si>
  <si>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</si>
  <si>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</si>
  <si>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</si>
  <si>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</si>
  <si>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</si>
  <si>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</si>
  <si>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</si>
  <si>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</si>
  <si>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</si>
  <si>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</si>
  <si>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</si>
  <si>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</si>
  <si>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</si>
  <si>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</si>
  <si>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</si>
  <si>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</si>
  <si>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</si>
  <si>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</si>
  <si>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</si>
  <si>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</si>
  <si>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</si>
  <si>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</si>
  <si>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</si>
  <si>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</si>
  <si>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</si>
  <si>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</si>
  <si>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</si>
  <si>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</si>
  <si>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</si>
  <si>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</si>
  <si>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</si>
  <si>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</si>
  <si>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</si>
  <si>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</si>
  <si>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</si>
  <si>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</si>
  <si>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</si>
  <si>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</si>
  <si>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</si>
  <si>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</si>
  <si>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</si>
  <si>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</si>
  <si>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</si>
  <si>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</si>
  <si>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</si>
  <si>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</si>
  <si>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</si>
  <si>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</si>
  <si>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</si>
  <si>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</si>
  <si>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</si>
  <si>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</si>
  <si>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</si>
  <si>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</si>
  <si>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</si>
  <si>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</si>
  <si>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</si>
  <si>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</si>
  <si>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</si>
  <si>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</si>
  <si>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</si>
  <si>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</si>
  <si>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</si>
  <si>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</si>
  <si>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</si>
  <si>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</si>
  <si>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</si>
  <si>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</si>
  <si>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</si>
  <si>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</si>
  <si>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</si>
  <si>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</si>
  <si>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</si>
  <si>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</si>
  <si>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</si>
  <si>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</si>
  <si>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</si>
  <si>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</si>
  <si>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</si>
  <si>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</si>
  <si>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</si>
  <si>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</si>
  <si>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</si>
  <si>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</si>
  <si>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</si>
  <si>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</si>
  <si>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</si>
  <si>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</si>
  <si>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</si>
  <si>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</si>
  <si>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</si>
  <si>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</si>
  <si>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</si>
  <si>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</si>
  <si>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</si>
  <si>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</si>
  <si>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</si>
  <si>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</si>
  <si>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</si>
  <si>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</si>
  <si>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</si>
  <si>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</si>
  <si>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</si>
  <si>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</si>
  <si>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</si>
  <si>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</si>
  <si>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</si>
  <si>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</si>
  <si>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</si>
  <si>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</si>
  <si>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</si>
  <si>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</si>
  <si>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</si>
  <si>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</si>
  <si>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</si>
  <si>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</si>
  <si>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</si>
  <si>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</si>
  <si>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</si>
  <si>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</si>
  <si>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</si>
  <si>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</si>
  <si>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</si>
  <si>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</si>
  <si>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</si>
  <si>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</si>
  <si>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</si>
  <si>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</si>
  <si>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</si>
  <si>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</si>
  <si>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</si>
  <si>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</si>
  <si>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</si>
  <si>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</si>
  <si>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</si>
  <si>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</si>
  <si>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</si>
  <si>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</si>
  <si>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</si>
  <si>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</si>
  <si>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</si>
  <si>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</si>
  <si>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</si>
  <si>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</si>
  <si>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</si>
  <si>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</si>
  <si>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</si>
  <si>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</si>
  <si>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</si>
  <si>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</si>
  <si>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</si>
  <si>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</si>
  <si>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</si>
  <si>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</si>
  <si>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</si>
  <si>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</si>
  <si>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</si>
  <si>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</si>
  <si>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</si>
  <si>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</si>
  <si>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</si>
  <si>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</si>
  <si>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</si>
  <si>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</si>
  <si>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</si>
  <si>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</si>
  <si>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</si>
  <si>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</si>
  <si>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</si>
  <si>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</si>
  <si>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</si>
  <si>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</si>
  <si>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</si>
  <si>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</si>
  <si>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</si>
  <si>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</si>
  <si>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</si>
  <si>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</si>
  <si>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</si>
  <si>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</si>
  <si>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</si>
  <si>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</si>
  <si>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</si>
  <si>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</si>
  <si>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</si>
  <si>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</si>
  <si>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</si>
  <si>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</si>
  <si>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</si>
  <si>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</si>
  <si>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</si>
  <si>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</si>
  <si>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</si>
  <si>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</si>
  <si>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</si>
  <si>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</si>
  <si>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</si>
  <si>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</si>
  <si>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</si>
  <si>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</si>
  <si>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</si>
  <si>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</si>
  <si>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</si>
  <si>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</si>
  <si>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</si>
  <si>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</si>
  <si>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</si>
  <si>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</si>
  <si>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</si>
  <si>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</si>
  <si>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</si>
  <si>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</si>
  <si>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</si>
  <si>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</si>
  <si>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</si>
  <si>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</si>
  <si>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</si>
  <si>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</si>
  <si>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</si>
  <si>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</si>
  <si>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</si>
  <si>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</si>
  <si>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</si>
  <si>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</si>
  <si>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</si>
  <si>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</si>
  <si>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</si>
  <si>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</si>
  <si>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</si>
  <si>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</si>
  <si>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</si>
  <si>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</si>
  <si>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</si>
  <si>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</si>
  <si>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</si>
  <si>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</si>
  <si>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</si>
  <si>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</si>
  <si>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</si>
  <si>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</si>
  <si>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</si>
  <si>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</si>
  <si>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</si>
  <si>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</si>
  <si>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</si>
  <si>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</si>
  <si>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</si>
  <si>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</si>
  <si>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</si>
  <si>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</si>
  <si>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</si>
  <si>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</si>
  <si>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</si>
  <si>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</si>
  <si>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</si>
  <si>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</si>
  <si>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</si>
  <si>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</si>
  <si>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</si>
  <si>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</si>
  <si>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</si>
  <si>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facas quebrou</t>
  </si>
  <si>
    <t>12 viagens com caminhão</t>
  </si>
  <si>
    <t>troca de pino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</si>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</sst>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 x14ac:knownFonts="1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microsoft.com/office/2017/10/relationships/person" Target="persons/perso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546875" defaultRowHeight="14.4" x14ac:dyDescent="0.3"/>
  <cols>
    <col min="1" max="1" width="17.5546875" customWidth="1"/>
    <col min="2" max="2" width="21" style="70" customWidth="1"/>
    <col min="3" max="3" width="19.5546875" customWidth="1"/>
    <col min="4" max="4" width="23.5546875" customWidth="1"/>
    <col min="5" max="5" width="26" customWidth="1"/>
    <col min="6" max="6" width="26.44140625" customWidth="1"/>
    <col min="7" max="7" width="32" customWidth="1"/>
  </cols>
  <sheetData>
    <row r="1" spans="1:7" ht="31.5" customHeight="1" x14ac:dyDescent="0.3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 x14ac:dyDescent="0.3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 x14ac:dyDescent="0.3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 x14ac:dyDescent="0.3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 x14ac:dyDescent="0.3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 x14ac:dyDescent="0.3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 x14ac:dyDescent="0.3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 x14ac:dyDescent="0.3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 x14ac:dyDescent="0.3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 x14ac:dyDescent="0.3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 x14ac:dyDescent="0.3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 x14ac:dyDescent="0.3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 x14ac:dyDescent="0.3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1486920</v>
      </c>
      <c r="G13" s="12">
        <f t="shared" si="0"/>
        <v>3994580</v>
      </c>
    </row>
    <row r="14" spans="1:7" ht="15.75" customHeight="1" x14ac:dyDescent="0.3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 x14ac:dyDescent="0.3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 x14ac:dyDescent="0.3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 x14ac:dyDescent="0.3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 x14ac:dyDescent="0.3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 x14ac:dyDescent="0.3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 x14ac:dyDescent="0.3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 x14ac:dyDescent="0.3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 x14ac:dyDescent="0.3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 x14ac:dyDescent="0.3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 x14ac:dyDescent="0.3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 x14ac:dyDescent="0.3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 x14ac:dyDescent="0.3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 x14ac:dyDescent="0.3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 x14ac:dyDescent="0.3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 x14ac:dyDescent="0.3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 x14ac:dyDescent="0.3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 x14ac:dyDescent="0.3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 x14ac:dyDescent="0.3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 x14ac:dyDescent="0.3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 x14ac:dyDescent="0.3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 x14ac:dyDescent="0.3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13886140</v>
      </c>
      <c r="G35" s="13">
        <f>IFERROR(SUM(G4:G34),"")</f>
        <v>30606840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546875" defaultRowHeight="14.4" x14ac:dyDescent="0.3"/>
  <cols>
    <col min="1" max="1" width="14" customWidth="1"/>
    <col min="2" max="2" width="2" customWidth="1"/>
    <col min="3" max="3" width="17.554687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09375" customWidth="1"/>
    <col min="10" max="10" width="45.44140625" customWidth="1"/>
    <col min="11" max="11" width="42.109375" customWidth="1"/>
    <col min="12" max="12" width="36" customWidth="1"/>
    <col min="13" max="13" width="45.88671875" customWidth="1"/>
  </cols>
  <sheetData>
    <row r="1" spans="1:13" ht="27.75" customHeight="1" x14ac:dyDescent="0.3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 x14ac:dyDescent="0.3">
      <c r="H2" s="113"/>
    </row>
    <row r="3" spans="1:13" ht="21.75" customHeight="1" x14ac:dyDescent="0.3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 x14ac:dyDescent="0.3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 x14ac:dyDescent="0.3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 x14ac:dyDescent="0.3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 x14ac:dyDescent="0.3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 x14ac:dyDescent="0.3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 x14ac:dyDescent="0.3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 x14ac:dyDescent="0.3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 x14ac:dyDescent="0.3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 x14ac:dyDescent="0.3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 x14ac:dyDescent="0.3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 x14ac:dyDescent="0.3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 x14ac:dyDescent="0.3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 x14ac:dyDescent="0.3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 x14ac:dyDescent="0.3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 x14ac:dyDescent="0.3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 x14ac:dyDescent="0.3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 x14ac:dyDescent="0.3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 x14ac:dyDescent="0.3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 x14ac:dyDescent="0.3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 x14ac:dyDescent="0.3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 x14ac:dyDescent="0.3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 x14ac:dyDescent="0.3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 x14ac:dyDescent="0.3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 x14ac:dyDescent="0.3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 x14ac:dyDescent="0.3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 x14ac:dyDescent="0.3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 x14ac:dyDescent="0.3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 x14ac:dyDescent="0.3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 x14ac:dyDescent="0.3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 x14ac:dyDescent="0.3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 x14ac:dyDescent="0.3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 x14ac:dyDescent="0.3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 x14ac:dyDescent="0.3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 x14ac:dyDescent="0.3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 x14ac:dyDescent="0.3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 x14ac:dyDescent="0.3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 x14ac:dyDescent="0.3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 x14ac:dyDescent="0.3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 x14ac:dyDescent="0.3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 x14ac:dyDescent="0.3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 x14ac:dyDescent="0.3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 x14ac:dyDescent="0.3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 x14ac:dyDescent="0.3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 x14ac:dyDescent="0.3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 x14ac:dyDescent="0.3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 x14ac:dyDescent="0.3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 x14ac:dyDescent="0.3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 x14ac:dyDescent="0.3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 x14ac:dyDescent="0.3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 x14ac:dyDescent="0.3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 x14ac:dyDescent="0.3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 x14ac:dyDescent="0.3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 x14ac:dyDescent="0.3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 x14ac:dyDescent="0.3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 x14ac:dyDescent="0.3">
      <c r="H58" s="113"/>
      <c r="I58" s="16"/>
      <c r="J58" s="16"/>
      <c r="K58" s="16" t="s">
        <v>208</v>
      </c>
      <c r="L58" s="16"/>
      <c r="M58" s="16"/>
    </row>
    <row r="59" spans="1:13" ht="15" customHeight="1" x14ac:dyDescent="0.3">
      <c r="H59" s="113"/>
      <c r="I59" s="17"/>
      <c r="J59" s="17"/>
      <c r="K59" s="17" t="s">
        <v>209</v>
      </c>
      <c r="L59" s="17"/>
      <c r="M59" s="17"/>
    </row>
    <row r="60" spans="1:13" ht="15" customHeight="1" x14ac:dyDescent="0.3">
      <c r="H60" s="113"/>
      <c r="I60" s="16"/>
      <c r="J60" s="16"/>
      <c r="K60" s="86" t="s">
        <v>105</v>
      </c>
      <c r="L60" s="16"/>
      <c r="M60" s="16"/>
    </row>
    <row r="61" spans="1:13" ht="15" customHeight="1" x14ac:dyDescent="0.3">
      <c r="H61" s="113"/>
      <c r="I61" s="17"/>
      <c r="J61" s="17"/>
      <c r="K61" s="17" t="s">
        <v>210</v>
      </c>
      <c r="L61" s="17"/>
      <c r="M61" s="17"/>
    </row>
    <row r="62" spans="1:13" ht="15" customHeight="1" x14ac:dyDescent="0.3">
      <c r="H62" s="113"/>
      <c r="I62" s="16"/>
      <c r="J62" s="16"/>
      <c r="K62" s="16" t="s">
        <v>211</v>
      </c>
      <c r="L62" s="16"/>
      <c r="M62" s="16"/>
    </row>
    <row r="63" spans="1:13" ht="15" customHeight="1" x14ac:dyDescent="0.3">
      <c r="H63" s="113"/>
      <c r="I63" s="17"/>
      <c r="J63" s="17"/>
      <c r="K63" s="17" t="s">
        <v>212</v>
      </c>
      <c r="L63" s="17"/>
      <c r="M63" s="17"/>
    </row>
    <row r="64" spans="1:13" ht="15" customHeight="1" x14ac:dyDescent="0.3">
      <c r="H64" s="113"/>
      <c r="I64" s="16"/>
      <c r="J64" s="16"/>
      <c r="K64" s="16" t="s">
        <v>213</v>
      </c>
      <c r="L64" s="16"/>
      <c r="M64" s="16"/>
    </row>
    <row r="65" spans="8:13" ht="15" customHeight="1" x14ac:dyDescent="0.3">
      <c r="H65" s="113"/>
      <c r="I65" s="17"/>
      <c r="J65" s="17"/>
      <c r="K65" s="17" t="s">
        <v>214</v>
      </c>
      <c r="L65" s="17"/>
      <c r="M65" s="17"/>
    </row>
    <row r="66" spans="8:13" ht="15" customHeight="1" x14ac:dyDescent="0.3">
      <c r="H66" s="113"/>
      <c r="I66" s="16"/>
      <c r="J66" s="16"/>
      <c r="K66" s="16" t="s">
        <v>215</v>
      </c>
      <c r="L66" s="16"/>
      <c r="M66" s="16"/>
    </row>
    <row r="67" spans="8:13" ht="15" customHeight="1" x14ac:dyDescent="0.3">
      <c r="H67" s="113"/>
      <c r="I67" s="17"/>
      <c r="J67" s="17"/>
      <c r="K67" s="17" t="s">
        <v>216</v>
      </c>
      <c r="L67" s="17"/>
      <c r="M67" s="17"/>
    </row>
    <row r="68" spans="8:13" ht="15" customHeight="1" x14ac:dyDescent="0.3">
      <c r="H68" s="113"/>
      <c r="I68" s="16"/>
      <c r="J68" s="16"/>
      <c r="K68" s="16" t="s">
        <v>217</v>
      </c>
      <c r="L68" s="16"/>
      <c r="M68" s="16"/>
    </row>
    <row r="69" spans="8:13" ht="15" customHeight="1" x14ac:dyDescent="0.3">
      <c r="H69" s="113"/>
      <c r="I69" s="17"/>
      <c r="J69" s="17"/>
      <c r="K69" s="17" t="s">
        <v>218</v>
      </c>
      <c r="L69" s="17"/>
      <c r="M69" s="17"/>
    </row>
    <row r="70" spans="8:13" ht="15" customHeight="1" x14ac:dyDescent="0.3">
      <c r="H70" s="113"/>
      <c r="I70" s="16"/>
      <c r="J70" s="16"/>
      <c r="K70" s="16" t="s">
        <v>219</v>
      </c>
      <c r="L70" s="16"/>
      <c r="M70" s="16"/>
    </row>
    <row r="71" spans="8:13" ht="15" customHeight="1" x14ac:dyDescent="0.3">
      <c r="H71" s="113"/>
      <c r="I71" s="17"/>
      <c r="J71" s="17"/>
      <c r="K71" s="17" t="s">
        <v>220</v>
      </c>
      <c r="L71" s="17"/>
      <c r="M71" s="17"/>
    </row>
    <row r="72" spans="8:13" ht="15" customHeight="1" x14ac:dyDescent="0.3">
      <c r="H72" s="113"/>
      <c r="I72" s="16"/>
      <c r="J72" s="16"/>
      <c r="K72" s="16" t="s">
        <v>221</v>
      </c>
      <c r="L72" s="16"/>
      <c r="M72" s="16"/>
    </row>
    <row r="73" spans="8:13" ht="15" customHeight="1" x14ac:dyDescent="0.3">
      <c r="H73" s="113"/>
      <c r="I73" s="17"/>
      <c r="J73" s="17"/>
      <c r="K73" s="17" t="s">
        <v>222</v>
      </c>
      <c r="L73" s="17"/>
      <c r="M73" s="17"/>
    </row>
    <row r="74" spans="8:13" ht="15" customHeight="1" x14ac:dyDescent="0.3">
      <c r="H74" s="113"/>
      <c r="I74" s="16"/>
      <c r="J74" s="16"/>
      <c r="K74" s="16" t="s">
        <v>223</v>
      </c>
      <c r="L74" s="16"/>
      <c r="M74" s="16"/>
    </row>
    <row r="75" spans="8:13" ht="15" customHeight="1" x14ac:dyDescent="0.3">
      <c r="H75" s="113"/>
      <c r="I75" s="17"/>
      <c r="J75" s="17"/>
      <c r="K75" s="17"/>
      <c r="L75" s="17"/>
      <c r="M75" s="17"/>
    </row>
    <row r="76" spans="8:13" ht="15" customHeight="1" x14ac:dyDescent="0.3"/>
    <row r="77" spans="8:13" ht="15" customHeight="1" x14ac:dyDescent="0.3"/>
    <row r="78" spans="8:13" ht="15" customHeight="1" x14ac:dyDescent="0.3"/>
    <row r="79" spans="8:13" ht="15" customHeight="1" x14ac:dyDescent="0.3"/>
    <row r="80" spans="8:13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tabSelected="1" zoomScale="60" zoomScaleNormal="60" workbookViewId="0">
      <pane ySplit="1" topLeftCell="A237" activePane="bottomLeft" state="frozen"/>
      <selection pane="bottomLeft" activeCell="F255" sqref="F255"/>
    </sheetView>
  </sheetViews>
  <sheetFormatPr defaultColWidth="8.5546875" defaultRowHeight="14.4" x14ac:dyDescent="0.3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09375" style="20" customWidth="1"/>
    <col min="9" max="9" width="23.44140625" style="20" customWidth="1"/>
    <col min="10" max="10" width="43.109375" style="20" customWidth="1"/>
    <col min="11" max="11" width="14" style="20" customWidth="1"/>
    <col min="12" max="12" width="13.109375" style="21" customWidth="1"/>
    <col min="13" max="13" width="14" style="20" customWidth="1"/>
    <col min="14" max="14" width="43.55468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 x14ac:dyDescent="0.3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 x14ac:dyDescent="0.3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 x14ac:dyDescent="0.3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 x14ac:dyDescent="0.3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 x14ac:dyDescent="0.3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 x14ac:dyDescent="0.3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 x14ac:dyDescent="0.3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 x14ac:dyDescent="0.3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 x14ac:dyDescent="0.3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 x14ac:dyDescent="0.3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 x14ac:dyDescent="0.3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 x14ac:dyDescent="0.3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5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5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 x14ac:dyDescent="0.3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321</v>
      </c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322</v>
      </c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323</v>
      </c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 x14ac:dyDescent="0.3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34" activePane="bottomLeft" state="frozen"/>
      <selection pane="bottomLeft" activeCell="F255" sqref="F255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.109375" style="20" customWidth="1"/>
    <col min="6" max="6" width="13" style="20" customWidth="1"/>
    <col min="7" max="7" width="14" style="20" customWidth="1"/>
    <col min="8" max="8" width="29.44140625" style="20" customWidth="1"/>
    <col min="9" max="9" width="29.33203125" style="20" customWidth="1"/>
    <col min="10" max="10" width="48.5546875" style="20" customWidth="1"/>
    <col min="11" max="11" width="15.44140625" style="20" customWidth="1"/>
    <col min="12" max="12" width="12" style="21" customWidth="1"/>
    <col min="13" max="13" width="15.5546875" style="20" customWidth="1"/>
    <col min="14" max="14" width="48.5546875" style="20" customWidth="1"/>
    <col min="15" max="15" width="20" customWidth="1"/>
    <col min="16" max="16" width="20.109375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254</v>
      </c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255</v>
      </c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256</v>
      </c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257</v>
      </c>
      <c r="O19" s="31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258</v>
      </c>
      <c r="O20" s="31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 x14ac:dyDescent="0.3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 x14ac:dyDescent="0.3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 x14ac:dyDescent="0.3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 x14ac:dyDescent="0.3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 x14ac:dyDescent="0.3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 x14ac:dyDescent="0.3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259</v>
      </c>
      <c r="O48" s="31"/>
    </row>
    <row r="49" spans="1:15" ht="15" customHeight="1" x14ac:dyDescent="0.3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260</v>
      </c>
      <c r="O49" s="31"/>
    </row>
    <row r="50" spans="1:15" ht="15" customHeight="1" x14ac:dyDescent="0.3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 x14ac:dyDescent="0.3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 x14ac:dyDescent="0.3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261</v>
      </c>
      <c r="O52" s="31"/>
    </row>
    <row r="53" spans="1:15" ht="15" customHeight="1" x14ac:dyDescent="0.3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0.17628229166439269</v>
      </c>
      <c r="N53" s="46" t="s">
        <v>262</v>
      </c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0.31517118055328158</v>
      </c>
      <c r="N54" s="36" t="s">
        <v>236</v>
      </c>
      <c r="O54" s="84">
        <v>352430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0.39989340277550389</v>
      </c>
      <c r="N55" s="40" t="s">
        <v>240</v>
      </c>
      <c r="O55" s="82">
        <f>IFERROR(O41+O54,"")</f>
        <v>663500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254</v>
      </c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 x14ac:dyDescent="0.4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 x14ac:dyDescent="0.3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 x14ac:dyDescent="0.3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 x14ac:dyDescent="0.3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 x14ac:dyDescent="0.3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 x14ac:dyDescent="0.3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 x14ac:dyDescent="0.3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 x14ac:dyDescent="0.3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263</v>
      </c>
      <c r="O76" s="31"/>
    </row>
    <row r="77" spans="1:15" ht="15" customHeight="1" x14ac:dyDescent="0.3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 x14ac:dyDescent="0.3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 x14ac:dyDescent="0.3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 x14ac:dyDescent="0.3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 x14ac:dyDescent="0.4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20" t="s">
        <v>264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 x14ac:dyDescent="0.4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265</v>
      </c>
      <c r="M96" s="30" t="str">
        <f t="shared" ref="M96:M107" ca="1" si="22">IFERROR(IF(K96="","",IF(L96="",MOD(NOW()-K96,1),IF(L96&gt;=K96,L96-K96,L96+1-K96))),"")</f>
        <v/>
      </c>
      <c r="N96" s="46" t="s">
        <v>266</v>
      </c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267</v>
      </c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268</v>
      </c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 x14ac:dyDescent="0.4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269</v>
      </c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 x14ac:dyDescent="0.4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 x14ac:dyDescent="0.4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 x14ac:dyDescent="0.3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8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 x14ac:dyDescent="0.3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270</v>
      </c>
      <c r="O139" s="31"/>
    </row>
    <row r="140" spans="1:15" ht="15" customHeight="1" x14ac:dyDescent="0.3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 x14ac:dyDescent="0.3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271</v>
      </c>
      <c r="O141" s="31"/>
    </row>
    <row r="142" spans="1:15" ht="15" customHeight="1" x14ac:dyDescent="0.3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 x14ac:dyDescent="0.3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 x14ac:dyDescent="0.3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 x14ac:dyDescent="0.3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272</v>
      </c>
      <c r="O145" s="31"/>
    </row>
    <row r="146" spans="1:15" ht="15" customHeight="1" x14ac:dyDescent="0.3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 x14ac:dyDescent="0.3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 x14ac:dyDescent="0.3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 x14ac:dyDescent="0.4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273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 x14ac:dyDescent="0.4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274</v>
      </c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271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275</v>
      </c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276</v>
      </c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269</v>
      </c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263</v>
      </c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277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278</v>
      </c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279</v>
      </c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 x14ac:dyDescent="0.3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 t="s">
        <v>20</v>
      </c>
      <c r="I272" s="26" t="s">
        <v>31</v>
      </c>
      <c r="J272" s="26" t="s">
        <v>56</v>
      </c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6.1434027811628766E-3</v>
      </c>
      <c r="N272" s="46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6.1434027811628766E-3</v>
      </c>
      <c r="N284" s="36" t="s">
        <v>236</v>
      </c>
      <c r="O284" s="77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6.1434027811628766E-3</v>
      </c>
      <c r="N298" s="40" t="s">
        <v>240</v>
      </c>
      <c r="O298" s="83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 x14ac:dyDescent="0.3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 x14ac:dyDescent="0.3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 x14ac:dyDescent="0.3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 x14ac:dyDescent="0.3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29" zoomScale="50" zoomScaleNormal="50" workbookViewId="0">
      <selection activeCell="F255" sqref="F255"/>
    </sheetView>
  </sheetViews>
  <sheetFormatPr defaultColWidth="8.5546875" defaultRowHeight="14.4" x14ac:dyDescent="0.3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546875" style="20" customWidth="1"/>
    <col min="9" max="9" width="30.44140625" style="20" customWidth="1"/>
    <col min="10" max="10" width="46.44140625" style="20" customWidth="1"/>
    <col min="11" max="11" width="12" style="20" customWidth="1"/>
    <col min="12" max="12" width="16.44140625" style="21" customWidth="1"/>
    <col min="13" max="13" width="14" style="20" customWidth="1"/>
    <col min="14" max="14" width="57.109375" style="20" customWidth="1"/>
    <col min="15" max="15" width="14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 x14ac:dyDescent="0.3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280</v>
      </c>
      <c r="O15" s="31"/>
    </row>
    <row r="16" spans="1:15" ht="15" customHeight="1" x14ac:dyDescent="0.3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 x14ac:dyDescent="0.3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 x14ac:dyDescent="0.3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257</v>
      </c>
      <c r="O18" s="31"/>
    </row>
    <row r="19" spans="1:15" ht="15" customHeight="1" x14ac:dyDescent="0.3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281</v>
      </c>
      <c r="O19" s="31"/>
    </row>
    <row r="20" spans="1:15" ht="15" customHeight="1" x14ac:dyDescent="0.3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 x14ac:dyDescent="0.3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 x14ac:dyDescent="0.3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 x14ac:dyDescent="0.3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 x14ac:dyDescent="0.3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 x14ac:dyDescent="0.3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 x14ac:dyDescent="0.3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 x14ac:dyDescent="0.3">
      <c r="A41" s="103" t="s">
        <v>235</v>
      </c>
      <c r="B41" s="104"/>
      <c r="C41" s="104"/>
      <c r="D41" s="104"/>
      <c r="E41" s="105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263</v>
      </c>
      <c r="O42" s="31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280</v>
      </c>
      <c r="O43" s="31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280</v>
      </c>
      <c r="O50" s="31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282</v>
      </c>
      <c r="O62" s="31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283</v>
      </c>
      <c r="O69" s="31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284</v>
      </c>
      <c r="O83" s="31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285</v>
      </c>
      <c r="O84" s="31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286</v>
      </c>
      <c r="O97" s="31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287</v>
      </c>
      <c r="O125" s="31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288</v>
      </c>
      <c r="O137" s="31"/>
    </row>
    <row r="138" spans="1:15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272</v>
      </c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103" t="s">
        <v>235</v>
      </c>
      <c r="B149" s="104"/>
      <c r="C149" s="104"/>
      <c r="D149" s="104"/>
      <c r="E149" s="105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263</v>
      </c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289</v>
      </c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290</v>
      </c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275</v>
      </c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275</v>
      </c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291</v>
      </c>
      <c r="O205" s="47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292</v>
      </c>
      <c r="O221" s="47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293</v>
      </c>
      <c r="M222" s="30" t="str">
        <f t="shared" ca="1" si="49"/>
        <v/>
      </c>
      <c r="N222" s="27" t="s">
        <v>294</v>
      </c>
      <c r="O222" s="47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 x14ac:dyDescent="0.3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295</v>
      </c>
      <c r="O245" s="47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 x14ac:dyDescent="0.3">
      <c r="A257" s="103" t="s">
        <v>235</v>
      </c>
      <c r="B257" s="104"/>
      <c r="C257" s="104"/>
      <c r="D257" s="104"/>
      <c r="E257" s="105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263</v>
      </c>
      <c r="O258" s="47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0.10336562500015134</v>
      </c>
      <c r="N259" s="27"/>
      <c r="O259" s="47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0.1651711805557069</v>
      </c>
      <c r="N270" s="36" t="s">
        <v>236</v>
      </c>
      <c r="O270" s="39">
        <v>327900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0.22628229166681807</v>
      </c>
      <c r="N271" s="40" t="s">
        <v>240</v>
      </c>
      <c r="O271" s="48">
        <f>IFERROR(O257+O270,"")</f>
        <v>877340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 x14ac:dyDescent="0.3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 x14ac:dyDescent="0.3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 x14ac:dyDescent="0.3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 x14ac:dyDescent="0.3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 x14ac:dyDescent="0.3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 x14ac:dyDescent="0.3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 x14ac:dyDescent="0.3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 x14ac:dyDescent="0.3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 x14ac:dyDescent="0.3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 x14ac:dyDescent="0.3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 x14ac:dyDescent="0.3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 x14ac:dyDescent="0.3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 x14ac:dyDescent="0.3">
      <c r="A365" s="103" t="s">
        <v>235</v>
      </c>
      <c r="B365" s="104"/>
      <c r="C365" s="104"/>
      <c r="D365" s="104"/>
      <c r="E365" s="105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 x14ac:dyDescent="0.3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 x14ac:dyDescent="0.3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 x14ac:dyDescent="0.3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 x14ac:dyDescent="0.3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 x14ac:dyDescent="0.3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 x14ac:dyDescent="0.3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 x14ac:dyDescent="0.3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 x14ac:dyDescent="0.3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 x14ac:dyDescent="0.3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 x14ac:dyDescent="0.3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 x14ac:dyDescent="0.3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 x14ac:dyDescent="0.3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 x14ac:dyDescent="0.3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 x14ac:dyDescent="0.3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 x14ac:dyDescent="0.3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 x14ac:dyDescent="0.3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 x14ac:dyDescent="0.3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 x14ac:dyDescent="0.3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 x14ac:dyDescent="0.3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 x14ac:dyDescent="0.3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 x14ac:dyDescent="0.3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 x14ac:dyDescent="0.3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 x14ac:dyDescent="0.3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 x14ac:dyDescent="0.3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43" activePane="bottomLeft" state="frozen"/>
      <selection pane="bottomLeft" activeCell="O271" sqref="O271"/>
    </sheetView>
  </sheetViews>
  <sheetFormatPr defaultColWidth="8.5546875" defaultRowHeight="14.4" x14ac:dyDescent="0.3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09375" style="57" customWidth="1"/>
    <col min="10" max="10" width="42.33203125" style="57" customWidth="1"/>
    <col min="11" max="11" width="18.44140625" style="57" customWidth="1"/>
    <col min="12" max="12" width="14" style="58" customWidth="1"/>
    <col min="13" max="13" width="14" style="57" customWidth="1"/>
    <col min="14" max="14" width="64.88671875" style="57" customWidth="1"/>
    <col min="15" max="15" width="14" customWidth="1"/>
    <col min="16" max="16" width="9.44140625" bestFit="1" customWidth="1"/>
  </cols>
  <sheetData>
    <row r="1" spans="1:15" ht="37.5" customHeight="1" x14ac:dyDescent="0.3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 x14ac:dyDescent="0.3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 x14ac:dyDescent="0.3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 x14ac:dyDescent="0.3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 x14ac:dyDescent="0.3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 x14ac:dyDescent="0.3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 x14ac:dyDescent="0.3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 x14ac:dyDescent="0.3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 x14ac:dyDescent="0.3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 x14ac:dyDescent="0.3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 x14ac:dyDescent="0.3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 x14ac:dyDescent="0.3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 x14ac:dyDescent="0.3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 x14ac:dyDescent="0.3">
      <c r="A14" s="103" t="s">
        <v>235</v>
      </c>
      <c r="B14" s="104"/>
      <c r="C14" s="104"/>
      <c r="D14" s="104"/>
      <c r="E14" s="105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 x14ac:dyDescent="0.3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 x14ac:dyDescent="0.3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296</v>
      </c>
      <c r="O16" s="60"/>
    </row>
    <row r="17" spans="1:15" ht="15" customHeight="1" x14ac:dyDescent="0.3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260</v>
      </c>
      <c r="O17" s="60"/>
    </row>
    <row r="18" spans="1:15" ht="15" customHeight="1" x14ac:dyDescent="0.3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280</v>
      </c>
      <c r="O18" s="60"/>
    </row>
    <row r="19" spans="1:15" ht="15" customHeight="1" x14ac:dyDescent="0.3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297</v>
      </c>
      <c r="O19" s="60"/>
    </row>
    <row r="20" spans="1:15" ht="15" customHeight="1" x14ac:dyDescent="0.3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 x14ac:dyDescent="0.3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 x14ac:dyDescent="0.3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298</v>
      </c>
      <c r="O22" s="60"/>
    </row>
    <row r="23" spans="1:15" ht="15" customHeight="1" x14ac:dyDescent="0.3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 x14ac:dyDescent="0.3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 x14ac:dyDescent="0.3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 x14ac:dyDescent="0.3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 x14ac:dyDescent="0.3">
      <c r="A27" s="103" t="s">
        <v>238</v>
      </c>
      <c r="B27" s="104"/>
      <c r="C27" s="104"/>
      <c r="D27" s="104"/>
      <c r="E27" s="105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 x14ac:dyDescent="0.3">
      <c r="A28" s="106" t="s">
        <v>239</v>
      </c>
      <c r="B28" s="107"/>
      <c r="C28" s="107"/>
      <c r="D28" s="107"/>
      <c r="E28" s="108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 x14ac:dyDescent="0.3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 x14ac:dyDescent="0.3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 x14ac:dyDescent="0.3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 x14ac:dyDescent="0.3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 x14ac:dyDescent="0.3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 x14ac:dyDescent="0.3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 x14ac:dyDescent="0.3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 x14ac:dyDescent="0.3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 x14ac:dyDescent="0.3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 x14ac:dyDescent="0.3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 x14ac:dyDescent="0.3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 x14ac:dyDescent="0.3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 x14ac:dyDescent="0.3">
      <c r="A41" s="103" t="s">
        <v>235</v>
      </c>
      <c r="B41" s="104"/>
      <c r="C41" s="104"/>
      <c r="D41" s="104"/>
      <c r="E41" s="105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 x14ac:dyDescent="0.3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 x14ac:dyDescent="0.3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 x14ac:dyDescent="0.3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 x14ac:dyDescent="0.3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299</v>
      </c>
      <c r="O45" s="60"/>
    </row>
    <row r="46" spans="1:15" ht="15" customHeight="1" x14ac:dyDescent="0.3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 x14ac:dyDescent="0.3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 x14ac:dyDescent="0.3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 x14ac:dyDescent="0.3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 x14ac:dyDescent="0.3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 x14ac:dyDescent="0.3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 x14ac:dyDescent="0.3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 x14ac:dyDescent="0.3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 x14ac:dyDescent="0.3">
      <c r="A54" s="103" t="s">
        <v>238</v>
      </c>
      <c r="B54" s="104"/>
      <c r="C54" s="104"/>
      <c r="D54" s="104"/>
      <c r="E54" s="105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 x14ac:dyDescent="0.3">
      <c r="A55" s="106" t="s">
        <v>239</v>
      </c>
      <c r="B55" s="107"/>
      <c r="C55" s="107"/>
      <c r="D55" s="107"/>
      <c r="E55" s="108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 x14ac:dyDescent="0.3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 x14ac:dyDescent="0.3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 x14ac:dyDescent="0.3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 x14ac:dyDescent="0.3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300</v>
      </c>
      <c r="O59" s="60"/>
    </row>
    <row r="60" spans="1:15" ht="15" customHeight="1" x14ac:dyDescent="0.3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301</v>
      </c>
      <c r="O60" s="60"/>
    </row>
    <row r="61" spans="1:15" ht="15" customHeight="1" x14ac:dyDescent="0.3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 x14ac:dyDescent="0.3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 x14ac:dyDescent="0.3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 x14ac:dyDescent="0.3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 x14ac:dyDescent="0.3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 x14ac:dyDescent="0.3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 x14ac:dyDescent="0.3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 x14ac:dyDescent="0.3">
      <c r="A68" s="103" t="s">
        <v>235</v>
      </c>
      <c r="B68" s="104"/>
      <c r="C68" s="104"/>
      <c r="D68" s="104"/>
      <c r="E68" s="105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 x14ac:dyDescent="0.3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302</v>
      </c>
      <c r="O69" s="60"/>
    </row>
    <row r="70" spans="1:15" ht="15" customHeight="1" x14ac:dyDescent="0.3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 x14ac:dyDescent="0.3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 x14ac:dyDescent="0.3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280</v>
      </c>
      <c r="O72" s="60"/>
    </row>
    <row r="73" spans="1:15" ht="15" customHeight="1" x14ac:dyDescent="0.3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 x14ac:dyDescent="0.3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 x14ac:dyDescent="0.3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 x14ac:dyDescent="0.3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 x14ac:dyDescent="0.3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 x14ac:dyDescent="0.3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 x14ac:dyDescent="0.3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 x14ac:dyDescent="0.3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 x14ac:dyDescent="0.3">
      <c r="A81" s="103" t="s">
        <v>238</v>
      </c>
      <c r="B81" s="104"/>
      <c r="C81" s="104"/>
      <c r="D81" s="104"/>
      <c r="E81" s="105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 x14ac:dyDescent="0.3">
      <c r="A82" s="106" t="s">
        <v>239</v>
      </c>
      <c r="B82" s="107"/>
      <c r="C82" s="107"/>
      <c r="D82" s="107"/>
      <c r="E82" s="108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 x14ac:dyDescent="0.3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 x14ac:dyDescent="0.3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 x14ac:dyDescent="0.3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 x14ac:dyDescent="0.3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 x14ac:dyDescent="0.3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 x14ac:dyDescent="0.3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 x14ac:dyDescent="0.3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 x14ac:dyDescent="0.3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 x14ac:dyDescent="0.3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 x14ac:dyDescent="0.3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 x14ac:dyDescent="0.3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 x14ac:dyDescent="0.3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 x14ac:dyDescent="0.3">
      <c r="A95" s="103" t="s">
        <v>235</v>
      </c>
      <c r="B95" s="104"/>
      <c r="C95" s="104"/>
      <c r="D95" s="104"/>
      <c r="E95" s="105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 x14ac:dyDescent="0.3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 x14ac:dyDescent="0.3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280</v>
      </c>
      <c r="O97" s="60"/>
    </row>
    <row r="98" spans="1:15" ht="15" customHeight="1" x14ac:dyDescent="0.3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 x14ac:dyDescent="0.3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 x14ac:dyDescent="0.3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 x14ac:dyDescent="0.3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 x14ac:dyDescent="0.3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 x14ac:dyDescent="0.3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 x14ac:dyDescent="0.3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 x14ac:dyDescent="0.3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 x14ac:dyDescent="0.3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 x14ac:dyDescent="0.3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 x14ac:dyDescent="0.3">
      <c r="A108" s="103" t="s">
        <v>238</v>
      </c>
      <c r="B108" s="104"/>
      <c r="C108" s="104"/>
      <c r="D108" s="104"/>
      <c r="E108" s="105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 x14ac:dyDescent="0.3">
      <c r="A109" s="106" t="s">
        <v>239</v>
      </c>
      <c r="B109" s="107"/>
      <c r="C109" s="107"/>
      <c r="D109" s="107"/>
      <c r="E109" s="108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 x14ac:dyDescent="0.3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 x14ac:dyDescent="0.3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 x14ac:dyDescent="0.3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 x14ac:dyDescent="0.3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 x14ac:dyDescent="0.3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303</v>
      </c>
      <c r="O114" s="60"/>
    </row>
    <row r="115" spans="1:15" ht="15" customHeight="1" x14ac:dyDescent="0.3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 x14ac:dyDescent="0.3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 x14ac:dyDescent="0.3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 x14ac:dyDescent="0.3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 x14ac:dyDescent="0.3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 x14ac:dyDescent="0.3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 x14ac:dyDescent="0.3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 x14ac:dyDescent="0.3">
      <c r="A122" s="103" t="s">
        <v>235</v>
      </c>
      <c r="B122" s="104"/>
      <c r="C122" s="104"/>
      <c r="D122" s="104"/>
      <c r="E122" s="105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 x14ac:dyDescent="0.3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 x14ac:dyDescent="0.3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304</v>
      </c>
      <c r="O124" s="60"/>
    </row>
    <row r="125" spans="1:15" ht="15" customHeight="1" x14ac:dyDescent="0.3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 x14ac:dyDescent="0.3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 x14ac:dyDescent="0.3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263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 x14ac:dyDescent="0.3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 x14ac:dyDescent="0.3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280</v>
      </c>
      <c r="O129" s="60"/>
    </row>
    <row r="130" spans="1:18" ht="15" customHeight="1" x14ac:dyDescent="0.3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 x14ac:dyDescent="0.3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 x14ac:dyDescent="0.3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 x14ac:dyDescent="0.3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 x14ac:dyDescent="0.3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 x14ac:dyDescent="0.3">
      <c r="A135" s="103" t="s">
        <v>238</v>
      </c>
      <c r="B135" s="104"/>
      <c r="C135" s="104"/>
      <c r="D135" s="104"/>
      <c r="E135" s="105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 x14ac:dyDescent="0.3">
      <c r="A136" s="106" t="s">
        <v>239</v>
      </c>
      <c r="B136" s="107"/>
      <c r="C136" s="107"/>
      <c r="D136" s="107"/>
      <c r="E136" s="108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 x14ac:dyDescent="0.3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 x14ac:dyDescent="0.3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305</v>
      </c>
      <c r="O138" s="31"/>
    </row>
    <row r="139" spans="1:18" ht="15" customHeight="1" x14ac:dyDescent="0.3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306</v>
      </c>
      <c r="O139" s="31"/>
    </row>
    <row r="140" spans="1:18" ht="15" customHeight="1" x14ac:dyDescent="0.3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 x14ac:dyDescent="0.3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 x14ac:dyDescent="0.3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 x14ac:dyDescent="0.3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 x14ac:dyDescent="0.3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 x14ac:dyDescent="0.3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 x14ac:dyDescent="0.3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272</v>
      </c>
      <c r="O146" s="31"/>
    </row>
    <row r="147" spans="1:15" ht="15" customHeight="1" x14ac:dyDescent="0.3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 x14ac:dyDescent="0.3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 x14ac:dyDescent="0.3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 x14ac:dyDescent="0.3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307</v>
      </c>
      <c r="O150" s="31"/>
    </row>
    <row r="151" spans="1:15" ht="15" customHeight="1" x14ac:dyDescent="0.3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308</v>
      </c>
      <c r="O151" s="31"/>
    </row>
    <row r="152" spans="1:15" ht="15" customHeight="1" x14ac:dyDescent="0.3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 x14ac:dyDescent="0.3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 x14ac:dyDescent="0.3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 x14ac:dyDescent="0.3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 x14ac:dyDescent="0.3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 x14ac:dyDescent="0.3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 x14ac:dyDescent="0.3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 x14ac:dyDescent="0.3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 x14ac:dyDescent="0.3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 x14ac:dyDescent="0.3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 x14ac:dyDescent="0.3">
      <c r="A162" s="103" t="s">
        <v>238</v>
      </c>
      <c r="B162" s="104"/>
      <c r="C162" s="104"/>
      <c r="D162" s="104"/>
      <c r="E162" s="105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 x14ac:dyDescent="0.3">
      <c r="A163" s="106" t="s">
        <v>239</v>
      </c>
      <c r="B163" s="107"/>
      <c r="C163" s="107"/>
      <c r="D163" s="107"/>
      <c r="E163" s="108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 x14ac:dyDescent="0.3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 x14ac:dyDescent="0.3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 x14ac:dyDescent="0.3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 x14ac:dyDescent="0.3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 x14ac:dyDescent="0.3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 x14ac:dyDescent="0.3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 x14ac:dyDescent="0.3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309</v>
      </c>
      <c r="O170" s="31"/>
    </row>
    <row r="171" spans="1:15" ht="15" customHeight="1" x14ac:dyDescent="0.3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 x14ac:dyDescent="0.3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 x14ac:dyDescent="0.3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 x14ac:dyDescent="0.3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 x14ac:dyDescent="0.3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 x14ac:dyDescent="0.3">
      <c r="A176" s="103" t="s">
        <v>235</v>
      </c>
      <c r="B176" s="104"/>
      <c r="C176" s="104"/>
      <c r="D176" s="104"/>
      <c r="E176" s="105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 x14ac:dyDescent="0.3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310</v>
      </c>
      <c r="O177" s="31"/>
    </row>
    <row r="178" spans="1:15" ht="15" customHeight="1" x14ac:dyDescent="0.3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 x14ac:dyDescent="0.3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 x14ac:dyDescent="0.3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 x14ac:dyDescent="0.3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 x14ac:dyDescent="0.3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 x14ac:dyDescent="0.3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 x14ac:dyDescent="0.3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 x14ac:dyDescent="0.3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 x14ac:dyDescent="0.3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 x14ac:dyDescent="0.3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 x14ac:dyDescent="0.3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 x14ac:dyDescent="0.3">
      <c r="A189" s="103" t="s">
        <v>238</v>
      </c>
      <c r="B189" s="104"/>
      <c r="C189" s="104"/>
      <c r="D189" s="104"/>
      <c r="E189" s="105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 x14ac:dyDescent="0.3">
      <c r="A190" s="106" t="s">
        <v>239</v>
      </c>
      <c r="B190" s="107"/>
      <c r="C190" s="107"/>
      <c r="D190" s="107"/>
      <c r="E190" s="108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 x14ac:dyDescent="0.3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 x14ac:dyDescent="0.3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311</v>
      </c>
      <c r="O192" s="31"/>
    </row>
    <row r="193" spans="1:15" ht="15" customHeight="1" x14ac:dyDescent="0.3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 x14ac:dyDescent="0.3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 x14ac:dyDescent="0.3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 x14ac:dyDescent="0.3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 x14ac:dyDescent="0.3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 x14ac:dyDescent="0.3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 x14ac:dyDescent="0.3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 x14ac:dyDescent="0.3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 x14ac:dyDescent="0.3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 x14ac:dyDescent="0.3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 x14ac:dyDescent="0.3">
      <c r="A203" s="103" t="s">
        <v>235</v>
      </c>
      <c r="B203" s="104"/>
      <c r="C203" s="104"/>
      <c r="D203" s="104"/>
      <c r="E203" s="105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 x14ac:dyDescent="0.3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312</v>
      </c>
      <c r="O204" s="60"/>
    </row>
    <row r="205" spans="1:15" ht="15" customHeight="1" x14ac:dyDescent="0.3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313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 x14ac:dyDescent="0.3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314</v>
      </c>
      <c r="O206" s="60"/>
    </row>
    <row r="207" spans="1:15" ht="15" customHeight="1" x14ac:dyDescent="0.3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 x14ac:dyDescent="0.3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 x14ac:dyDescent="0.3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 x14ac:dyDescent="0.3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 x14ac:dyDescent="0.3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 x14ac:dyDescent="0.3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 x14ac:dyDescent="0.3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 x14ac:dyDescent="0.3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 x14ac:dyDescent="0.3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 x14ac:dyDescent="0.3">
      <c r="A216" s="103" t="s">
        <v>238</v>
      </c>
      <c r="B216" s="104"/>
      <c r="C216" s="104"/>
      <c r="D216" s="104"/>
      <c r="E216" s="105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 x14ac:dyDescent="0.3">
      <c r="A217" s="106" t="s">
        <v>239</v>
      </c>
      <c r="B217" s="107"/>
      <c r="C217" s="107"/>
      <c r="D217" s="107"/>
      <c r="E217" s="108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 x14ac:dyDescent="0.3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 x14ac:dyDescent="0.3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 x14ac:dyDescent="0.3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315</v>
      </c>
      <c r="O220" s="60"/>
    </row>
    <row r="221" spans="1:15" ht="15" customHeight="1" x14ac:dyDescent="0.3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316</v>
      </c>
      <c r="O221" s="60"/>
    </row>
    <row r="222" spans="1:15" ht="15" customHeight="1" x14ac:dyDescent="0.3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 x14ac:dyDescent="0.3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 x14ac:dyDescent="0.3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 x14ac:dyDescent="0.3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 x14ac:dyDescent="0.3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 x14ac:dyDescent="0.3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 x14ac:dyDescent="0.3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 x14ac:dyDescent="0.3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 x14ac:dyDescent="0.3">
      <c r="A230" s="103" t="s">
        <v>235</v>
      </c>
      <c r="B230" s="104"/>
      <c r="C230" s="104"/>
      <c r="D230" s="104"/>
      <c r="E230" s="105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 x14ac:dyDescent="0.3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317</v>
      </c>
      <c r="O231" s="60"/>
    </row>
    <row r="232" spans="1:15" ht="15" customHeight="1" x14ac:dyDescent="0.3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318</v>
      </c>
      <c r="O232" s="60"/>
    </row>
    <row r="233" spans="1:15" ht="15" customHeight="1" x14ac:dyDescent="0.3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 x14ac:dyDescent="0.3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 x14ac:dyDescent="0.3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 x14ac:dyDescent="0.3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 x14ac:dyDescent="0.3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 x14ac:dyDescent="0.3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 x14ac:dyDescent="0.3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 x14ac:dyDescent="0.3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 x14ac:dyDescent="0.3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 x14ac:dyDescent="0.3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 x14ac:dyDescent="0.3">
      <c r="A243" s="103" t="s">
        <v>238</v>
      </c>
      <c r="B243" s="104"/>
      <c r="C243" s="104"/>
      <c r="D243" s="104"/>
      <c r="E243" s="105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 x14ac:dyDescent="0.3">
      <c r="A244" s="106" t="s">
        <v>239</v>
      </c>
      <c r="B244" s="107"/>
      <c r="C244" s="107"/>
      <c r="D244" s="107"/>
      <c r="E244" s="108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 x14ac:dyDescent="0.3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 x14ac:dyDescent="0.3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 x14ac:dyDescent="0.3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 x14ac:dyDescent="0.3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 x14ac:dyDescent="0.3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319</v>
      </c>
      <c r="O249" s="60"/>
    </row>
    <row r="250" spans="1:15" ht="15" customHeight="1" x14ac:dyDescent="0.3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 x14ac:dyDescent="0.3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 x14ac:dyDescent="0.3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320</v>
      </c>
      <c r="O252" s="60"/>
    </row>
    <row r="253" spans="1:15" ht="15" customHeight="1" x14ac:dyDescent="0.3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287</v>
      </c>
      <c r="O253" s="60"/>
    </row>
    <row r="254" spans="1:15" ht="15" customHeight="1" x14ac:dyDescent="0.3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 x14ac:dyDescent="0.3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 x14ac:dyDescent="0.3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 x14ac:dyDescent="0.3">
      <c r="A257" s="103" t="s">
        <v>235</v>
      </c>
      <c r="B257" s="104"/>
      <c r="C257" s="104"/>
      <c r="D257" s="104"/>
      <c r="E257" s="105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 x14ac:dyDescent="0.3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 x14ac:dyDescent="0.3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 x14ac:dyDescent="0.3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 x14ac:dyDescent="0.3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 x14ac:dyDescent="0.3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 x14ac:dyDescent="0.3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 x14ac:dyDescent="0.3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 x14ac:dyDescent="0.3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 x14ac:dyDescent="0.3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 x14ac:dyDescent="0.3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 x14ac:dyDescent="0.3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 x14ac:dyDescent="0.3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 x14ac:dyDescent="0.3">
      <c r="A270" s="103" t="s">
        <v>238</v>
      </c>
      <c r="B270" s="104"/>
      <c r="C270" s="104"/>
      <c r="D270" s="104"/>
      <c r="E270" s="105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683360</v>
      </c>
    </row>
    <row r="271" spans="1:15" ht="18" customHeight="1" x14ac:dyDescent="0.3">
      <c r="A271" s="106" t="s">
        <v>239</v>
      </c>
      <c r="B271" s="107"/>
      <c r="C271" s="107"/>
      <c r="D271" s="107"/>
      <c r="E271" s="108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1486920</v>
      </c>
    </row>
    <row r="272" spans="1:15" ht="15" customHeight="1" x14ac:dyDescent="0.3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 x14ac:dyDescent="0.3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 t="s">
        <v>22</v>
      </c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 x14ac:dyDescent="0.3">
      <c r="A274" s="68">
        <v>46245</v>
      </c>
      <c r="B274" s="25">
        <f t="shared" si="62"/>
        <v>0.41666666666666635</v>
      </c>
      <c r="C274" s="26" t="s">
        <v>29</v>
      </c>
      <c r="D274" s="59" t="s">
        <v>22</v>
      </c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 x14ac:dyDescent="0.3">
      <c r="A275" s="69">
        <v>46245</v>
      </c>
      <c r="B275" s="32">
        <f t="shared" si="62"/>
        <v>0.45833333333333304</v>
      </c>
      <c r="C275" s="26" t="s">
        <v>29</v>
      </c>
      <c r="D275" s="59" t="s">
        <v>22</v>
      </c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 x14ac:dyDescent="0.3">
      <c r="A276" s="68">
        <v>46245</v>
      </c>
      <c r="B276" s="25">
        <f t="shared" si="62"/>
        <v>0.49999999999999972</v>
      </c>
      <c r="C276" s="26" t="s">
        <v>29</v>
      </c>
      <c r="D276" s="59" t="s">
        <v>22</v>
      </c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 x14ac:dyDescent="0.3">
      <c r="A277" s="69">
        <v>46245</v>
      </c>
      <c r="B277" s="32">
        <f t="shared" si="62"/>
        <v>0.54166666666666641</v>
      </c>
      <c r="C277" s="26" t="s">
        <v>29</v>
      </c>
      <c r="D277" s="59" t="s">
        <v>22</v>
      </c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 x14ac:dyDescent="0.3">
      <c r="A278" s="68">
        <v>46245</v>
      </c>
      <c r="B278" s="25">
        <f t="shared" si="62"/>
        <v>0.58333333333333304</v>
      </c>
      <c r="C278" s="26" t="s">
        <v>29</v>
      </c>
      <c r="D278" s="59" t="s">
        <v>22</v>
      </c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 x14ac:dyDescent="0.3">
      <c r="A279" s="69">
        <v>46245</v>
      </c>
      <c r="B279" s="32">
        <f t="shared" si="62"/>
        <v>0.62499999999999967</v>
      </c>
      <c r="C279" s="26" t="s">
        <v>29</v>
      </c>
      <c r="D279" s="59" t="s">
        <v>22</v>
      </c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 x14ac:dyDescent="0.3">
      <c r="A280" s="68">
        <v>46245</v>
      </c>
      <c r="B280" s="25">
        <f t="shared" si="62"/>
        <v>0.6666666666666663</v>
      </c>
      <c r="C280" s="26" t="s">
        <v>29</v>
      </c>
      <c r="D280" s="59" t="s">
        <v>22</v>
      </c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 x14ac:dyDescent="0.3">
      <c r="A281" s="69">
        <v>46245</v>
      </c>
      <c r="B281" s="32">
        <f t="shared" si="62"/>
        <v>0.70833333333333293</v>
      </c>
      <c r="C281" s="26" t="s">
        <v>29</v>
      </c>
      <c r="D281" s="59" t="s">
        <v>22</v>
      </c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 x14ac:dyDescent="0.3">
      <c r="A282" s="68">
        <v>46245</v>
      </c>
      <c r="B282" s="25">
        <f t="shared" si="62"/>
        <v>0.74999999999999956</v>
      </c>
      <c r="C282" s="26" t="s">
        <v>29</v>
      </c>
      <c r="D282" s="59" t="s">
        <v>22</v>
      </c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 x14ac:dyDescent="0.3">
      <c r="A283" s="69">
        <v>46245</v>
      </c>
      <c r="B283" s="32">
        <f t="shared" si="62"/>
        <v>0.79166666666666619</v>
      </c>
      <c r="C283" s="26" t="s">
        <v>29</v>
      </c>
      <c r="D283" s="59" t="s">
        <v>22</v>
      </c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 x14ac:dyDescent="0.3">
      <c r="A284" s="103" t="s">
        <v>235</v>
      </c>
      <c r="B284" s="104"/>
      <c r="C284" s="104"/>
      <c r="D284" s="104"/>
      <c r="E284" s="105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 x14ac:dyDescent="0.3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 x14ac:dyDescent="0.3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 x14ac:dyDescent="0.3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 x14ac:dyDescent="0.3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 x14ac:dyDescent="0.3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 x14ac:dyDescent="0.3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 x14ac:dyDescent="0.3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 x14ac:dyDescent="0.3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 x14ac:dyDescent="0.3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 x14ac:dyDescent="0.3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 x14ac:dyDescent="0.3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 x14ac:dyDescent="0.3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 x14ac:dyDescent="0.3">
      <c r="A297" s="103" t="s">
        <v>238</v>
      </c>
      <c r="B297" s="104"/>
      <c r="C297" s="104"/>
      <c r="D297" s="104"/>
      <c r="E297" s="105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 x14ac:dyDescent="0.3">
      <c r="A298" s="106" t="s">
        <v>239</v>
      </c>
      <c r="B298" s="107"/>
      <c r="C298" s="107"/>
      <c r="D298" s="107"/>
      <c r="E298" s="108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 x14ac:dyDescent="0.3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 x14ac:dyDescent="0.3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 x14ac:dyDescent="0.3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 x14ac:dyDescent="0.3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 x14ac:dyDescent="0.3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 x14ac:dyDescent="0.3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 x14ac:dyDescent="0.3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 x14ac:dyDescent="0.3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 x14ac:dyDescent="0.3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 x14ac:dyDescent="0.3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 x14ac:dyDescent="0.3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 x14ac:dyDescent="0.3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 x14ac:dyDescent="0.3">
      <c r="A311" s="103" t="s">
        <v>235</v>
      </c>
      <c r="B311" s="104"/>
      <c r="C311" s="104"/>
      <c r="D311" s="104"/>
      <c r="E311" s="105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 x14ac:dyDescent="0.3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 x14ac:dyDescent="0.3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 x14ac:dyDescent="0.3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 x14ac:dyDescent="0.3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 x14ac:dyDescent="0.3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 x14ac:dyDescent="0.3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 x14ac:dyDescent="0.3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 x14ac:dyDescent="0.3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 x14ac:dyDescent="0.3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 x14ac:dyDescent="0.3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 x14ac:dyDescent="0.3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 x14ac:dyDescent="0.3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 x14ac:dyDescent="0.3">
      <c r="A324" s="103" t="s">
        <v>238</v>
      </c>
      <c r="B324" s="104"/>
      <c r="C324" s="104"/>
      <c r="D324" s="104"/>
      <c r="E324" s="105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 x14ac:dyDescent="0.3">
      <c r="A325" s="106" t="s">
        <v>239</v>
      </c>
      <c r="B325" s="107"/>
      <c r="C325" s="107"/>
      <c r="D325" s="107"/>
      <c r="E325" s="108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 x14ac:dyDescent="0.3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 x14ac:dyDescent="0.3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 x14ac:dyDescent="0.3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 x14ac:dyDescent="0.3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 x14ac:dyDescent="0.3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 x14ac:dyDescent="0.3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 x14ac:dyDescent="0.3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 x14ac:dyDescent="0.3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 x14ac:dyDescent="0.3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 x14ac:dyDescent="0.3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 x14ac:dyDescent="0.3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 x14ac:dyDescent="0.3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 x14ac:dyDescent="0.3">
      <c r="A338" s="103" t="s">
        <v>235</v>
      </c>
      <c r="B338" s="104"/>
      <c r="C338" s="104"/>
      <c r="D338" s="104"/>
      <c r="E338" s="105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 x14ac:dyDescent="0.3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 x14ac:dyDescent="0.3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 x14ac:dyDescent="0.3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 x14ac:dyDescent="0.3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 x14ac:dyDescent="0.3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 x14ac:dyDescent="0.3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 x14ac:dyDescent="0.3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 x14ac:dyDescent="0.3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 x14ac:dyDescent="0.3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 x14ac:dyDescent="0.3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 x14ac:dyDescent="0.3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 x14ac:dyDescent="0.3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 x14ac:dyDescent="0.3">
      <c r="A351" s="103" t="s">
        <v>238</v>
      </c>
      <c r="B351" s="104"/>
      <c r="C351" s="104"/>
      <c r="D351" s="104"/>
      <c r="E351" s="105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 x14ac:dyDescent="0.3">
      <c r="A352" s="106" t="s">
        <v>239</v>
      </c>
      <c r="B352" s="107"/>
      <c r="C352" s="107"/>
      <c r="D352" s="107"/>
      <c r="E352" s="108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 x14ac:dyDescent="0.3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 x14ac:dyDescent="0.3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 x14ac:dyDescent="0.3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 x14ac:dyDescent="0.3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 x14ac:dyDescent="0.3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 x14ac:dyDescent="0.3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 x14ac:dyDescent="0.3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 x14ac:dyDescent="0.3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 x14ac:dyDescent="0.3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 x14ac:dyDescent="0.3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 x14ac:dyDescent="0.3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 x14ac:dyDescent="0.3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 x14ac:dyDescent="0.3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 x14ac:dyDescent="0.3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 x14ac:dyDescent="0.3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 x14ac:dyDescent="0.3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 x14ac:dyDescent="0.3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 x14ac:dyDescent="0.3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 x14ac:dyDescent="0.3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 x14ac:dyDescent="0.3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 x14ac:dyDescent="0.3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 x14ac:dyDescent="0.3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 x14ac:dyDescent="0.3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 x14ac:dyDescent="0.3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 x14ac:dyDescent="0.3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 x14ac:dyDescent="0.3">
      <c r="A378" s="103" t="s">
        <v>238</v>
      </c>
      <c r="B378" s="104"/>
      <c r="C378" s="104"/>
      <c r="D378" s="104"/>
      <c r="E378" s="105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 x14ac:dyDescent="0.3">
      <c r="A379" s="106" t="s">
        <v>239</v>
      </c>
      <c r="B379" s="107"/>
      <c r="C379" s="107"/>
      <c r="D379" s="107"/>
      <c r="E379" s="108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 x14ac:dyDescent="0.3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 x14ac:dyDescent="0.3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 x14ac:dyDescent="0.3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 x14ac:dyDescent="0.3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 x14ac:dyDescent="0.3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 x14ac:dyDescent="0.3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 x14ac:dyDescent="0.3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 x14ac:dyDescent="0.3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 x14ac:dyDescent="0.3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 x14ac:dyDescent="0.3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 x14ac:dyDescent="0.3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 x14ac:dyDescent="0.3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 x14ac:dyDescent="0.3">
      <c r="A392" s="103" t="s">
        <v>235</v>
      </c>
      <c r="B392" s="104"/>
      <c r="C392" s="104"/>
      <c r="D392" s="104"/>
      <c r="E392" s="105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 x14ac:dyDescent="0.3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 x14ac:dyDescent="0.3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 x14ac:dyDescent="0.3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 x14ac:dyDescent="0.3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 x14ac:dyDescent="0.3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 x14ac:dyDescent="0.3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 x14ac:dyDescent="0.3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 x14ac:dyDescent="0.3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 x14ac:dyDescent="0.3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 x14ac:dyDescent="0.3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 x14ac:dyDescent="0.3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 x14ac:dyDescent="0.3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 x14ac:dyDescent="0.3">
      <c r="A405" s="103" t="s">
        <v>238</v>
      </c>
      <c r="B405" s="104"/>
      <c r="C405" s="104"/>
      <c r="D405" s="104"/>
      <c r="E405" s="105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 x14ac:dyDescent="0.3">
      <c r="A406" s="106" t="s">
        <v>239</v>
      </c>
      <c r="B406" s="107"/>
      <c r="C406" s="107"/>
      <c r="D406" s="107"/>
      <c r="E406" s="108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 x14ac:dyDescent="0.3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 x14ac:dyDescent="0.3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 x14ac:dyDescent="0.3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 x14ac:dyDescent="0.3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 x14ac:dyDescent="0.3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 x14ac:dyDescent="0.3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 x14ac:dyDescent="0.3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 x14ac:dyDescent="0.3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 x14ac:dyDescent="0.3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 x14ac:dyDescent="0.3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 x14ac:dyDescent="0.3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 x14ac:dyDescent="0.3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 x14ac:dyDescent="0.3">
      <c r="A419" s="103" t="s">
        <v>235</v>
      </c>
      <c r="B419" s="104"/>
      <c r="C419" s="104"/>
      <c r="D419" s="104"/>
      <c r="E419" s="105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 x14ac:dyDescent="0.3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 x14ac:dyDescent="0.3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 x14ac:dyDescent="0.3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 x14ac:dyDescent="0.3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 x14ac:dyDescent="0.3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 x14ac:dyDescent="0.3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 x14ac:dyDescent="0.3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 x14ac:dyDescent="0.3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 x14ac:dyDescent="0.3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 x14ac:dyDescent="0.3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 x14ac:dyDescent="0.3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 x14ac:dyDescent="0.3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 x14ac:dyDescent="0.3">
      <c r="A432" s="103" t="s">
        <v>238</v>
      </c>
      <c r="B432" s="104"/>
      <c r="C432" s="104"/>
      <c r="D432" s="104"/>
      <c r="E432" s="105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 x14ac:dyDescent="0.3">
      <c r="A433" s="106" t="s">
        <v>239</v>
      </c>
      <c r="B433" s="107"/>
      <c r="C433" s="107"/>
      <c r="D433" s="107"/>
      <c r="E433" s="108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 x14ac:dyDescent="0.3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 x14ac:dyDescent="0.3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 x14ac:dyDescent="0.3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 x14ac:dyDescent="0.3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 x14ac:dyDescent="0.3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 x14ac:dyDescent="0.3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 x14ac:dyDescent="0.3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 x14ac:dyDescent="0.3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 x14ac:dyDescent="0.3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 x14ac:dyDescent="0.3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 x14ac:dyDescent="0.3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 x14ac:dyDescent="0.3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 x14ac:dyDescent="0.3">
      <c r="A446" s="103" t="s">
        <v>235</v>
      </c>
      <c r="B446" s="104"/>
      <c r="C446" s="104"/>
      <c r="D446" s="104"/>
      <c r="E446" s="105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 x14ac:dyDescent="0.3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 x14ac:dyDescent="0.3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 x14ac:dyDescent="0.3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 x14ac:dyDescent="0.3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 x14ac:dyDescent="0.3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 x14ac:dyDescent="0.3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 x14ac:dyDescent="0.3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 x14ac:dyDescent="0.3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 x14ac:dyDescent="0.3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 x14ac:dyDescent="0.3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 x14ac:dyDescent="0.3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 x14ac:dyDescent="0.3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 x14ac:dyDescent="0.3">
      <c r="A459" s="103" t="s">
        <v>238</v>
      </c>
      <c r="B459" s="104"/>
      <c r="C459" s="104"/>
      <c r="D459" s="104"/>
      <c r="E459" s="105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 x14ac:dyDescent="0.3">
      <c r="A460" s="106" t="s">
        <v>239</v>
      </c>
      <c r="B460" s="107"/>
      <c r="C460" s="107"/>
      <c r="D460" s="107"/>
      <c r="E460" s="108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 x14ac:dyDescent="0.3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 x14ac:dyDescent="0.3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 x14ac:dyDescent="0.3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 x14ac:dyDescent="0.3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 x14ac:dyDescent="0.3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 x14ac:dyDescent="0.3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 x14ac:dyDescent="0.3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 x14ac:dyDescent="0.3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 x14ac:dyDescent="0.3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 x14ac:dyDescent="0.3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 x14ac:dyDescent="0.3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 x14ac:dyDescent="0.3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 x14ac:dyDescent="0.3">
      <c r="A473" s="103" t="s">
        <v>235</v>
      </c>
      <c r="B473" s="104"/>
      <c r="C473" s="104"/>
      <c r="D473" s="104"/>
      <c r="E473" s="105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 x14ac:dyDescent="0.3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 x14ac:dyDescent="0.3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 x14ac:dyDescent="0.3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 x14ac:dyDescent="0.3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 x14ac:dyDescent="0.3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 x14ac:dyDescent="0.3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 x14ac:dyDescent="0.3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 x14ac:dyDescent="0.3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 x14ac:dyDescent="0.3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 x14ac:dyDescent="0.3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 x14ac:dyDescent="0.3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 x14ac:dyDescent="0.3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 x14ac:dyDescent="0.3">
      <c r="A486" s="103" t="s">
        <v>238</v>
      </c>
      <c r="B486" s="104"/>
      <c r="C486" s="104"/>
      <c r="D486" s="104"/>
      <c r="E486" s="105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 x14ac:dyDescent="0.3">
      <c r="A487" s="106" t="s">
        <v>239</v>
      </c>
      <c r="B487" s="107"/>
      <c r="C487" s="107"/>
      <c r="D487" s="107"/>
      <c r="E487" s="108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 x14ac:dyDescent="0.3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 x14ac:dyDescent="0.3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 x14ac:dyDescent="0.3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 x14ac:dyDescent="0.3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 x14ac:dyDescent="0.3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 x14ac:dyDescent="0.3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 x14ac:dyDescent="0.3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 x14ac:dyDescent="0.3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 x14ac:dyDescent="0.3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 x14ac:dyDescent="0.3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 x14ac:dyDescent="0.3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 x14ac:dyDescent="0.3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 x14ac:dyDescent="0.3">
      <c r="A500" s="103" t="s">
        <v>235</v>
      </c>
      <c r="B500" s="104"/>
      <c r="C500" s="104"/>
      <c r="D500" s="104"/>
      <c r="E500" s="105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 x14ac:dyDescent="0.3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 x14ac:dyDescent="0.3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 x14ac:dyDescent="0.3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 x14ac:dyDescent="0.3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 x14ac:dyDescent="0.3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 x14ac:dyDescent="0.3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 x14ac:dyDescent="0.3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 x14ac:dyDescent="0.3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 x14ac:dyDescent="0.3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 x14ac:dyDescent="0.3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 x14ac:dyDescent="0.3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 x14ac:dyDescent="0.3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 x14ac:dyDescent="0.3">
      <c r="A513" s="103" t="s">
        <v>238</v>
      </c>
      <c r="B513" s="104"/>
      <c r="C513" s="104"/>
      <c r="D513" s="104"/>
      <c r="E513" s="105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 x14ac:dyDescent="0.3">
      <c r="A514" s="106" t="s">
        <v>239</v>
      </c>
      <c r="B514" s="107"/>
      <c r="C514" s="107"/>
      <c r="D514" s="107"/>
      <c r="E514" s="108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 x14ac:dyDescent="0.3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 x14ac:dyDescent="0.3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 x14ac:dyDescent="0.3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 x14ac:dyDescent="0.3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 x14ac:dyDescent="0.3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 x14ac:dyDescent="0.3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 x14ac:dyDescent="0.3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 x14ac:dyDescent="0.3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 x14ac:dyDescent="0.3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 x14ac:dyDescent="0.3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 x14ac:dyDescent="0.3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 x14ac:dyDescent="0.3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 x14ac:dyDescent="0.3">
      <c r="A527" s="103" t="s">
        <v>235</v>
      </c>
      <c r="B527" s="104"/>
      <c r="C527" s="104"/>
      <c r="D527" s="104"/>
      <c r="E527" s="105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 x14ac:dyDescent="0.3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 x14ac:dyDescent="0.3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 x14ac:dyDescent="0.3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 x14ac:dyDescent="0.3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 x14ac:dyDescent="0.3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 x14ac:dyDescent="0.3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 x14ac:dyDescent="0.3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 x14ac:dyDescent="0.3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 x14ac:dyDescent="0.3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 x14ac:dyDescent="0.3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 x14ac:dyDescent="0.3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 x14ac:dyDescent="0.3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 x14ac:dyDescent="0.3">
      <c r="A540" s="103" t="s">
        <v>238</v>
      </c>
      <c r="B540" s="104"/>
      <c r="C540" s="104"/>
      <c r="D540" s="104"/>
      <c r="E540" s="105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 x14ac:dyDescent="0.3">
      <c r="A541" s="106" t="s">
        <v>239</v>
      </c>
      <c r="B541" s="107"/>
      <c r="C541" s="107"/>
      <c r="D541" s="107"/>
      <c r="E541" s="108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 x14ac:dyDescent="0.3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 x14ac:dyDescent="0.3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 x14ac:dyDescent="0.3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 x14ac:dyDescent="0.3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 x14ac:dyDescent="0.3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 x14ac:dyDescent="0.3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 x14ac:dyDescent="0.3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 x14ac:dyDescent="0.3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 x14ac:dyDescent="0.3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 x14ac:dyDescent="0.3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 x14ac:dyDescent="0.3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 x14ac:dyDescent="0.3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 x14ac:dyDescent="0.3">
      <c r="A554" s="103" t="s">
        <v>235</v>
      </c>
      <c r="B554" s="104"/>
      <c r="C554" s="104"/>
      <c r="D554" s="104"/>
      <c r="E554" s="105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 x14ac:dyDescent="0.3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 x14ac:dyDescent="0.3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 x14ac:dyDescent="0.3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 x14ac:dyDescent="0.3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 x14ac:dyDescent="0.3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 x14ac:dyDescent="0.3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 x14ac:dyDescent="0.3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 x14ac:dyDescent="0.3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 x14ac:dyDescent="0.3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 x14ac:dyDescent="0.3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 x14ac:dyDescent="0.3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 x14ac:dyDescent="0.3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 x14ac:dyDescent="0.3">
      <c r="A567" s="103" t="s">
        <v>238</v>
      </c>
      <c r="B567" s="104"/>
      <c r="C567" s="104"/>
      <c r="D567" s="104"/>
      <c r="E567" s="105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 x14ac:dyDescent="0.3">
      <c r="A568" s="106" t="s">
        <v>239</v>
      </c>
      <c r="B568" s="107"/>
      <c r="C568" s="107"/>
      <c r="D568" s="107"/>
      <c r="E568" s="108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 x14ac:dyDescent="0.3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 x14ac:dyDescent="0.3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 x14ac:dyDescent="0.3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 x14ac:dyDescent="0.3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 x14ac:dyDescent="0.3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 x14ac:dyDescent="0.3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 x14ac:dyDescent="0.3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 x14ac:dyDescent="0.3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 x14ac:dyDescent="0.3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 x14ac:dyDescent="0.3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 x14ac:dyDescent="0.3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 x14ac:dyDescent="0.3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 x14ac:dyDescent="0.3">
      <c r="A581" s="103" t="s">
        <v>235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 x14ac:dyDescent="0.3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 x14ac:dyDescent="0.3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 x14ac:dyDescent="0.3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 x14ac:dyDescent="0.3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 x14ac:dyDescent="0.3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 x14ac:dyDescent="0.3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 x14ac:dyDescent="0.3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 x14ac:dyDescent="0.3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 x14ac:dyDescent="0.3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 x14ac:dyDescent="0.3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 x14ac:dyDescent="0.3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 x14ac:dyDescent="0.3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 x14ac:dyDescent="0.3">
      <c r="A594" s="103" t="s">
        <v>238</v>
      </c>
      <c r="B594" s="104"/>
      <c r="C594" s="104"/>
      <c r="D594" s="104"/>
      <c r="E594" s="105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 x14ac:dyDescent="0.3">
      <c r="A595" s="106" t="s">
        <v>239</v>
      </c>
      <c r="B595" s="107"/>
      <c r="C595" s="107"/>
      <c r="D595" s="107"/>
      <c r="E595" s="108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 x14ac:dyDescent="0.3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 x14ac:dyDescent="0.3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 x14ac:dyDescent="0.3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 x14ac:dyDescent="0.3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 x14ac:dyDescent="0.3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 x14ac:dyDescent="0.3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 x14ac:dyDescent="0.3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 x14ac:dyDescent="0.3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 x14ac:dyDescent="0.3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 x14ac:dyDescent="0.3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 x14ac:dyDescent="0.3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 x14ac:dyDescent="0.3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 x14ac:dyDescent="0.3">
      <c r="A608" s="103" t="s">
        <v>235</v>
      </c>
      <c r="B608" s="104"/>
      <c r="C608" s="104"/>
      <c r="D608" s="104"/>
      <c r="E608" s="105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 x14ac:dyDescent="0.3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 x14ac:dyDescent="0.3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 x14ac:dyDescent="0.3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 x14ac:dyDescent="0.3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 x14ac:dyDescent="0.3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 x14ac:dyDescent="0.3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 x14ac:dyDescent="0.3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 x14ac:dyDescent="0.3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 x14ac:dyDescent="0.3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 x14ac:dyDescent="0.3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 x14ac:dyDescent="0.3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 x14ac:dyDescent="0.3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 x14ac:dyDescent="0.3">
      <c r="A621" s="103" t="s">
        <v>238</v>
      </c>
      <c r="B621" s="104"/>
      <c r="C621" s="104"/>
      <c r="D621" s="104"/>
      <c r="E621" s="105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 x14ac:dyDescent="0.3">
      <c r="A622" s="106" t="s">
        <v>239</v>
      </c>
      <c r="B622" s="107"/>
      <c r="C622" s="107"/>
      <c r="D622" s="107"/>
      <c r="E622" s="108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 x14ac:dyDescent="0.3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 x14ac:dyDescent="0.3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 x14ac:dyDescent="0.3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 x14ac:dyDescent="0.3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 x14ac:dyDescent="0.3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 x14ac:dyDescent="0.3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 x14ac:dyDescent="0.3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 x14ac:dyDescent="0.3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 x14ac:dyDescent="0.3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 x14ac:dyDescent="0.3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 x14ac:dyDescent="0.3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 x14ac:dyDescent="0.3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 x14ac:dyDescent="0.3">
      <c r="A635" s="103" t="s">
        <v>235</v>
      </c>
      <c r="B635" s="104"/>
      <c r="C635" s="104"/>
      <c r="D635" s="104"/>
      <c r="E635" s="105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 x14ac:dyDescent="0.3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 x14ac:dyDescent="0.3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 x14ac:dyDescent="0.3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 x14ac:dyDescent="0.3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 x14ac:dyDescent="0.3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 x14ac:dyDescent="0.3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 x14ac:dyDescent="0.3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 x14ac:dyDescent="0.3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 x14ac:dyDescent="0.3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 x14ac:dyDescent="0.3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 x14ac:dyDescent="0.3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 x14ac:dyDescent="0.3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 x14ac:dyDescent="0.3">
      <c r="A648" s="103" t="s">
        <v>238</v>
      </c>
      <c r="B648" s="104"/>
      <c r="C648" s="104"/>
      <c r="D648" s="104"/>
      <c r="E648" s="105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 x14ac:dyDescent="0.3">
      <c r="A649" s="106" t="s">
        <v>239</v>
      </c>
      <c r="B649" s="107"/>
      <c r="C649" s="107"/>
      <c r="D649" s="107"/>
      <c r="E649" s="108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 x14ac:dyDescent="0.3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 x14ac:dyDescent="0.3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 x14ac:dyDescent="0.3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 x14ac:dyDescent="0.3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 x14ac:dyDescent="0.3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 x14ac:dyDescent="0.3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 x14ac:dyDescent="0.3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 x14ac:dyDescent="0.3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 x14ac:dyDescent="0.3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 x14ac:dyDescent="0.3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 x14ac:dyDescent="0.3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 x14ac:dyDescent="0.3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 x14ac:dyDescent="0.3">
      <c r="A662" s="103" t="s">
        <v>235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 x14ac:dyDescent="0.3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 x14ac:dyDescent="0.3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 x14ac:dyDescent="0.3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 x14ac:dyDescent="0.3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 x14ac:dyDescent="0.3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 x14ac:dyDescent="0.3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 x14ac:dyDescent="0.3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 x14ac:dyDescent="0.3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 x14ac:dyDescent="0.3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 x14ac:dyDescent="0.3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 x14ac:dyDescent="0.3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 x14ac:dyDescent="0.3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 x14ac:dyDescent="0.3">
      <c r="A675" s="103" t="s">
        <v>238</v>
      </c>
      <c r="B675" s="104"/>
      <c r="C675" s="104"/>
      <c r="D675" s="104"/>
      <c r="E675" s="105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 x14ac:dyDescent="0.3">
      <c r="A676" s="106" t="s">
        <v>239</v>
      </c>
      <c r="B676" s="107"/>
      <c r="C676" s="107"/>
      <c r="D676" s="107"/>
      <c r="E676" s="108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 x14ac:dyDescent="0.3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 x14ac:dyDescent="0.3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 x14ac:dyDescent="0.3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 x14ac:dyDescent="0.3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 x14ac:dyDescent="0.3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 x14ac:dyDescent="0.3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 x14ac:dyDescent="0.3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 x14ac:dyDescent="0.3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 x14ac:dyDescent="0.3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 x14ac:dyDescent="0.3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 x14ac:dyDescent="0.3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 x14ac:dyDescent="0.3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 x14ac:dyDescent="0.3">
      <c r="A689" s="103" t="s">
        <v>235</v>
      </c>
      <c r="B689" s="104"/>
      <c r="C689" s="104"/>
      <c r="D689" s="104"/>
      <c r="E689" s="105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 x14ac:dyDescent="0.3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 x14ac:dyDescent="0.3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 x14ac:dyDescent="0.3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 x14ac:dyDescent="0.3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 x14ac:dyDescent="0.3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 x14ac:dyDescent="0.3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 x14ac:dyDescent="0.3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 x14ac:dyDescent="0.3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 x14ac:dyDescent="0.3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 x14ac:dyDescent="0.3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 x14ac:dyDescent="0.3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 x14ac:dyDescent="0.3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 x14ac:dyDescent="0.3">
      <c r="A702" s="103" t="s">
        <v>238</v>
      </c>
      <c r="B702" s="104"/>
      <c r="C702" s="104"/>
      <c r="D702" s="104"/>
      <c r="E702" s="105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 x14ac:dyDescent="0.3">
      <c r="A703" s="106" t="s">
        <v>239</v>
      </c>
      <c r="B703" s="107"/>
      <c r="C703" s="107"/>
      <c r="D703" s="107"/>
      <c r="E703" s="108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 x14ac:dyDescent="0.3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 x14ac:dyDescent="0.3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 x14ac:dyDescent="0.3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 x14ac:dyDescent="0.3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 x14ac:dyDescent="0.3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 x14ac:dyDescent="0.3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 x14ac:dyDescent="0.3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 x14ac:dyDescent="0.3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 x14ac:dyDescent="0.3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 x14ac:dyDescent="0.3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 x14ac:dyDescent="0.3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 x14ac:dyDescent="0.3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 x14ac:dyDescent="0.3">
      <c r="A716" s="103" t="s">
        <v>235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 x14ac:dyDescent="0.3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 x14ac:dyDescent="0.3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 x14ac:dyDescent="0.3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 x14ac:dyDescent="0.3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 x14ac:dyDescent="0.3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 x14ac:dyDescent="0.3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 x14ac:dyDescent="0.3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 x14ac:dyDescent="0.3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 x14ac:dyDescent="0.3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 x14ac:dyDescent="0.3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 x14ac:dyDescent="0.3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 x14ac:dyDescent="0.3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 x14ac:dyDescent="0.3">
      <c r="A729" s="103" t="s">
        <v>238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 x14ac:dyDescent="0.3">
      <c r="A730" s="106" t="s">
        <v>239</v>
      </c>
      <c r="B730" s="107"/>
      <c r="C730" s="107"/>
      <c r="D730" s="107"/>
      <c r="E730" s="108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 x14ac:dyDescent="0.3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 x14ac:dyDescent="0.3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 x14ac:dyDescent="0.3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 x14ac:dyDescent="0.3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 x14ac:dyDescent="0.3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 x14ac:dyDescent="0.3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 x14ac:dyDescent="0.3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 x14ac:dyDescent="0.3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 x14ac:dyDescent="0.3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 x14ac:dyDescent="0.3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 x14ac:dyDescent="0.3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 x14ac:dyDescent="0.3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 x14ac:dyDescent="0.3">
      <c r="A743" s="103" t="s">
        <v>235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 x14ac:dyDescent="0.3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 x14ac:dyDescent="0.3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 x14ac:dyDescent="0.3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 x14ac:dyDescent="0.3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 x14ac:dyDescent="0.3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 x14ac:dyDescent="0.3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 x14ac:dyDescent="0.3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 x14ac:dyDescent="0.3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 x14ac:dyDescent="0.3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 x14ac:dyDescent="0.3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 x14ac:dyDescent="0.3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 x14ac:dyDescent="0.3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 x14ac:dyDescent="0.3">
      <c r="A756" s="103" t="s">
        <v>238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 x14ac:dyDescent="0.3">
      <c r="A757" s="106" t="s">
        <v>239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 x14ac:dyDescent="0.3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 x14ac:dyDescent="0.3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 x14ac:dyDescent="0.3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 x14ac:dyDescent="0.3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 x14ac:dyDescent="0.3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 x14ac:dyDescent="0.3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 x14ac:dyDescent="0.3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 x14ac:dyDescent="0.3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 x14ac:dyDescent="0.3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 x14ac:dyDescent="0.3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 x14ac:dyDescent="0.3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 x14ac:dyDescent="0.3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 x14ac:dyDescent="0.3">
      <c r="A770" s="103" t="s">
        <v>235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 x14ac:dyDescent="0.3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 x14ac:dyDescent="0.3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 x14ac:dyDescent="0.3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 x14ac:dyDescent="0.3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 x14ac:dyDescent="0.3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 x14ac:dyDescent="0.3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 x14ac:dyDescent="0.3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 x14ac:dyDescent="0.3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 x14ac:dyDescent="0.3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 x14ac:dyDescent="0.3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 x14ac:dyDescent="0.3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 x14ac:dyDescent="0.3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 x14ac:dyDescent="0.3">
      <c r="A783" s="103" t="s">
        <v>238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 x14ac:dyDescent="0.3">
      <c r="A784" s="106" t="s">
        <v>239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 x14ac:dyDescent="0.3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 x14ac:dyDescent="0.3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 x14ac:dyDescent="0.3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 x14ac:dyDescent="0.3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 x14ac:dyDescent="0.3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 x14ac:dyDescent="0.3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 x14ac:dyDescent="0.3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 x14ac:dyDescent="0.3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 x14ac:dyDescent="0.3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 x14ac:dyDescent="0.3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 x14ac:dyDescent="0.3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 x14ac:dyDescent="0.3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 x14ac:dyDescent="0.3">
      <c r="A797" s="103" t="s">
        <v>235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 x14ac:dyDescent="0.3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 x14ac:dyDescent="0.3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 x14ac:dyDescent="0.3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 x14ac:dyDescent="0.3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 x14ac:dyDescent="0.3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 x14ac:dyDescent="0.3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 x14ac:dyDescent="0.3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 x14ac:dyDescent="0.3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 x14ac:dyDescent="0.3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 x14ac:dyDescent="0.3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 x14ac:dyDescent="0.3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 x14ac:dyDescent="0.3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 x14ac:dyDescent="0.3">
      <c r="A810" s="103" t="s">
        <v>238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 x14ac:dyDescent="0.3">
      <c r="A811" s="106" t="s">
        <v>239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 x14ac:dyDescent="0.3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 x14ac:dyDescent="0.3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 x14ac:dyDescent="0.3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 x14ac:dyDescent="0.3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 x14ac:dyDescent="0.3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 x14ac:dyDescent="0.3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 x14ac:dyDescent="0.3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 x14ac:dyDescent="0.3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 x14ac:dyDescent="0.3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 x14ac:dyDescent="0.3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 x14ac:dyDescent="0.3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 x14ac:dyDescent="0.3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 x14ac:dyDescent="0.3">
      <c r="A824" s="103" t="s">
        <v>235</v>
      </c>
      <c r="B824" s="104"/>
      <c r="C824" s="104"/>
      <c r="D824" s="104"/>
      <c r="E824" s="105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 x14ac:dyDescent="0.3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 x14ac:dyDescent="0.3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 x14ac:dyDescent="0.3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 x14ac:dyDescent="0.3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 x14ac:dyDescent="0.3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 x14ac:dyDescent="0.3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 x14ac:dyDescent="0.3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 x14ac:dyDescent="0.3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 x14ac:dyDescent="0.3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 x14ac:dyDescent="0.3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 x14ac:dyDescent="0.3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 x14ac:dyDescent="0.3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 x14ac:dyDescent="0.3">
      <c r="A837" s="103" t="s">
        <v>238</v>
      </c>
      <c r="B837" s="104"/>
      <c r="C837" s="104"/>
      <c r="D837" s="104"/>
      <c r="E837" s="105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 x14ac:dyDescent="0.3">
      <c r="A838" s="106" t="s">
        <v>239</v>
      </c>
      <c r="B838" s="107"/>
      <c r="C838" s="107"/>
      <c r="D838" s="107"/>
      <c r="E838" s="108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288F5DF9-2BBC-43A5-A79A-7C7087BA389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60A38338-7112-4F45-BCE1-49C5EC8DDAF1}">
  <ds:schemaRefs>
    <ds:schemaRef ds:uri="http://schemas.microsoft.com/office/2006/metadata/properties"/>
    <ds:schemaRef ds:uri="http://schemas.microsoft.com/office/infopath/2007/PartnerControls"/>
    <ds:schemaRef ds:uri="771c9ca5-affe-4166-ad8c-7e4536f98f4b"/>
    <ds:schemaRef ds:uri="96dcb152-1051-46f1-b38f-17beadf9ed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6</vt:i4>
      </vt:variant>
    </vt:vector>
  </HeadingPairs>
  <TitlesOfParts>
    <vt:vector size="12" baseType="lpstr">
      <vt:lpstr>Resumo</vt:lpstr>
      <vt:lpstr>Cadastro</vt:lpstr>
      <vt:lpstr>Britador</vt:lpstr>
      <vt:lpstr>Linha 1</vt:lpstr>
      <vt:lpstr>Linha 2</vt:lpstr>
      <vt:lpstr>Linha 3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2026-08-11T11:09:12Z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