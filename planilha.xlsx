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51" documentId="13_ncr:1_{A6DBCFB4-28D9-4249-9038-216934055CA6}" xr6:coauthVersionLast="47" xr6:coauthVersionMax="47" xr10:uidLastSave="{D44FAF47-5455-4BB9-931E-854F22DEA2D4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<sst xmlns="http://schemas.openxmlformats.org/spreadsheetml/2006/main" count="10060" uniqueCount="428">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</sst>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0.12323379630106501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0.12323379630106501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0.12323379630106501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8" sqref="G59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0.29337268518429482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0.43226157407318255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0.51698379629540536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172.2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172.2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D598" sqref="D598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55</v>
      </c>
      <c r="E598" s="87" t="s">
        <v>276</v>
      </c>
      <c r="F598" s="88">
        <f>IFERROR(IF($D598="","",VLOOKUP($D598,Cadastro!$C$4:$E$7,3,FALSE())),"")</f>
        <v>0.13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0.55000000000000004</v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55</v>
      </c>
      <c r="E599" s="87" t="s">
        <v>276</v>
      </c>
      <c r="F599" s="88">
        <f>IFERROR(IF($D599="","",VLOOKUP($D599,Cadastro!$C$4:$E$7,3,FALSE())),"")</f>
        <v>0.13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0.55000000000000004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55</v>
      </c>
      <c r="E600" s="87" t="s">
        <v>276</v>
      </c>
      <c r="F600" s="88">
        <f>IFERROR(IF($D600="","",VLOOKUP($D600,Cadastro!$C$4:$E$7,3,FALSE())),"")</f>
        <v>0.13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0.55000000000000004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55</v>
      </c>
      <c r="E601" s="87" t="s">
        <v>276</v>
      </c>
      <c r="F601" s="88">
        <f>IFERROR(IF($D601="","",VLOOKUP($D601,Cadastro!$C$4:$E$7,3,FALSE())),"")</f>
        <v>0.13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0.55000000000000004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55</v>
      </c>
      <c r="E602" s="87" t="s">
        <v>276</v>
      </c>
      <c r="F602" s="88">
        <f>IFERROR(IF($D602="","",VLOOKUP($D602,Cadastro!$C$4:$E$7,3,FALSE())),"")</f>
        <v>0.13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0.55000000000000004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55</v>
      </c>
      <c r="E603" s="87" t="s">
        <v>276</v>
      </c>
      <c r="F603" s="88">
        <f>IFERROR(IF($D603="","",VLOOKUP($D603,Cadastro!$C$4:$E$7,3,FALSE())),"")</f>
        <v>0.13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0.55000000000000004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55</v>
      </c>
      <c r="E604" s="87" t="s">
        <v>276</v>
      </c>
      <c r="F604" s="88">
        <f>IFERROR(IF($D604="","",VLOOKUP($D604,Cadastro!$C$4:$E$7,3,FALSE())),"")</f>
        <v>0.13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0.55000000000000004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55</v>
      </c>
      <c r="E605" s="87" t="s">
        <v>276</v>
      </c>
      <c r="F605" s="88">
        <f>IFERROR(IF($D605="","",VLOOKUP($D605,Cadastro!$C$4:$E$7,3,FALSE())),"")</f>
        <v>0.13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0.55000000000000004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55</v>
      </c>
      <c r="E606" s="87" t="s">
        <v>276</v>
      </c>
      <c r="F606" s="88">
        <f>IFERROR(IF($D606="","",VLOOKUP($D606,Cadastro!$C$4:$E$7,3,FALSE())),"")</f>
        <v>0.13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0.55000000000000004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55</v>
      </c>
      <c r="E607" s="87" t="s">
        <v>276</v>
      </c>
      <c r="F607" s="92">
        <f>IFERROR(IF($D607="","",VLOOKUP($D607,Cadastro!$C$4:$E$7,3,FALSE())),"")</f>
        <v>0.13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0.55000000000000004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46.2</v>
      </c>
      <c r="L608" s="72"/>
      <c r="M608" s="72"/>
      <c r="N608" s="72"/>
      <c r="O608" s="72"/>
      <c r="P608" s="72"/>
      <c r="Q608" s="73">
        <f ca="1">IFERROR(SUM(Q596:Q607),"")</f>
        <v>2.9166666666666674E-2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46.2</v>
      </c>
      <c r="L622" s="76"/>
      <c r="M622" s="76"/>
      <c r="N622" s="76"/>
      <c r="O622" s="76"/>
      <c r="P622" s="76"/>
      <c r="Q622" s="77">
        <f ca="1">IFERROR(Q608+Q621,"")</f>
        <v>2.9166666666666674E-2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80" activePane="bottomLeft" state="frozen"/>
      <selection pane="bottomLeft" activeCell="G598" sqref="G598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105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105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2026-08-23T13:58:00Z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