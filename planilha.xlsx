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56" documentId="13_ncr:1_{0A10D8D4-8450-4366-8075-B53B08E6B7EA}" xr6:coauthVersionLast="47" xr6:coauthVersionMax="47" xr10:uidLastSave="{1D2F6CBB-31A5-4D2C-A931-19DAD5808959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3" i="3" l="1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9" i="6"/>
  <c r="J449" i="6" s="1"/>
  <c r="H450" i="6"/>
  <c r="J450" i="6" s="1"/>
  <c r="H451" i="6"/>
  <c r="J451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9" i="5"/>
  <c r="J449" i="5" s="1"/>
  <c r="H450" i="5"/>
  <c r="J450" i="5" s="1"/>
  <c r="H451" i="5"/>
  <c r="J451" i="5" s="1"/>
  <c r="H452" i="5"/>
  <c r="J452" i="5" s="1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7" i="6" l="1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<sst xmlns="http://schemas.openxmlformats.org/spreadsheetml/2006/main" count="7706" uniqueCount="367">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</sst>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2" zoomScale="85" zoomScaleNormal="85" workbookViewId="0">
      <selection activeCell="R59" sqref="R59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 t="s">
        <v>217</v>
      </c>
    </row>
    <row r="59" spans="1:18" ht="15" customHeight="1">
      <c r="M59" s="170"/>
      <c r="N59" s="17"/>
      <c r="O59" s="17"/>
      <c r="P59" s="17" t="s">
        <v>218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219</v>
      </c>
      <c r="Q61" s="17"/>
      <c r="R61" s="17"/>
    </row>
    <row r="62" spans="1:18" ht="15" customHeight="1">
      <c r="M62" s="170"/>
      <c r="N62" s="16"/>
      <c r="O62" s="16"/>
      <c r="P62" s="16" t="s">
        <v>220</v>
      </c>
      <c r="Q62" s="16"/>
      <c r="R62" s="16"/>
    </row>
    <row r="63" spans="1:18" ht="15" customHeight="1">
      <c r="M63" s="170"/>
      <c r="N63" s="17"/>
      <c r="O63" s="17"/>
      <c r="P63" s="17" t="s">
        <v>221</v>
      </c>
      <c r="Q63" s="17"/>
      <c r="R63" s="17"/>
    </row>
    <row r="64" spans="1:18" ht="15" customHeight="1">
      <c r="M64" s="170"/>
      <c r="N64" s="16"/>
      <c r="O64" s="16"/>
      <c r="P64" s="16" t="s">
        <v>222</v>
      </c>
      <c r="Q64" s="16"/>
      <c r="R64" s="16"/>
    </row>
    <row r="65" spans="13:18" ht="15" customHeight="1">
      <c r="M65" s="170"/>
      <c r="N65" s="17"/>
      <c r="O65" s="17"/>
      <c r="P65" s="17" t="s">
        <v>223</v>
      </c>
      <c r="Q65" s="17"/>
      <c r="R65" s="17"/>
    </row>
    <row r="66" spans="13:18" ht="15" customHeight="1">
      <c r="M66" s="170"/>
      <c r="N66" s="16"/>
      <c r="O66" s="16"/>
      <c r="P66" s="16" t="s">
        <v>224</v>
      </c>
      <c r="Q66" s="16"/>
      <c r="R66" s="16"/>
    </row>
    <row r="67" spans="13:18" ht="15" customHeight="1">
      <c r="M67" s="170"/>
      <c r="N67" s="17"/>
      <c r="O67" s="17"/>
      <c r="P67" s="17" t="s">
        <v>225</v>
      </c>
      <c r="Q67" s="17"/>
      <c r="R67" s="17"/>
    </row>
    <row r="68" spans="13:18" ht="15" customHeight="1">
      <c r="M68" s="170"/>
      <c r="N68" s="16"/>
      <c r="O68" s="16"/>
      <c r="P68" s="16" t="s">
        <v>226</v>
      </c>
      <c r="Q68" s="16"/>
      <c r="R68" s="16"/>
    </row>
    <row r="69" spans="13:18" ht="15" customHeight="1">
      <c r="M69" s="170"/>
      <c r="N69" s="17"/>
      <c r="O69" s="17"/>
      <c r="P69" s="17" t="s">
        <v>227</v>
      </c>
      <c r="Q69" s="17"/>
      <c r="R69" s="17"/>
    </row>
    <row r="70" spans="13:18" ht="15" customHeight="1">
      <c r="M70" s="170"/>
      <c r="N70" s="16"/>
      <c r="O70" s="16"/>
      <c r="P70" s="16" t="s">
        <v>228</v>
      </c>
      <c r="Q70" s="16"/>
      <c r="R70" s="16"/>
    </row>
    <row r="71" spans="13:18" ht="15" customHeight="1">
      <c r="M71" s="170"/>
      <c r="N71" s="17"/>
      <c r="O71" s="17"/>
      <c r="P71" s="17" t="s">
        <v>229</v>
      </c>
      <c r="Q71" s="17"/>
      <c r="R71" s="17"/>
    </row>
    <row r="72" spans="13:18" ht="15" customHeight="1">
      <c r="M72" s="170"/>
      <c r="N72" s="16"/>
      <c r="O72" s="16"/>
      <c r="P72" s="16" t="s">
        <v>230</v>
      </c>
      <c r="Q72" s="16"/>
      <c r="R72" s="16"/>
    </row>
    <row r="73" spans="13:18" ht="15" customHeight="1">
      <c r="M73" s="170"/>
      <c r="N73" s="17"/>
      <c r="O73" s="17"/>
      <c r="P73" s="17" t="s">
        <v>231</v>
      </c>
      <c r="Q73" s="17"/>
      <c r="R73" s="17"/>
    </row>
    <row r="74" spans="13:18" ht="15" customHeight="1">
      <c r="M74" s="170"/>
      <c r="N74" s="16"/>
      <c r="O74" s="16"/>
      <c r="P74" s="16" t="s">
        <v>232</v>
      </c>
      <c r="Q74" s="16"/>
      <c r="R74" s="16"/>
    </row>
    <row r="75" spans="13:18" ht="15" customHeight="1">
      <c r="M75" s="170"/>
      <c r="N75" s="17"/>
      <c r="O75" s="17"/>
      <c r="P75" s="17" t="s">
        <v>233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26" activePane="bottomLeft" state="frozen"/>
      <selection pane="bottomLeft" activeCell="J447" sqref="J447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23" t="s">
        <v>236</v>
      </c>
      <c r="G1" s="23" t="s">
        <v>237</v>
      </c>
      <c r="H1" s="23" t="s">
        <v>21</v>
      </c>
      <c r="I1" s="23" t="s">
        <v>22</v>
      </c>
      <c r="J1" s="23" t="s">
        <v>238</v>
      </c>
      <c r="K1" s="23" t="s">
        <v>239</v>
      </c>
      <c r="L1" s="23" t="s">
        <v>240</v>
      </c>
      <c r="M1" s="24" t="s">
        <v>241</v>
      </c>
      <c r="N1" s="23" t="s">
        <v>242</v>
      </c>
      <c r="O1" s="23" t="s">
        <v>243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245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246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244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244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247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248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246</v>
      </c>
      <c r="O27" s="39">
        <v>997910</v>
      </c>
    </row>
    <row r="28" spans="1:15" ht="18" customHeight="1">
      <c r="A28" s="161" t="s">
        <v>249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250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244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251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244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247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245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246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252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244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244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244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244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244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248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246</v>
      </c>
      <c r="O54" s="39">
        <v>981310</v>
      </c>
    </row>
    <row r="55" spans="1:15" ht="18" customHeight="1">
      <c r="A55" s="161" t="s">
        <v>249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250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244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245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246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244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253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248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246</v>
      </c>
      <c r="O81" s="39">
        <v>1547910</v>
      </c>
    </row>
    <row r="82" spans="1:15" ht="18" customHeight="1">
      <c r="A82" s="161" t="s">
        <v>249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250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244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244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254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245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246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255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248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246</v>
      </c>
      <c r="O108" s="39">
        <v>3156240</v>
      </c>
    </row>
    <row r="109" spans="1:15" ht="18" customHeight="1">
      <c r="A109" s="161" t="s">
        <v>249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250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245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246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248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246</v>
      </c>
      <c r="O135" s="39">
        <v>2875180</v>
      </c>
    </row>
    <row r="136" spans="1:15" ht="18" customHeight="1">
      <c r="A136" s="161" t="s">
        <v>249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250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256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244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244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244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245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246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244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257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244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244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244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248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246</v>
      </c>
      <c r="O162" s="44">
        <v>842000</v>
      </c>
    </row>
    <row r="163" spans="1:15" ht="18" customHeight="1">
      <c r="A163" s="161" t="s">
        <v>249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250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258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244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245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246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259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248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246</v>
      </c>
      <c r="O189" s="39">
        <v>1901630</v>
      </c>
    </row>
    <row r="190" spans="1:15" ht="18" customHeight="1">
      <c r="A190" s="161" t="s">
        <v>249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250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244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244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261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245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246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248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246</v>
      </c>
      <c r="O216" s="45">
        <v>1852295</v>
      </c>
    </row>
    <row r="217" spans="1:15" ht="18" customHeight="1">
      <c r="A217" s="161" t="s">
        <v>249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250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244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244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262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245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246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244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244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248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246</v>
      </c>
      <c r="O243" s="39">
        <v>991010</v>
      </c>
    </row>
    <row r="244" spans="1:15" ht="18" customHeight="1">
      <c r="A244" s="161" t="s">
        <v>249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250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244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244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244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264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244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244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244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244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244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245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246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265</v>
      </c>
      <c r="E258" s="62" t="s">
        <v>244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265</v>
      </c>
      <c r="E259" s="62" t="s">
        <v>244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265</v>
      </c>
      <c r="E260" s="62" t="s">
        <v>244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265</v>
      </c>
      <c r="E261" s="62" t="s">
        <v>244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265</v>
      </c>
      <c r="E262" s="62" t="s">
        <v>244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265</v>
      </c>
      <c r="E263" s="62" t="s">
        <v>244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265</v>
      </c>
      <c r="E264" s="62" t="s">
        <v>244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265</v>
      </c>
      <c r="E265" s="62" t="s">
        <v>244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265</v>
      </c>
      <c r="E266" s="62" t="s">
        <v>244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265</v>
      </c>
      <c r="E267" s="62" t="s">
        <v>244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265</v>
      </c>
      <c r="E268" s="62" t="s">
        <v>244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265</v>
      </c>
      <c r="E269" s="62" t="s">
        <v>244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248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246</v>
      </c>
      <c r="O270" s="39">
        <v>1544700</v>
      </c>
    </row>
    <row r="271" spans="1:15" ht="18" customHeight="1">
      <c r="A271" s="161" t="s">
        <v>249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250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265</v>
      </c>
      <c r="E272" s="59" t="s">
        <v>244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265</v>
      </c>
      <c r="E273" s="59" t="s">
        <v>244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265</v>
      </c>
      <c r="E274" s="59" t="s">
        <v>244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265</v>
      </c>
      <c r="E275" s="59" t="s">
        <v>244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265</v>
      </c>
      <c r="E276" s="59" t="s">
        <v>244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265</v>
      </c>
      <c r="E277" s="59" t="s">
        <v>244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266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265</v>
      </c>
      <c r="E278" s="59" t="s">
        <v>244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265</v>
      </c>
      <c r="E279" s="59" t="s">
        <v>244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265</v>
      </c>
      <c r="E280" s="59" t="s">
        <v>244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265</v>
      </c>
      <c r="E281" s="59" t="s">
        <v>244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265</v>
      </c>
      <c r="E282" s="59" t="s">
        <v>244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265</v>
      </c>
      <c r="E283" s="59" t="s">
        <v>244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245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246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265</v>
      </c>
      <c r="E285" s="62" t="s">
        <v>260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265</v>
      </c>
      <c r="E286" s="62" t="s">
        <v>260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265</v>
      </c>
      <c r="E287" s="62" t="s">
        <v>260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265</v>
      </c>
      <c r="E288" s="62" t="s">
        <v>260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265</v>
      </c>
      <c r="E289" s="62" t="s">
        <v>260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265</v>
      </c>
      <c r="E290" s="62" t="s">
        <v>260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265</v>
      </c>
      <c r="E291" s="62" t="s">
        <v>260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265</v>
      </c>
      <c r="E292" s="62" t="s">
        <v>260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265</v>
      </c>
      <c r="E293" s="62" t="s">
        <v>260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265</v>
      </c>
      <c r="E294" s="62" t="s">
        <v>260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265</v>
      </c>
      <c r="E295" s="62" t="s">
        <v>260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265</v>
      </c>
      <c r="E296" s="62" t="s">
        <v>260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248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246</v>
      </c>
      <c r="O297" s="39">
        <v>1715230</v>
      </c>
    </row>
    <row r="298" spans="1:15" ht="18" customHeight="1">
      <c r="A298" s="161" t="s">
        <v>249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250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244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244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244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244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267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244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244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244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244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244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244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244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244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245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246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244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244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244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244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244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244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244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244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244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244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244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244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248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246</v>
      </c>
      <c r="O324" s="39">
        <v>2216340</v>
      </c>
    </row>
    <row r="325" spans="1:15" ht="18" customHeight="1">
      <c r="A325" s="161" t="s">
        <v>249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250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268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244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244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244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269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244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244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244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244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245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246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244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244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244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244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244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244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244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244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244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244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244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244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248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246</v>
      </c>
      <c r="O351" s="39">
        <v>2154990</v>
      </c>
    </row>
    <row r="352" spans="1:15" ht="18" customHeight="1">
      <c r="A352" s="161" t="s">
        <v>249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250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244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244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244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244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244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244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260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244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244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244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244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244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245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246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244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244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244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244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244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244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244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244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244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244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244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244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248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246</v>
      </c>
      <c r="O378" s="39">
        <v>2614830</v>
      </c>
    </row>
    <row r="379" spans="1:15" ht="18" customHeight="1">
      <c r="A379" s="161" t="s">
        <v>249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250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244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244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244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244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244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244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244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244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244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244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244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244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245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246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244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270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244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244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244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244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244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244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244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244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244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244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244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248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246</v>
      </c>
      <c r="O405" s="39">
        <v>2612000</v>
      </c>
    </row>
    <row r="406" spans="1:15" ht="18" customHeight="1">
      <c r="A406" s="161" t="s">
        <v>249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250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244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244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244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244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244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244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244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244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244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244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244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244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245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246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244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226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244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271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244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271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244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244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244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244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244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244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244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244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244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248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246</v>
      </c>
      <c r="O432" s="39">
        <v>2266710</v>
      </c>
    </row>
    <row r="433" spans="1:15" ht="18" customHeight="1">
      <c r="A433" s="161" t="s">
        <v>249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250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244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244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244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244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244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244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244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244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244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244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244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244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245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246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244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141</v>
      </c>
      <c r="K447" s="29">
        <v>0.92013888888888884</v>
      </c>
      <c r="L447" s="29"/>
      <c r="M447" s="35">
        <f t="shared" ref="M447:M458" ca="1" si="95">IFERROR(IF(K447="","",IF(L447="",MOD(NOW()-K447,1),IF(L447&gt;=K447,L447-K447,L447+1-K447))),"")</f>
        <v>3.3888888719957322E-4</v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244</v>
      </c>
      <c r="F448" s="27">
        <v>60</v>
      </c>
      <c r="G448" s="28">
        <f t="shared" si="94"/>
        <v>300</v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244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244</v>
      </c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244</v>
      </c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244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272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244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273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244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274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244</v>
      </c>
      <c r="F455" s="27"/>
      <c r="G455" s="151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244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244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244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248</v>
      </c>
      <c r="B459" s="160"/>
      <c r="C459" s="160"/>
      <c r="D459" s="160"/>
      <c r="E459" s="172">
        <f>SUM(E447:E458)</f>
        <v>0</v>
      </c>
      <c r="F459" s="36">
        <f>SUM(F447:F458)</f>
        <v>135</v>
      </c>
      <c r="G459" s="36">
        <f>SUM(G447:G458)</f>
        <v>675</v>
      </c>
      <c r="H459" s="37"/>
      <c r="I459" s="37"/>
      <c r="J459" s="37"/>
      <c r="K459" s="37"/>
      <c r="L459" s="37"/>
      <c r="M459" s="38">
        <f ca="1">IFERROR(SUM(M447:M458),"")</f>
        <v>3.3888888719957322E-4</v>
      </c>
      <c r="N459" s="36" t="s">
        <v>246</v>
      </c>
      <c r="O459" s="39"/>
    </row>
    <row r="460" spans="1:15" ht="18" customHeight="1">
      <c r="A460" s="161" t="s">
        <v>249</v>
      </c>
      <c r="B460" s="162"/>
      <c r="C460" s="162"/>
      <c r="D460" s="162"/>
      <c r="E460" s="173">
        <f>E446+E459</f>
        <v>0</v>
      </c>
      <c r="F460" s="40">
        <f>F446+F459</f>
        <v>303</v>
      </c>
      <c r="G460" s="40">
        <f>G446+G459</f>
        <v>1515</v>
      </c>
      <c r="H460" s="41"/>
      <c r="I460" s="41"/>
      <c r="J460" s="41"/>
      <c r="K460" s="41"/>
      <c r="L460" s="41"/>
      <c r="M460" s="42">
        <f ca="1">IFERROR(M446+M459,"")</f>
        <v>0.12881111110942189</v>
      </c>
      <c r="N460" s="40" t="s">
        <v>250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245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246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248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246</v>
      </c>
      <c r="O486" s="39"/>
    </row>
    <row r="487" spans="1:15" ht="18" customHeight="1">
      <c r="A487" s="161" t="s">
        <v>249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250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245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246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248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246</v>
      </c>
      <c r="O513" s="39"/>
    </row>
    <row r="514" spans="1:15" ht="18" customHeight="1">
      <c r="A514" s="161" t="s">
        <v>249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250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245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246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248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246</v>
      </c>
      <c r="O540" s="39"/>
    </row>
    <row r="541" spans="1:15" ht="18" customHeight="1">
      <c r="A541" s="161" t="s">
        <v>249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250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245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246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248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246</v>
      </c>
      <c r="O567" s="39"/>
    </row>
    <row r="568" spans="1:15" ht="18" customHeight="1">
      <c r="A568" s="161" t="s">
        <v>249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250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245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246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248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246</v>
      </c>
      <c r="O594" s="39"/>
    </row>
    <row r="595" spans="1:15" ht="18" customHeight="1">
      <c r="A595" s="161" t="s">
        <v>249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250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245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246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248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246</v>
      </c>
      <c r="O621" s="39"/>
    </row>
    <row r="622" spans="1:15" ht="18" customHeight="1">
      <c r="A622" s="161" t="s">
        <v>249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250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245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246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248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246</v>
      </c>
      <c r="O648" s="39"/>
    </row>
    <row r="649" spans="1:15" ht="18" customHeight="1">
      <c r="A649" s="161" t="s">
        <v>249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250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245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246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248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246</v>
      </c>
      <c r="O675" s="39"/>
    </row>
    <row r="676" spans="1:15" ht="18" customHeight="1">
      <c r="A676" s="161" t="s">
        <v>249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250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245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246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248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246</v>
      </c>
      <c r="O702" s="39"/>
    </row>
    <row r="703" spans="1:15" ht="18" customHeight="1">
      <c r="A703" s="161" t="s">
        <v>249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250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245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246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248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246</v>
      </c>
      <c r="O729" s="39"/>
    </row>
    <row r="730" spans="1:15" ht="18" customHeight="1">
      <c r="A730" s="161" t="s">
        <v>249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250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245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246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248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246</v>
      </c>
      <c r="O756" s="39"/>
    </row>
    <row r="757" spans="1:15" ht="18" customHeight="1">
      <c r="A757" s="161" t="s">
        <v>249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250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245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246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248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246</v>
      </c>
      <c r="O783" s="39"/>
    </row>
    <row r="784" spans="1:15" ht="18" customHeight="1">
      <c r="A784" s="161" t="s">
        <v>249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250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245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246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248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246</v>
      </c>
      <c r="O810" s="39"/>
    </row>
    <row r="811" spans="1:15" ht="18" customHeight="1">
      <c r="A811" s="175" t="s">
        <v>249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250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245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246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248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246</v>
      </c>
      <c r="O837" s="39"/>
    </row>
    <row r="838" spans="1:15" ht="18" customHeight="1">
      <c r="A838" s="161" t="s">
        <v>249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G449" sqref="G44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275</v>
      </c>
      <c r="I1" s="133" t="s">
        <v>20</v>
      </c>
      <c r="J1" s="133" t="s">
        <v>276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276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246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260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260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260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260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260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260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260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260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260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260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260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246</v>
      </c>
      <c r="S27" s="45">
        <v>549860</v>
      </c>
      <c r="T27" s="122"/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250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246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0.7989499999966938</v>
      </c>
      <c r="R53" s="46" t="s">
        <v>285</v>
      </c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0.93783888888558264</v>
      </c>
      <c r="R54" s="36" t="s">
        <v>246</v>
      </c>
      <c r="S54" s="75">
        <v>352430</v>
      </c>
      <c r="T54" s="117"/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1.022561111107805</v>
      </c>
      <c r="R55" s="40" t="s">
        <v>250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246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260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246</v>
      </c>
      <c r="S81" s="54">
        <v>634210</v>
      </c>
      <c r="T81" s="118"/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250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260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246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287</v>
      </c>
      <c r="Q96" s="30" t="str">
        <f t="shared" ref="Q96:Q107" ca="1" si="22">IFERROR(IF(O96="","",IF(P96="",MOD(NOW()-O96,1),IF(P96&gt;=O96,P96-O96,P96+1-O96))),"")</f>
        <v/>
      </c>
      <c r="R96" s="46" t="s">
        <v>288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247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246</v>
      </c>
      <c r="S108" s="54">
        <v>456830</v>
      </c>
      <c r="T108" s="118"/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250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246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246</v>
      </c>
      <c r="S135" s="54">
        <v>756720</v>
      </c>
      <c r="T135" s="118"/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250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246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246</v>
      </c>
      <c r="S162" s="54">
        <v>501750</v>
      </c>
      <c r="T162" s="118"/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250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260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260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260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260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260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260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260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260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260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260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246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260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260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260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260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246</v>
      </c>
      <c r="S189" s="45">
        <v>362530</v>
      </c>
      <c r="T189" s="122"/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250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246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246</v>
      </c>
      <c r="S216" s="45">
        <v>609740</v>
      </c>
      <c r="T216" s="122"/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250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247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245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246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247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246</v>
      </c>
      <c r="S243" s="45">
        <v>825930</v>
      </c>
      <c r="T243" s="122"/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250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246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260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260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260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260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260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260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260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260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260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260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260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260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45">
        <v>732130</v>
      </c>
      <c r="T270" s="122"/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250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260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260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260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260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244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260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244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244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260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260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244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244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244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244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244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45">
        <v>990260</v>
      </c>
      <c r="T297" s="122"/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260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260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260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260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260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260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260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260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260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260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260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260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246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260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260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260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260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260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260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260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260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260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260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246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250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304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305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306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246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298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293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246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250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286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246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307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246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250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260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260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308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246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309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246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250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246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310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248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246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249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250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311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312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246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130</v>
      </c>
      <c r="N448" s="26" t="s">
        <v>217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260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30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126</v>
      </c>
      <c r="L459" s="37"/>
      <c r="M459" s="37"/>
      <c r="N459" s="37"/>
      <c r="O459" s="37"/>
      <c r="P459" s="37"/>
      <c r="Q459" s="38">
        <f ca="1">IFERROR(SUM(Q447:Q458),"")</f>
        <v>6.9444444444444198E-3</v>
      </c>
      <c r="R459" s="36" t="s">
        <v>246</v>
      </c>
      <c r="S459" s="45"/>
      <c r="T459" s="122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142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596.40000000000009</v>
      </c>
      <c r="L460" s="41"/>
      <c r="M460" s="41"/>
      <c r="N460" s="41"/>
      <c r="O460" s="41"/>
      <c r="P460" s="41"/>
      <c r="Q460" s="42">
        <f ca="1">IFERROR(Q446+Q459,"")</f>
        <v>7.4305555555555625E-2</v>
      </c>
      <c r="R460" s="40" t="s">
        <v>250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45"/>
      <c r="T486" s="122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248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45"/>
      <c r="T513" s="122">
        <f>IFERROR(J513,"")</f>
        <v>0</v>
      </c>
    </row>
    <row r="514" spans="1:20" ht="18" customHeight="1">
      <c r="A514" s="83" t="s">
        <v>249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45"/>
      <c r="T540" s="122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45"/>
      <c r="T567" s="122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45"/>
      <c r="T594" s="122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45"/>
      <c r="T621" s="122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45"/>
      <c r="T648" s="122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45"/>
      <c r="T675" s="122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45"/>
      <c r="T702" s="122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45"/>
      <c r="T729" s="122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75"/>
      <c r="T837" s="117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49" sqref="G44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275</v>
      </c>
      <c r="I1" s="133" t="s">
        <v>20</v>
      </c>
      <c r="J1" s="133" t="s">
        <v>276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276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246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260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260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246</v>
      </c>
      <c r="S27" s="39">
        <v>358000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250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246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246</v>
      </c>
      <c r="S54" s="39">
        <v>279980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250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260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260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260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260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260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260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260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260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260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246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246</v>
      </c>
      <c r="S81" s="39">
        <v>185920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250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246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246</v>
      </c>
      <c r="S108" s="39">
        <v>434370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250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246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246</v>
      </c>
      <c r="S135" s="39">
        <v>416350</v>
      </c>
      <c r="T135" s="119">
        <f>IFERROR(J135,"")</f>
        <v>0</v>
      </c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250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246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246</v>
      </c>
      <c r="S162" s="39">
        <v>169760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250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246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246</v>
      </c>
      <c r="S189" s="39">
        <v>72220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250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246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246</v>
      </c>
      <c r="S216" s="39">
        <v>148720</v>
      </c>
      <c r="T216" s="119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250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326</v>
      </c>
      <c r="Q222" s="30" t="str">
        <f t="shared" ca="1" si="49"/>
        <v/>
      </c>
      <c r="R222" s="27" t="s">
        <v>327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246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246</v>
      </c>
      <c r="S243" s="39">
        <v>352720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250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244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244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246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260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260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260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260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260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260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260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260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260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260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260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260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39">
        <v>327900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250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244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39">
        <v>462190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246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246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250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304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305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260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246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246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250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286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246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246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250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308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246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246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250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331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246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332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246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250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333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333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246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133</v>
      </c>
      <c r="N447" s="33" t="s">
        <v>217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260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31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130.19999999999999</v>
      </c>
      <c r="L459" s="37"/>
      <c r="M459" s="37"/>
      <c r="N459" s="37"/>
      <c r="O459" s="37"/>
      <c r="P459" s="37"/>
      <c r="Q459" s="38">
        <f ca="1">IFERROR(SUM(Q447:Q458),"")</f>
        <v>6.9444444444444198E-3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116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487.20000000000005</v>
      </c>
      <c r="L460" s="41"/>
      <c r="M460" s="41"/>
      <c r="N460" s="41"/>
      <c r="O460" s="41"/>
      <c r="P460" s="41"/>
      <c r="Q460" s="42">
        <f ca="1">IFERROR(Q446+Q459,"")</f>
        <v>5.2083333333333315E-2</v>
      </c>
      <c r="R460" s="40" t="s">
        <v>250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L450" sqref="L45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275</v>
      </c>
      <c r="I1" s="133" t="s">
        <v>20</v>
      </c>
      <c r="J1" s="133" t="s">
        <v>276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276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246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260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260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260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246</v>
      </c>
      <c r="S27" s="39">
        <v>491520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250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260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260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260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260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260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260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260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260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260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260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245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246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246</v>
      </c>
      <c r="S54" s="39">
        <v>352430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250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246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246</v>
      </c>
      <c r="S81" s="39">
        <v>612410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250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246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246</v>
      </c>
      <c r="S108" s="39">
        <v>956070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250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246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246</v>
      </c>
      <c r="S135" s="39">
        <v>912240</v>
      </c>
      <c r="T135" s="119">
        <f>IFERROR(J135,"")</f>
        <v>0</v>
      </c>
    </row>
    <row r="136" spans="1:22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250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245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246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246</v>
      </c>
      <c r="S162" s="39">
        <v>573230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250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246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246</v>
      </c>
      <c r="S189" s="39">
        <v>692750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250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246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246</v>
      </c>
      <c r="S216" s="45">
        <v>607180</v>
      </c>
      <c r="T216" s="122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250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246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246</v>
      </c>
      <c r="S243" s="39">
        <v>795250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250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 t="s">
        <v>270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246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260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260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260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260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260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260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260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260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260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260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260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260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246</v>
      </c>
      <c r="S270" s="39">
        <v>683360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250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260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246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246</v>
      </c>
      <c r="S297" s="39">
        <v>904710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250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246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246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250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260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245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246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246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250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245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246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246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250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260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308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246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226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246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250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233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246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366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246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250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260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246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78" t="s">
        <v>260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151" t="str">
        <f>IF(G451="","",IF(E452="PC 17",G451*4.2,IF(E452="PC 19",G451*5,"")))</f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82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344.4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265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1113</v>
      </c>
      <c r="L460" s="41"/>
      <c r="M460" s="41"/>
      <c r="N460" s="41"/>
      <c r="O460" s="63"/>
      <c r="P460" s="63"/>
      <c r="Q460" s="42">
        <f ca="1">IFERROR(Q446+Q459,"")</f>
        <v>3.6111111111111094E-2</v>
      </c>
      <c r="R460" s="40" t="s">
        <v>250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250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2026-08-18T02:05:40Z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