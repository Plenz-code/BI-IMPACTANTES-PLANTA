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1373" documentId="13_ncr:1_{0A10D8D4-8450-4366-8075-B53B08E6B7EA}" xr6:coauthVersionLast="47" xr6:coauthVersionMax="47" xr10:uidLastSave="{A5574AF3-094A-4CC6-904F-846E3FA484DD}"/>
  <bookViews>
    <workbookView xWindow="-28920" yWindow="-60" windowWidth="29040" windowHeight="15720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5" i="1" l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B308" i="3"/>
  <c r="B309" i="3" s="1"/>
  <c r="B310" i="3" s="1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390" i="6"/>
  <c r="J391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380" i="6"/>
  <c r="J380" i="6" s="1"/>
  <c r="H381" i="6"/>
  <c r="J381" i="6" s="1"/>
  <c r="H382" i="6"/>
  <c r="J382" i="6" s="1"/>
  <c r="H383" i="6"/>
  <c r="J383" i="6" s="1"/>
  <c r="H384" i="6"/>
  <c r="J384" i="6" s="1"/>
  <c r="H385" i="6"/>
  <c r="J385" i="6" s="1"/>
  <c r="H386" i="6"/>
  <c r="J386" i="6" s="1"/>
  <c r="H387" i="6"/>
  <c r="J387" i="6" s="1"/>
  <c r="H388" i="6"/>
  <c r="J388" i="6" s="1"/>
  <c r="H389" i="6"/>
  <c r="J389" i="6" s="1"/>
  <c r="H390" i="6"/>
  <c r="H391" i="6"/>
  <c r="H377" i="6"/>
  <c r="J377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77" i="5"/>
  <c r="J377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77" i="4"/>
  <c r="J377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405" i="5"/>
  <c r="T405" i="5" s="1"/>
  <c r="J756" i="5"/>
  <c r="T756" i="5" s="1"/>
  <c r="J405" i="4"/>
  <c r="T405" i="4" s="1"/>
  <c r="J729" i="6"/>
  <c r="T729" i="6" s="1"/>
  <c r="J405" i="6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392" i="4"/>
  <c r="J581" i="4"/>
  <c r="T581" i="4" s="1"/>
  <c r="J392" i="5"/>
  <c r="T392" i="5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392" i="6"/>
  <c r="T392" i="6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405" i="6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392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392" i="5"/>
  <c r="H473" i="5"/>
  <c r="H581" i="5"/>
  <c r="H621" i="5"/>
  <c r="H648" i="5"/>
  <c r="H459" i="5"/>
  <c r="H635" i="5"/>
  <c r="H689" i="5"/>
  <c r="H608" i="5"/>
  <c r="H405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486" i="4"/>
  <c r="H581" i="4"/>
  <c r="H595" i="4" s="1"/>
  <c r="H770" i="4"/>
  <c r="H635" i="4"/>
  <c r="H648" i="4"/>
  <c r="H405" i="4"/>
  <c r="H392" i="4"/>
  <c r="H406" i="4" s="1"/>
  <c r="H729" i="4"/>
  <c r="H473" i="4"/>
  <c r="H487" i="4" s="1"/>
  <c r="H594" i="4"/>
  <c r="H500" i="4"/>
  <c r="H513" i="4"/>
  <c r="H540" i="4"/>
  <c r="H541" i="4" s="1"/>
  <c r="H406" i="5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406" i="6"/>
  <c r="T406" i="6" s="1"/>
  <c r="T405" i="6"/>
  <c r="J622" i="4"/>
  <c r="T622" i="4" s="1"/>
  <c r="T608" i="4"/>
  <c r="J406" i="4"/>
  <c r="T406" i="4" s="1"/>
  <c r="T392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06" i="5"/>
  <c r="T406" i="5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406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18" i="1"/>
  <c r="J18" i="1" s="1"/>
  <c r="H22" i="1"/>
  <c r="J22" i="1" s="1"/>
  <c r="H23" i="1"/>
  <c r="J23" i="1" s="1"/>
  <c r="H24" i="1"/>
  <c r="J24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G406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H376" i="6" s="1"/>
  <c r="J376" i="6" s="1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H376" i="5" s="1"/>
  <c r="J376" i="5" s="1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H376" i="4" s="1"/>
  <c r="J376" i="4" s="1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74" i="6" l="1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T365" i="5" l="1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T365" i="6" l="1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<sst xmlns="http://schemas.openxmlformats.org/spreadsheetml/2006/main" count="6562" uniqueCount="349">
  <si>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</si>
  <si>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</si>
  <si>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</si>
  <si>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</si>
  <si>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</si>
  <si>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</si>
  <si>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</si>
  <si>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</si>
  <si>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</si>
  <si>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</si>
  <si>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</si>
  <si>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</si>
  <si>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</si>
  <si>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</si>
  <si>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</si>
  <si>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</si>
  <si>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</si>
  <si>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</si>
  <si>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</si>
  <si>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</si>
  <si>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</si>
  <si>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</si>
  <si>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</si>
  <si>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</si>
  <si>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</si>
  <si>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</si>
  <si>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</si>
  <si>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</si>
  <si>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</si>
  <si>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</si>
  <si>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</si>
  <si>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</si>
  <si>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</si>
  <si>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</si>
  <si>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</si>
  <si>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</si>
  <si>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</si>
  <si>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</si>
  <si>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b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</si>
  <si>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</si>
  <si>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</si>
  <si>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</si>
  <si>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</si>
  <si>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</si>
  <si>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</si>
  <si>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</si>
  <si>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</si>
  <si>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</si>
  <si>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</si>
  <si>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</si>
  <si>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</si>
  <si>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</si>
  <si>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</si>
  <si>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</si>
  <si>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</si>
  <si>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</si>
  <si>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</si>
  <si>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</si>
  <si>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</si>
  <si>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</si>
  <si>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</si>
  <si>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</si>
  <si>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</si>
  <si>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</si>
  <si>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</si>
  <si>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</si>
  <si>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</si>
  <si>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</si>
  <si>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</si>
  <si>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</si>
  <si>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</si>
  <si>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</si>
  <si>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</si>
  <si>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</si>
  <si>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</si>
  <si>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</si>
  <si>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</si>
  <si>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</si>
  <si>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</si>
  <si>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</si>
  <si>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</si>
  <si>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</si>
  <si>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</si>
  <si>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</si>
  <si>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</si>
  <si>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</si>
  <si>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</si>
  <si>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</si>
  <si>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</si>
  <si>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</si>
  <si>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</si>
  <si>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</si>
  <si>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</si>
  <si>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</si>
  <si>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</si>
  <si>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</si>
  <si>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</si>
  <si>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</si>
  <si>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</si>
  <si>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</si>
  <si>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</si>
  <si>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</si>
  <si>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</si>
  <si>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</si>
  <si>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</si>
  <si>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</si>
  <si>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</si>
  <si>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</si>
  <si>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</si>
  <si>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</si>
  <si>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</si>
  <si>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</si>
  <si>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</si>
  <si>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</si>
  <si>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</si>
  <si>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</si>
  <si>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</si>
  <si>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</si>
  <si>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</si>
  <si>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</si>
  <si>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</si>
  <si>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</si>
  <si>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</si>
  <si>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</si>
  <si>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</si>
  <si>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</si>
  <si>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</si>
  <si>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</si>
  <si>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</si>
  <si>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</si>
  <si>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</si>
  <si>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</si>
  <si>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</si>
  <si>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</si>
  <si>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</si>
  <si>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</si>
  <si>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</si>
  <si>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</si>
  <si>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</si>
  <si>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</si>
  <si>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</si>
  <si>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</si>
  <si>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</si>
  <si>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</si>
  <si>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</si>
  <si>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</si>
  <si>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</si>
  <si>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</si>
  <si>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</si>
  <si>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</si>
  <si>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</si>
  <si>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</si>
  <si>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</si>
  <si>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</si>
  <si>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</si>
  <si>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</si>
  <si>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</si>
  <si>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</si>
  <si>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</si>
  <si>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</si>
  <si>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</si>
  <si>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</si>
  <si>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</si>
  <si>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</si>
  <si>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</si>
  <si>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</si>
  <si>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</si>
  <si>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</si>
  <si>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</si>
  <si>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</si>
  <si>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</si>
  <si>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</si>
  <si>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</si>
  <si>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</si>
  <si>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</si>
  <si>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</si>
  <si>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</si>
  <si>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</si>
  <si>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</si>
  <si>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</si>
  <si>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</si>
  <si>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</si>
  <si>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</si>
  <si>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</si>
  <si>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</si>
  <si>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</si>
  <si>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</si>
  <si>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</si>
  <si>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</si>
  <si>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</si>
  <si>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</si>
  <si>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</si>
  <si>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</si>
  <si>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</si>
  <si>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</si>
  <si>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</si>
  <si>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</si>
  <si>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</si>
  <si>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</si>
  <si>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</si>
  <si>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</si>
  <si>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</si>
  <si>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</si>
  <si>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</si>
  <si>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</si>
  <si>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</si>
  <si>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</si>
  <si>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</si>
  <si>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</si>
  <si>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</si>
  <si>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</si>
  <si>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</si>
  <si>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</si>
  <si>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</si>
  <si>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</si>
  <si>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</si>
  <si>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</si>
  <si>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</si>
  <si>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</si>
  <si>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</si>
  <si>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</si>
  <si>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</si>
  <si>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</si>
  <si>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</si>
  <si>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</si>
  <si>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</si>
  <si>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</si>
  <si>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</si>
  <si>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</si>
  <si>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</si>
  <si>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</si>
  <si>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</si>
  <si>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</si>
  <si>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</si>
  <si>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</si>
  <si>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</si>
  <si>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</si>
  <si>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</si>
  <si>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</si>
  <si>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</si>
  <si>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</si>
  <si>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</si>
  <si>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</si>
  <si>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</si>
  <si>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</si>
  <si>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</si>
  <si>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</si>
  <si>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</si>
  <si>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</si>
  <si>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</si>
  <si>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</si>
  <si>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</si>
  <si>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</si>
  <si>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</si>
  <si>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</si>
  <si>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</si>
  <si>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</si>
  <si>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</si>
  <si>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</si>
  <si>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</si>
  <si>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</si>
  <si>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</si>
  <si>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</si>
  <si>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</si>
  <si>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</si>
  <si>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</si>
  <si>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</si>
  <si>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</si>
  <si>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</si>
  <si>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</si>
  <si>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</si>
  <si>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</si>
  <si>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</si>
  <si>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</si>
  <si>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</si>
  <si>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</si>
  <si>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</si>
  <si>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</si>
  <si>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</si>
  <si>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</si>
  <si>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</si>
  <si>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</si>
  <si>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</si>
  <si>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</si>
  <si>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</si>
  <si>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</si>
  <si>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</si>
  <si>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</si>
  <si>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</si>
  <si>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</si>
  <si>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</si>
  <si>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</si>
  <si>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</si>
  <si>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</si>
  <si>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</si>
  <si>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</si>
  <si>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</si>
  <si>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</si>
  <si>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</si>
  <si>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</si>
  <si>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</si>
  <si>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</si>
  <si>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</si>
  <si>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</si>
  <si>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</si>
  <si>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</si>
  <si>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</si>
  <si>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</si>
  <si>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</si>
  <si>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</si>
  <si>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</si>
  <si>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</si>
  <si>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</si>
  <si>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</si>
  <si>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</si>
  <si>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</si>
  <si>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</si>
  <si>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</si>
  <si>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</si>
  <si>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</si>
  <si>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</si>
  <si>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</si>
  <si>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</si>
  <si>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</si>
  <si>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</si>
  <si>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</si>
  <si>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</si>
  <si>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</si>
  <si>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</si>
  <si>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</si>
  <si>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</si>
  <si>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</si>
  <si>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</si>
  <si>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</si>
  <si>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</si>
  <si>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</si>
  <si>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</si>
  <si>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</si>
  <si>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</si>
  <si>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</si>
  <si>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</si>
  <si>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</si>
  <si>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 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</si>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</sst>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C18" sqref="C18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28515625" hidden="1" customWidth="1"/>
    <col min="11" max="11" width="22.140625" hidden="1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186.62356853735207</v>
      </c>
      <c r="I15" s="96">
        <v>702</v>
      </c>
      <c r="J15" s="129">
        <f t="shared" si="1"/>
        <v>-1.7615827706107607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/>
      <c r="J16" s="129">
        <f t="shared" si="1"/>
        <v>0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2315280</v>
      </c>
      <c r="D17" s="11">
        <f>IFERROR('Linha 1'!S379,"")</f>
        <v>622270</v>
      </c>
      <c r="E17" s="11">
        <f>IFERROR('Linha 2'!S379,"")</f>
        <v>332130</v>
      </c>
      <c r="F17" s="11">
        <f>IFERROR('Linha 3'!S379,"")</f>
        <v>885120</v>
      </c>
      <c r="G17" s="12">
        <f t="shared" si="0"/>
        <v>1839520</v>
      </c>
      <c r="H17" s="96">
        <f>IFERROR('Linha 1'!T379+'Linha 2'!T379+'Linha 3'!T379,0)</f>
        <v>386.29919999999993</v>
      </c>
      <c r="I17" s="96"/>
      <c r="J17" s="129">
        <f t="shared" si="1"/>
        <v>0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0</v>
      </c>
      <c r="D18" s="8">
        <f>IFERROR('Linha 1'!S406,"")</f>
        <v>0</v>
      </c>
      <c r="E18" s="8">
        <f>IFERROR('Linha 2'!S406,"")</f>
        <v>0</v>
      </c>
      <c r="F18" s="8">
        <f>IFERROR('Linha 3'!S406,"")</f>
        <v>0</v>
      </c>
      <c r="G18" s="9">
        <f>IFERROR(D18+E18+F18,"")</f>
        <v>0</v>
      </c>
      <c r="H18" s="96">
        <f>IFERROR('Linha 1'!T406+'Linha 2'!T406+'Linha 3'!T406,0)</f>
        <v>0</v>
      </c>
      <c r="I18" s="96"/>
      <c r="J18" s="129" t="str">
        <f t="shared" si="1"/>
        <v>-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48674070</v>
      </c>
      <c r="D35" s="13">
        <f t="shared" si="2"/>
        <v>15846860</v>
      </c>
      <c r="E35" s="13">
        <f t="shared" si="2"/>
        <v>8105130</v>
      </c>
      <c r="F35" s="13">
        <f t="shared" si="2"/>
        <v>20706730</v>
      </c>
      <c r="G35" s="13">
        <f t="shared" si="2"/>
        <v>44658720</v>
      </c>
      <c r="H35" s="97">
        <f t="shared" si="2"/>
        <v>1373.4490685373516</v>
      </c>
      <c r="I35" s="97">
        <f>IFERROR(SUM(I4:I34),"")</f>
        <v>702</v>
      </c>
      <c r="J35" s="130">
        <f>IFERROR(AVERAGE(J4:J34),"-")</f>
        <v>-0.58719425687025362</v>
      </c>
      <c r="K35" s="157">
        <f>SUM(K4:K34)</f>
        <v>450.78</v>
      </c>
    </row>
  </sheetData>
  <sheetProtection algorithmName="SHA-512" hashValue="7obxAnaFdHJXioolh8enNMKgm4QhJYvPk9q7BL4oK9vRSFbb62YkareQo4n0C0uR+wLVQnClmaVai3YrskQD2w==" saltValue="bi2PXZhDAa702WTyN6LfGw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5.9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 t="s">
        <v>38</v>
      </c>
      <c r="G5" s="95">
        <v>0.6</v>
      </c>
      <c r="J5" s="17" t="s">
        <v>24</v>
      </c>
      <c r="L5" s="17" t="s">
        <v>39</v>
      </c>
      <c r="M5" s="167"/>
      <c r="N5" s="17" t="s">
        <v>40</v>
      </c>
      <c r="O5" s="17" t="s">
        <v>41</v>
      </c>
      <c r="P5" s="17" t="s">
        <v>42</v>
      </c>
      <c r="Q5" s="17" t="s">
        <v>43</v>
      </c>
      <c r="R5" s="17" t="s">
        <v>44</v>
      </c>
    </row>
    <row r="6" spans="1:18" ht="15.75" customHeight="1">
      <c r="A6" s="16" t="s">
        <v>45</v>
      </c>
      <c r="C6" s="16" t="s">
        <v>46</v>
      </c>
      <c r="E6" s="92">
        <v>0.21</v>
      </c>
      <c r="G6" s="94">
        <v>0.55000000000000004</v>
      </c>
      <c r="J6" s="16" t="s">
        <v>25</v>
      </c>
      <c r="L6" s="16" t="s">
        <v>47</v>
      </c>
      <c r="M6" s="167"/>
      <c r="N6" s="16" t="s">
        <v>48</v>
      </c>
      <c r="O6" s="16" t="s">
        <v>49</v>
      </c>
      <c r="P6" s="16" t="s">
        <v>50</v>
      </c>
      <c r="Q6" s="16" t="s">
        <v>51</v>
      </c>
      <c r="R6" s="16" t="s">
        <v>52</v>
      </c>
    </row>
    <row r="7" spans="1:18" ht="15.75" customHeight="1">
      <c r="A7" s="17" t="s">
        <v>53</v>
      </c>
      <c r="C7" s="17" t="s">
        <v>54</v>
      </c>
      <c r="E7" s="93">
        <v>0.13</v>
      </c>
      <c r="G7" s="95">
        <v>0.55000000000000004</v>
      </c>
      <c r="J7" s="16" t="s">
        <v>26</v>
      </c>
      <c r="L7" s="17" t="s">
        <v>55</v>
      </c>
      <c r="M7" s="167"/>
      <c r="N7" s="17" t="s">
        <v>56</v>
      </c>
      <c r="O7" s="17" t="s">
        <v>57</v>
      </c>
      <c r="P7" s="17" t="s">
        <v>42</v>
      </c>
      <c r="Q7" s="17" t="s">
        <v>58</v>
      </c>
      <c r="R7" s="17" t="s">
        <v>59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60</v>
      </c>
      <c r="M8" s="167"/>
      <c r="N8" s="16" t="s">
        <v>61</v>
      </c>
      <c r="O8" s="16" t="s">
        <v>62</v>
      </c>
      <c r="P8" s="16" t="s">
        <v>50</v>
      </c>
      <c r="Q8" s="16" t="s">
        <v>63</v>
      </c>
      <c r="R8" s="16" t="s">
        <v>64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65</v>
      </c>
      <c r="M9" s="167"/>
      <c r="N9" s="17" t="s">
        <v>66</v>
      </c>
      <c r="O9" s="17" t="s">
        <v>67</v>
      </c>
      <c r="P9" s="17" t="s">
        <v>68</v>
      </c>
      <c r="Q9" s="17" t="s">
        <v>69</v>
      </c>
      <c r="R9" s="17" t="s">
        <v>70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71</v>
      </c>
      <c r="M10" s="167"/>
      <c r="N10" s="16" t="s">
        <v>72</v>
      </c>
      <c r="O10" s="16" t="s">
        <v>73</v>
      </c>
      <c r="P10" s="16" t="s">
        <v>74</v>
      </c>
      <c r="Q10" s="16" t="s">
        <v>75</v>
      </c>
      <c r="R10" s="16" t="s">
        <v>76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77</v>
      </c>
      <c r="M11" s="167"/>
      <c r="N11" s="17" t="s">
        <v>78</v>
      </c>
      <c r="O11" s="17" t="s">
        <v>79</v>
      </c>
      <c r="P11" s="17" t="s">
        <v>80</v>
      </c>
      <c r="Q11" s="17" t="s">
        <v>81</v>
      </c>
      <c r="R11" s="17" t="s">
        <v>82</v>
      </c>
    </row>
    <row r="12" spans="1:18" ht="15.75" customHeight="1">
      <c r="A12" s="16"/>
      <c r="C12" s="16"/>
      <c r="J12" s="16"/>
      <c r="L12" s="16" t="s">
        <v>83</v>
      </c>
      <c r="M12" s="167"/>
      <c r="N12" s="16" t="s">
        <v>84</v>
      </c>
      <c r="O12" s="16" t="s">
        <v>85</v>
      </c>
      <c r="P12" s="16" t="s">
        <v>69</v>
      </c>
      <c r="Q12" s="16" t="s">
        <v>86</v>
      </c>
      <c r="R12" s="16" t="s">
        <v>87</v>
      </c>
    </row>
    <row r="13" spans="1:18" ht="15.75" customHeight="1">
      <c r="A13" s="17"/>
      <c r="C13" s="17"/>
      <c r="J13" s="17"/>
      <c r="L13" s="17" t="s">
        <v>88</v>
      </c>
      <c r="M13" s="167"/>
      <c r="N13" s="17"/>
      <c r="O13" s="17" t="s">
        <v>89</v>
      </c>
      <c r="P13" s="17" t="s">
        <v>90</v>
      </c>
      <c r="Q13" s="17" t="s">
        <v>91</v>
      </c>
      <c r="R13" s="17" t="s">
        <v>92</v>
      </c>
    </row>
    <row r="14" spans="1:18" ht="15.75" customHeight="1">
      <c r="A14" s="16"/>
      <c r="C14" s="16"/>
      <c r="J14" s="16"/>
      <c r="L14" s="16" t="s">
        <v>93</v>
      </c>
      <c r="M14" s="167"/>
      <c r="N14" s="16" t="s">
        <v>94</v>
      </c>
      <c r="O14" s="16" t="s">
        <v>95</v>
      </c>
      <c r="P14" s="16" t="s">
        <v>96</v>
      </c>
      <c r="Q14" s="16" t="s">
        <v>97</v>
      </c>
      <c r="R14" s="16" t="s">
        <v>98</v>
      </c>
    </row>
    <row r="15" spans="1:18" ht="15.75" customHeight="1">
      <c r="A15" s="17"/>
      <c r="C15" s="17"/>
      <c r="J15" s="17"/>
      <c r="L15" s="17" t="s">
        <v>99</v>
      </c>
      <c r="M15" s="167"/>
      <c r="N15" s="17" t="s">
        <v>100</v>
      </c>
      <c r="O15" s="17" t="s">
        <v>101</v>
      </c>
      <c r="P15" s="17" t="s">
        <v>102</v>
      </c>
      <c r="Q15" s="17" t="s">
        <v>103</v>
      </c>
      <c r="R15" s="17" t="s">
        <v>104</v>
      </c>
    </row>
    <row r="16" spans="1:18" ht="15.75" customHeight="1">
      <c r="A16" s="16"/>
      <c r="C16" s="16"/>
      <c r="J16" s="16"/>
      <c r="L16" s="16" t="s">
        <v>105</v>
      </c>
      <c r="M16" s="167"/>
      <c r="N16" s="16" t="s">
        <v>106</v>
      </c>
      <c r="O16" s="16" t="s">
        <v>107</v>
      </c>
      <c r="P16" s="16" t="s">
        <v>108</v>
      </c>
      <c r="Q16" s="16" t="s">
        <v>109</v>
      </c>
      <c r="R16" s="16" t="s">
        <v>110</v>
      </c>
    </row>
    <row r="17" spans="1:18" ht="15.75" customHeight="1">
      <c r="A17" s="17"/>
      <c r="C17" s="17"/>
      <c r="J17" s="17"/>
      <c r="L17" s="17" t="s">
        <v>111</v>
      </c>
      <c r="M17" s="167"/>
      <c r="N17" s="17" t="s">
        <v>112</v>
      </c>
      <c r="O17" s="17" t="s">
        <v>113</v>
      </c>
      <c r="P17" s="17" t="s">
        <v>114</v>
      </c>
      <c r="Q17" s="17" t="s">
        <v>115</v>
      </c>
      <c r="R17" s="17" t="s">
        <v>116</v>
      </c>
    </row>
    <row r="18" spans="1:18" ht="15.75" customHeight="1">
      <c r="A18" s="16"/>
      <c r="C18" s="16"/>
      <c r="J18" s="16"/>
      <c r="L18" s="16" t="s">
        <v>117</v>
      </c>
      <c r="M18" s="167"/>
      <c r="N18" s="16" t="s">
        <v>118</v>
      </c>
      <c r="O18" s="16" t="s">
        <v>119</v>
      </c>
      <c r="P18" s="16" t="s">
        <v>120</v>
      </c>
      <c r="Q18" s="16" t="s">
        <v>121</v>
      </c>
      <c r="R18" s="16" t="s">
        <v>122</v>
      </c>
    </row>
    <row r="19" spans="1:18" ht="15.75" customHeight="1">
      <c r="A19" s="17"/>
      <c r="C19" s="17"/>
      <c r="J19" s="17"/>
      <c r="L19" s="17" t="s">
        <v>123</v>
      </c>
      <c r="M19" s="167"/>
      <c r="N19" s="17" t="s">
        <v>124</v>
      </c>
      <c r="O19" s="17" t="s">
        <v>125</v>
      </c>
      <c r="P19" s="17" t="s">
        <v>126</v>
      </c>
      <c r="Q19" s="17"/>
      <c r="R19" s="17" t="s">
        <v>127</v>
      </c>
    </row>
    <row r="20" spans="1:18" ht="15.75" customHeight="1">
      <c r="A20" s="16"/>
      <c r="C20" s="16"/>
      <c r="J20" s="16"/>
      <c r="L20" s="16" t="s">
        <v>128</v>
      </c>
      <c r="M20" s="167"/>
      <c r="N20" s="16"/>
      <c r="O20" s="16"/>
      <c r="P20" s="16" t="s">
        <v>129</v>
      </c>
      <c r="Q20" s="16"/>
      <c r="R20" s="16" t="s">
        <v>130</v>
      </c>
    </row>
    <row r="21" spans="1:18" ht="15.75" customHeight="1">
      <c r="A21" s="17"/>
      <c r="C21" s="17"/>
      <c r="J21" s="17"/>
      <c r="L21" s="17" t="s">
        <v>131</v>
      </c>
      <c r="M21" s="167"/>
      <c r="N21" s="17"/>
      <c r="O21" s="17"/>
      <c r="P21" s="17" t="s">
        <v>132</v>
      </c>
      <c r="Q21" s="17"/>
      <c r="R21" s="17" t="s">
        <v>133</v>
      </c>
    </row>
    <row r="22" spans="1:18" ht="15.75" customHeight="1">
      <c r="A22" s="16"/>
      <c r="C22" s="16"/>
      <c r="J22" s="16"/>
      <c r="L22" s="16" t="s">
        <v>134</v>
      </c>
      <c r="M22" s="167"/>
      <c r="N22" s="16"/>
      <c r="O22" s="16"/>
      <c r="P22" s="16" t="s">
        <v>135</v>
      </c>
      <c r="Q22" s="16"/>
      <c r="R22" s="16" t="s">
        <v>136</v>
      </c>
    </row>
    <row r="23" spans="1:18" ht="15.75" customHeight="1">
      <c r="A23" s="17"/>
      <c r="C23" s="17"/>
      <c r="J23" s="17"/>
      <c r="L23" s="17" t="s">
        <v>137</v>
      </c>
      <c r="M23" s="167"/>
      <c r="N23" s="17"/>
      <c r="O23" s="17"/>
      <c r="P23" s="17" t="s">
        <v>138</v>
      </c>
      <c r="Q23" s="17"/>
      <c r="R23" s="17" t="s">
        <v>139</v>
      </c>
    </row>
    <row r="24" spans="1:18" ht="15.75" customHeight="1">
      <c r="A24" s="16"/>
      <c r="C24" s="16"/>
      <c r="J24" s="16"/>
      <c r="L24" s="16" t="s">
        <v>140</v>
      </c>
      <c r="M24" s="167"/>
      <c r="N24" s="16"/>
      <c r="O24" s="16"/>
      <c r="P24" s="16" t="s">
        <v>141</v>
      </c>
      <c r="Q24" s="16"/>
      <c r="R24" s="16" t="s">
        <v>142</v>
      </c>
    </row>
    <row r="25" spans="1:18" ht="15.75" customHeight="1">
      <c r="A25" s="17"/>
      <c r="C25" s="17"/>
      <c r="J25" s="17"/>
      <c r="L25" s="17" t="s">
        <v>143</v>
      </c>
      <c r="M25" s="167"/>
      <c r="N25" s="17"/>
      <c r="O25" s="17"/>
      <c r="P25" s="17" t="s">
        <v>144</v>
      </c>
      <c r="Q25" s="17"/>
      <c r="R25" s="17" t="s">
        <v>145</v>
      </c>
    </row>
    <row r="26" spans="1:18" ht="15.75" customHeight="1">
      <c r="A26" s="16"/>
      <c r="C26" s="16"/>
      <c r="J26" s="16"/>
      <c r="L26" s="16" t="s">
        <v>146</v>
      </c>
      <c r="M26" s="167"/>
      <c r="N26" s="16"/>
      <c r="O26" s="16"/>
      <c r="P26" s="16" t="s">
        <v>147</v>
      </c>
      <c r="Q26" s="16"/>
      <c r="R26" s="16"/>
    </row>
    <row r="27" spans="1:18" ht="15.75" customHeight="1">
      <c r="A27" s="17"/>
      <c r="C27" s="17"/>
      <c r="J27" s="17"/>
      <c r="L27" s="17" t="s">
        <v>148</v>
      </c>
      <c r="M27" s="167"/>
      <c r="N27" s="17"/>
      <c r="O27" s="17"/>
      <c r="P27" s="17" t="s">
        <v>139</v>
      </c>
      <c r="Q27" s="17"/>
      <c r="R27" s="17" t="s">
        <v>70</v>
      </c>
    </row>
    <row r="28" spans="1:18" ht="15.75" customHeight="1">
      <c r="A28" s="16"/>
      <c r="C28" s="16"/>
      <c r="J28" s="16"/>
      <c r="L28" s="16" t="s">
        <v>149</v>
      </c>
      <c r="M28" s="167"/>
      <c r="N28" s="16"/>
      <c r="O28" s="16"/>
      <c r="P28" s="16" t="s">
        <v>142</v>
      </c>
      <c r="Q28" s="16"/>
      <c r="R28" s="16" t="s">
        <v>150</v>
      </c>
    </row>
    <row r="29" spans="1:18" ht="15.75" customHeight="1">
      <c r="A29" s="17"/>
      <c r="C29" s="17"/>
      <c r="J29" s="17"/>
      <c r="L29" s="17" t="s">
        <v>151</v>
      </c>
      <c r="M29" s="167"/>
      <c r="N29" s="17"/>
      <c r="O29" s="17"/>
      <c r="P29" s="17" t="s">
        <v>152</v>
      </c>
      <c r="Q29" s="17"/>
      <c r="R29" s="17" t="s">
        <v>153</v>
      </c>
    </row>
    <row r="30" spans="1:18" ht="15.75" customHeight="1">
      <c r="A30" s="16"/>
      <c r="C30" s="16"/>
      <c r="J30" s="16"/>
      <c r="L30" s="16" t="s">
        <v>154</v>
      </c>
      <c r="M30" s="167"/>
      <c r="N30" s="16"/>
      <c r="O30" s="16"/>
      <c r="P30" s="16" t="s">
        <v>155</v>
      </c>
      <c r="Q30" s="16"/>
      <c r="R30" s="16" t="s">
        <v>156</v>
      </c>
    </row>
    <row r="31" spans="1:18" ht="15.75" customHeight="1">
      <c r="A31" s="17"/>
      <c r="C31" s="17"/>
      <c r="J31" s="17"/>
      <c r="L31" s="17" t="s">
        <v>157</v>
      </c>
      <c r="M31" s="167"/>
      <c r="N31" s="17"/>
      <c r="O31" s="17"/>
      <c r="P31" s="18" t="s">
        <v>158</v>
      </c>
      <c r="Q31" s="17"/>
      <c r="R31" s="17" t="s">
        <v>159</v>
      </c>
    </row>
    <row r="32" spans="1:18" ht="15.75" customHeight="1">
      <c r="A32" s="16"/>
      <c r="C32" s="16"/>
      <c r="J32" s="16"/>
      <c r="L32" s="16" t="s">
        <v>160</v>
      </c>
      <c r="M32" s="167"/>
      <c r="N32" s="16"/>
      <c r="O32" s="16"/>
      <c r="P32" s="16" t="s">
        <v>161</v>
      </c>
      <c r="Q32" s="16"/>
      <c r="R32" t="s">
        <v>162</v>
      </c>
    </row>
    <row r="33" spans="1:18" ht="15.75" customHeight="1">
      <c r="A33" s="17"/>
      <c r="C33" s="131" t="s">
        <v>163</v>
      </c>
      <c r="E33" s="113">
        <v>1000</v>
      </c>
      <c r="J33" s="17"/>
      <c r="L33" s="17" t="s">
        <v>164</v>
      </c>
      <c r="M33" s="167"/>
      <c r="N33" s="17"/>
      <c r="O33" s="17"/>
      <c r="P33" s="18" t="s">
        <v>165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166</v>
      </c>
      <c r="M34" s="167"/>
      <c r="N34" s="16"/>
      <c r="O34" s="16"/>
      <c r="P34" s="16" t="s">
        <v>87</v>
      </c>
      <c r="Q34" s="16"/>
      <c r="R34" s="16" t="s">
        <v>167</v>
      </c>
    </row>
    <row r="35" spans="1:18" ht="15.75" customHeight="1">
      <c r="A35" s="17"/>
      <c r="C35" s="17"/>
      <c r="J35" s="17"/>
      <c r="L35" s="17" t="s">
        <v>168</v>
      </c>
      <c r="M35" s="167"/>
      <c r="N35" s="17"/>
      <c r="O35" s="17"/>
      <c r="P35" s="17" t="s">
        <v>169</v>
      </c>
      <c r="Q35" s="17"/>
      <c r="R35" s="17" t="s">
        <v>170</v>
      </c>
    </row>
    <row r="36" spans="1:18" ht="15.75" customHeight="1">
      <c r="A36" s="16"/>
      <c r="C36" s="16"/>
      <c r="J36" s="16"/>
      <c r="L36" s="16" t="s">
        <v>171</v>
      </c>
      <c r="M36" s="167"/>
      <c r="N36" s="16"/>
      <c r="O36" s="16"/>
      <c r="P36" s="16" t="s">
        <v>172</v>
      </c>
      <c r="Q36" s="16"/>
      <c r="R36" s="16" t="s">
        <v>173</v>
      </c>
    </row>
    <row r="37" spans="1:18" ht="15.75" customHeight="1">
      <c r="A37" s="17"/>
      <c r="C37" s="17"/>
      <c r="J37" s="17"/>
      <c r="L37" s="17" t="s">
        <v>174</v>
      </c>
      <c r="M37" s="167"/>
      <c r="N37" s="17"/>
      <c r="O37" s="17"/>
      <c r="P37" s="17" t="s">
        <v>175</v>
      </c>
      <c r="Q37" s="17"/>
      <c r="R37" s="17" t="s">
        <v>176</v>
      </c>
    </row>
    <row r="38" spans="1:18" ht="15.75" customHeight="1">
      <c r="A38" s="16"/>
      <c r="C38" s="16"/>
      <c r="J38" s="16"/>
      <c r="L38" s="16" t="s">
        <v>177</v>
      </c>
      <c r="M38" s="167"/>
      <c r="N38" s="16"/>
      <c r="O38" s="16"/>
      <c r="P38" s="16" t="s">
        <v>178</v>
      </c>
      <c r="Q38" s="16"/>
      <c r="R38" s="16" t="s">
        <v>179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180</v>
      </c>
      <c r="Q39" s="17"/>
      <c r="R39" s="17" t="s">
        <v>181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182</v>
      </c>
      <c r="Q40" s="16"/>
      <c r="R40" s="16" t="s">
        <v>183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184</v>
      </c>
      <c r="Q41" s="17"/>
      <c r="R41" s="17" t="s">
        <v>185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186</v>
      </c>
      <c r="Q42" s="16"/>
      <c r="R42" s="16" t="s">
        <v>187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188</v>
      </c>
      <c r="Q43" s="17"/>
      <c r="R43" s="17" t="s">
        <v>189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190</v>
      </c>
      <c r="Q44" s="16"/>
      <c r="R44" s="16" t="s">
        <v>191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192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193</v>
      </c>
      <c r="Q46" s="16"/>
      <c r="R46" s="16" t="s">
        <v>194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195</v>
      </c>
      <c r="Q47" s="17"/>
      <c r="R47" s="17" t="s">
        <v>196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197</v>
      </c>
      <c r="Q48" s="16"/>
      <c r="R48" s="16" t="s">
        <v>198</v>
      </c>
    </row>
    <row r="49" spans="1:18" ht="18" customHeight="1">
      <c r="M49" s="167"/>
      <c r="N49" s="17"/>
      <c r="O49" s="17"/>
      <c r="P49" s="17" t="s">
        <v>199</v>
      </c>
      <c r="Q49" s="17"/>
      <c r="R49" s="17" t="s">
        <v>200</v>
      </c>
    </row>
    <row r="50" spans="1:18" ht="21" customHeight="1">
      <c r="A50" s="19" t="s">
        <v>201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202</v>
      </c>
      <c r="Q50" s="16"/>
      <c r="R50" s="16" t="s">
        <v>203</v>
      </c>
    </row>
    <row r="51" spans="1:18" ht="24" customHeight="1">
      <c r="M51" s="167"/>
      <c r="N51" s="17"/>
      <c r="O51" s="17"/>
      <c r="P51" s="17" t="s">
        <v>204</v>
      </c>
      <c r="Q51" s="17"/>
      <c r="R51" s="17" t="s">
        <v>205</v>
      </c>
    </row>
    <row r="52" spans="1:18" ht="24" customHeight="1">
      <c r="M52" s="167"/>
      <c r="N52" s="16"/>
      <c r="O52" s="16"/>
      <c r="P52" s="16" t="s">
        <v>206</v>
      </c>
      <c r="Q52" s="16"/>
      <c r="R52" s="16" t="s">
        <v>207</v>
      </c>
    </row>
    <row r="53" spans="1:18" ht="36" customHeight="1">
      <c r="M53" s="167"/>
      <c r="N53" s="17"/>
      <c r="O53" s="17"/>
      <c r="P53" s="17" t="s">
        <v>208</v>
      </c>
      <c r="Q53" s="17"/>
      <c r="R53" s="17" t="s">
        <v>209</v>
      </c>
    </row>
    <row r="54" spans="1:18" ht="15" customHeight="1">
      <c r="M54" s="167"/>
      <c r="N54" s="16"/>
      <c r="O54" s="16"/>
      <c r="P54" s="16" t="s">
        <v>210</v>
      </c>
      <c r="Q54" s="16"/>
      <c r="R54" s="16" t="s">
        <v>211</v>
      </c>
    </row>
    <row r="55" spans="1:18" ht="15" customHeight="1">
      <c r="M55" s="167"/>
      <c r="N55" s="17"/>
      <c r="O55" s="17"/>
      <c r="P55" s="17" t="s">
        <v>212</v>
      </c>
      <c r="Q55" s="17"/>
      <c r="R55" s="17" t="s">
        <v>213</v>
      </c>
    </row>
    <row r="56" spans="1:18" ht="15" customHeight="1">
      <c r="M56" s="167"/>
      <c r="N56" s="16"/>
      <c r="O56" s="16"/>
      <c r="P56" s="16" t="s">
        <v>214</v>
      </c>
      <c r="Q56" s="16"/>
      <c r="R56" s="16" t="s">
        <v>215</v>
      </c>
    </row>
    <row r="57" spans="1:18" ht="15" customHeight="1">
      <c r="M57" s="167"/>
      <c r="N57" s="17"/>
      <c r="O57" s="17"/>
      <c r="P57" s="17" t="s">
        <v>58</v>
      </c>
      <c r="Q57" s="17"/>
      <c r="R57" s="17" t="s">
        <v>216</v>
      </c>
    </row>
    <row r="58" spans="1:18" ht="15" customHeight="1">
      <c r="M58" s="167"/>
      <c r="N58" s="16"/>
      <c r="O58" s="16"/>
      <c r="P58" s="16" t="s">
        <v>217</v>
      </c>
      <c r="Q58" s="16"/>
      <c r="R58" s="16"/>
    </row>
    <row r="59" spans="1:18" ht="15" customHeight="1">
      <c r="M59" s="167"/>
      <c r="N59" s="17"/>
      <c r="O59" s="17"/>
      <c r="P59" s="17" t="s">
        <v>218</v>
      </c>
      <c r="Q59" s="17"/>
      <c r="R59" s="17"/>
    </row>
    <row r="60" spans="1:18" ht="15" customHeight="1">
      <c r="M60" s="167"/>
      <c r="N60" s="16"/>
      <c r="O60" s="16"/>
      <c r="P60" s="77" t="s">
        <v>113</v>
      </c>
      <c r="Q60" s="16"/>
      <c r="R60" s="16"/>
    </row>
    <row r="61" spans="1:18" ht="15" customHeight="1">
      <c r="M61" s="167"/>
      <c r="N61" s="17"/>
      <c r="O61" s="17"/>
      <c r="P61" s="17" t="s">
        <v>219</v>
      </c>
      <c r="Q61" s="17"/>
      <c r="R61" s="17"/>
    </row>
    <row r="62" spans="1:18" ht="15" customHeight="1">
      <c r="M62" s="167"/>
      <c r="N62" s="16"/>
      <c r="O62" s="16"/>
      <c r="P62" s="16" t="s">
        <v>220</v>
      </c>
      <c r="Q62" s="16"/>
      <c r="R62" s="16"/>
    </row>
    <row r="63" spans="1:18" ht="15" customHeight="1">
      <c r="M63" s="167"/>
      <c r="N63" s="17"/>
      <c r="O63" s="17"/>
      <c r="P63" s="17" t="s">
        <v>221</v>
      </c>
      <c r="Q63" s="17"/>
      <c r="R63" s="17"/>
    </row>
    <row r="64" spans="1:18" ht="15" customHeight="1">
      <c r="M64" s="167"/>
      <c r="N64" s="16"/>
      <c r="O64" s="16"/>
      <c r="P64" s="16" t="s">
        <v>222</v>
      </c>
      <c r="Q64" s="16"/>
      <c r="R64" s="16"/>
    </row>
    <row r="65" spans="13:18" ht="15" customHeight="1">
      <c r="M65" s="167"/>
      <c r="N65" s="17"/>
      <c r="O65" s="17"/>
      <c r="P65" s="17" t="s">
        <v>223</v>
      </c>
      <c r="Q65" s="17"/>
      <c r="R65" s="17"/>
    </row>
    <row r="66" spans="13:18" ht="15" customHeight="1">
      <c r="M66" s="167"/>
      <c r="N66" s="16"/>
      <c r="O66" s="16"/>
      <c r="P66" s="16" t="s">
        <v>224</v>
      </c>
      <c r="Q66" s="16"/>
      <c r="R66" s="16"/>
    </row>
    <row r="67" spans="13:18" ht="15" customHeight="1">
      <c r="M67" s="167"/>
      <c r="N67" s="17"/>
      <c r="O67" s="17"/>
      <c r="P67" s="17" t="s">
        <v>225</v>
      </c>
      <c r="Q67" s="17"/>
      <c r="R67" s="17"/>
    </row>
    <row r="68" spans="13:18" ht="15" customHeight="1">
      <c r="M68" s="167"/>
      <c r="N68" s="16"/>
      <c r="O68" s="16"/>
      <c r="P68" s="16" t="s">
        <v>226</v>
      </c>
      <c r="Q68" s="16"/>
      <c r="R68" s="16"/>
    </row>
    <row r="69" spans="13:18" ht="15" customHeight="1">
      <c r="M69" s="167"/>
      <c r="N69" s="17"/>
      <c r="O69" s="17"/>
      <c r="P69" s="17" t="s">
        <v>227</v>
      </c>
      <c r="Q69" s="17"/>
      <c r="R69" s="17"/>
    </row>
    <row r="70" spans="13:18" ht="15" customHeight="1">
      <c r="M70" s="167"/>
      <c r="N70" s="16"/>
      <c r="O70" s="16"/>
      <c r="P70" s="16" t="s">
        <v>228</v>
      </c>
      <c r="Q70" s="16"/>
      <c r="R70" s="16"/>
    </row>
    <row r="71" spans="13:18" ht="15" customHeight="1">
      <c r="M71" s="167"/>
      <c r="N71" s="17"/>
      <c r="O71" s="17"/>
      <c r="P71" s="17" t="s">
        <v>229</v>
      </c>
      <c r="Q71" s="17"/>
      <c r="R71" s="17"/>
    </row>
    <row r="72" spans="13:18" ht="15" customHeight="1">
      <c r="M72" s="167"/>
      <c r="N72" s="16"/>
      <c r="O72" s="16"/>
      <c r="P72" s="16" t="s">
        <v>230</v>
      </c>
      <c r="Q72" s="16"/>
      <c r="R72" s="16"/>
    </row>
    <row r="73" spans="13:18" ht="15" customHeight="1">
      <c r="M73" s="167"/>
      <c r="N73" s="17"/>
      <c r="O73" s="17"/>
      <c r="P73" s="17" t="s">
        <v>231</v>
      </c>
      <c r="Q73" s="17"/>
      <c r="R73" s="17"/>
    </row>
    <row r="74" spans="13:18" ht="15" customHeight="1">
      <c r="M74" s="167"/>
      <c r="N74" s="16"/>
      <c r="O74" s="16"/>
      <c r="P74" s="16" t="s">
        <v>232</v>
      </c>
      <c r="Q74" s="16"/>
      <c r="R74" s="16"/>
    </row>
    <row r="75" spans="13:18" ht="15" customHeight="1">
      <c r="M75" s="167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347" activePane="bottomLeft" state="frozen"/>
      <selection pane="bottomLeft" activeCell="F378" sqref="F378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23" t="s">
        <v>235</v>
      </c>
      <c r="G1" s="23" t="s">
        <v>236</v>
      </c>
      <c r="H1" s="23" t="s">
        <v>21</v>
      </c>
      <c r="I1" s="23" t="s">
        <v>22</v>
      </c>
      <c r="J1" s="23" t="s">
        <v>237</v>
      </c>
      <c r="K1" s="23" t="s">
        <v>238</v>
      </c>
      <c r="L1" s="23" t="s">
        <v>239</v>
      </c>
      <c r="M1" s="24" t="s">
        <v>240</v>
      </c>
      <c r="N1" s="23" t="s">
        <v>241</v>
      </c>
      <c r="O1" s="23" t="s">
        <v>242</v>
      </c>
    </row>
    <row r="2" spans="1:15" ht="15" customHeight="1">
      <c r="A2" s="67">
        <v>46235</v>
      </c>
      <c r="B2" s="25">
        <v>0.33333333333333298</v>
      </c>
      <c r="C2" s="26" t="s">
        <v>53</v>
      </c>
      <c r="D2" s="20" t="s">
        <v>46</v>
      </c>
      <c r="E2" s="59" t="s">
        <v>243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75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53</v>
      </c>
      <c r="D3" s="59" t="s">
        <v>46</v>
      </c>
      <c r="E3" s="59" t="s">
        <v>243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53</v>
      </c>
      <c r="D4" s="59" t="s">
        <v>46</v>
      </c>
      <c r="E4" s="59" t="s">
        <v>243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53</v>
      </c>
      <c r="D5" s="59" t="s">
        <v>46</v>
      </c>
      <c r="E5" s="59" t="s">
        <v>243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53</v>
      </c>
      <c r="D6" s="59" t="s">
        <v>46</v>
      </c>
      <c r="E6" s="59" t="s">
        <v>243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53</v>
      </c>
      <c r="D7" s="59" t="s">
        <v>46</v>
      </c>
      <c r="E7" s="59" t="s">
        <v>243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53</v>
      </c>
      <c r="D8" s="59" t="s">
        <v>46</v>
      </c>
      <c r="E8" s="59" t="s">
        <v>243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53</v>
      </c>
      <c r="D9" s="59" t="s">
        <v>46</v>
      </c>
      <c r="E9" s="59" t="s">
        <v>243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53</v>
      </c>
      <c r="D10" s="59" t="s">
        <v>46</v>
      </c>
      <c r="E10" s="59" t="s">
        <v>243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53</v>
      </c>
      <c r="D11" s="59" t="s">
        <v>46</v>
      </c>
      <c r="E11" s="59" t="s">
        <v>243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53</v>
      </c>
      <c r="D12" s="59" t="s">
        <v>46</v>
      </c>
      <c r="E12" s="59" t="s">
        <v>243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53</v>
      </c>
      <c r="D13" s="59" t="s">
        <v>46</v>
      </c>
      <c r="E13" s="59" t="s">
        <v>243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244</v>
      </c>
      <c r="B14" s="159"/>
      <c r="C14" s="159"/>
      <c r="D14" s="159"/>
      <c r="E14" s="17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245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243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52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243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58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246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247</v>
      </c>
      <c r="B27" s="159"/>
      <c r="C27" s="159"/>
      <c r="D27" s="159"/>
      <c r="E27" s="17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245</v>
      </c>
      <c r="O27" s="39">
        <v>997910</v>
      </c>
    </row>
    <row r="28" spans="1:15" ht="18" customHeight="1">
      <c r="A28" s="160" t="s">
        <v>248</v>
      </c>
      <c r="B28" s="161"/>
      <c r="C28" s="161"/>
      <c r="D28" s="161"/>
      <c r="E28" s="17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249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53</v>
      </c>
      <c r="D29" s="59" t="s">
        <v>46</v>
      </c>
      <c r="E29" s="59" t="s">
        <v>243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46</v>
      </c>
      <c r="E30" s="59" t="s">
        <v>243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250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46</v>
      </c>
      <c r="E31" s="59" t="s">
        <v>243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58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246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46</v>
      </c>
      <c r="E32" s="59" t="s">
        <v>243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46</v>
      </c>
      <c r="E33" s="59" t="s">
        <v>243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46</v>
      </c>
      <c r="E34" s="59" t="s">
        <v>243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46</v>
      </c>
      <c r="E35" s="59" t="s">
        <v>243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46</v>
      </c>
      <c r="E36" s="59" t="s">
        <v>243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46</v>
      </c>
      <c r="E37" s="59" t="s">
        <v>243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46</v>
      </c>
      <c r="E38" s="59" t="s">
        <v>243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46</v>
      </c>
      <c r="E39" s="59" t="s">
        <v>243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53</v>
      </c>
      <c r="D40" s="59" t="s">
        <v>46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244</v>
      </c>
      <c r="B41" s="159"/>
      <c r="C41" s="159"/>
      <c r="D41" s="159"/>
      <c r="E41" s="17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245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46</v>
      </c>
      <c r="E42" s="62" t="s">
        <v>243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75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251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46</v>
      </c>
      <c r="E43" s="62" t="s">
        <v>243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52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46</v>
      </c>
      <c r="E44" s="62" t="s">
        <v>243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52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46</v>
      </c>
      <c r="E45" s="62" t="s">
        <v>243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58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46</v>
      </c>
      <c r="E46" s="62" t="s">
        <v>243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52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46</v>
      </c>
      <c r="E47" s="62" t="s">
        <v>243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52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46</v>
      </c>
      <c r="E48" s="62" t="s">
        <v>243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46</v>
      </c>
      <c r="E49" s="62" t="s">
        <v>243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46</v>
      </c>
      <c r="E50" s="62" t="s">
        <v>243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46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46</v>
      </c>
      <c r="E52" s="62" t="s">
        <v>243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46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247</v>
      </c>
      <c r="B54" s="159"/>
      <c r="C54" s="159"/>
      <c r="D54" s="159"/>
      <c r="E54" s="17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245</v>
      </c>
      <c r="O54" s="39">
        <v>981310</v>
      </c>
    </row>
    <row r="55" spans="1:15" ht="18" customHeight="1">
      <c r="A55" s="160" t="s">
        <v>248</v>
      </c>
      <c r="B55" s="161"/>
      <c r="C55" s="161"/>
      <c r="D55" s="161"/>
      <c r="E55" s="17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249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53</v>
      </c>
      <c r="D56" s="20" t="s">
        <v>46</v>
      </c>
      <c r="E56" s="59" t="s">
        <v>243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59" t="s">
        <v>243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46</v>
      </c>
      <c r="E58" s="59" t="s">
        <v>243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59" t="s">
        <v>243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59" t="s">
        <v>243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59" t="s">
        <v>243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59" t="s">
        <v>243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59" t="s">
        <v>243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59" t="s">
        <v>243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59" t="s">
        <v>243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59" t="s">
        <v>243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59" t="s">
        <v>243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244</v>
      </c>
      <c r="B68" s="159"/>
      <c r="C68" s="159"/>
      <c r="D68" s="159"/>
      <c r="E68" s="17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245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62" t="s">
        <v>243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52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62" t="s">
        <v>243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75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252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62" t="s">
        <v>243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62" t="s">
        <v>243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62" t="s">
        <v>243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62" t="s">
        <v>243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62" t="s">
        <v>243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62" t="s">
        <v>243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62" t="s">
        <v>243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247</v>
      </c>
      <c r="B81" s="159"/>
      <c r="C81" s="159"/>
      <c r="D81" s="159"/>
      <c r="E81" s="17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245</v>
      </c>
      <c r="O81" s="39">
        <v>1547910</v>
      </c>
    </row>
    <row r="82" spans="1:15" ht="18" customHeight="1">
      <c r="A82" s="160" t="s">
        <v>248</v>
      </c>
      <c r="B82" s="161"/>
      <c r="C82" s="161"/>
      <c r="D82" s="161"/>
      <c r="E82" s="17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249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59" t="s">
        <v>243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66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59" t="s">
        <v>243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59" t="s">
        <v>243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253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59" t="s">
        <v>243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59" t="s">
        <v>243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59" t="s">
        <v>243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59" t="s">
        <v>243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59" t="s">
        <v>243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59" t="s">
        <v>243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59" t="s">
        <v>243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59" t="s">
        <v>243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59" t="s">
        <v>243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244</v>
      </c>
      <c r="B95" s="159"/>
      <c r="C95" s="159"/>
      <c r="D95" s="159"/>
      <c r="E95" s="17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245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254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247</v>
      </c>
      <c r="B108" s="159"/>
      <c r="C108" s="159"/>
      <c r="D108" s="159"/>
      <c r="E108" s="17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245</v>
      </c>
      <c r="O108" s="39">
        <v>3156240</v>
      </c>
    </row>
    <row r="109" spans="1:15" ht="18" customHeight="1">
      <c r="A109" s="160" t="s">
        <v>248</v>
      </c>
      <c r="B109" s="161"/>
      <c r="C109" s="161"/>
      <c r="D109" s="161"/>
      <c r="E109" s="17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249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59" t="s">
        <v>243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42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59" t="s">
        <v>243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59" t="s">
        <v>243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59" t="s">
        <v>243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59" t="s">
        <v>243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59" t="s">
        <v>243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244</v>
      </c>
      <c r="B122" s="159"/>
      <c r="C122" s="159"/>
      <c r="D122" s="159"/>
      <c r="E122" s="17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245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46</v>
      </c>
      <c r="E133" s="62" t="s">
        <v>243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46</v>
      </c>
      <c r="E134" s="62" t="s">
        <v>243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247</v>
      </c>
      <c r="B135" s="159"/>
      <c r="C135" s="159"/>
      <c r="D135" s="159"/>
      <c r="E135" s="17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245</v>
      </c>
      <c r="O135" s="39">
        <v>2875180</v>
      </c>
    </row>
    <row r="136" spans="1:15" ht="18" customHeight="1">
      <c r="A136" s="160" t="s">
        <v>248</v>
      </c>
      <c r="B136" s="161"/>
      <c r="C136" s="161"/>
      <c r="D136" s="161"/>
      <c r="E136" s="17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249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46</v>
      </c>
      <c r="E137" s="62" t="s">
        <v>243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255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46</v>
      </c>
      <c r="E138" s="62" t="s">
        <v>243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115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62" t="s">
        <v>243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44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62" t="s">
        <v>243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124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62" t="s">
        <v>243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62" t="s">
        <v>243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62" t="s">
        <v>243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62" t="s">
        <v>243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62" t="s">
        <v>243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62" t="s">
        <v>243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62" t="s">
        <v>243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62" t="s">
        <v>243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244</v>
      </c>
      <c r="B149" s="159"/>
      <c r="C149" s="159"/>
      <c r="D149" s="159"/>
      <c r="E149" s="17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245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59" t="s">
        <v>243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142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59" t="s">
        <v>243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95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256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59" t="s">
        <v>243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142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59" t="s">
        <v>243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75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59" t="s">
        <v>243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153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59" t="s">
        <v>243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59" t="s">
        <v>243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59" t="s">
        <v>243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59" t="s">
        <v>243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59" t="s">
        <v>243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59" t="s">
        <v>243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247</v>
      </c>
      <c r="B162" s="159"/>
      <c r="C162" s="159"/>
      <c r="D162" s="159"/>
      <c r="E162" s="17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245</v>
      </c>
      <c r="O162" s="44">
        <v>842000</v>
      </c>
    </row>
    <row r="163" spans="1:15" ht="18" customHeight="1">
      <c r="A163" s="160" t="s">
        <v>248</v>
      </c>
      <c r="B163" s="161"/>
      <c r="C163" s="161"/>
      <c r="D163" s="161"/>
      <c r="E163" s="17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249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59" t="s">
        <v>243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257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59" t="s">
        <v>243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124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59" t="s">
        <v>243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59" t="s">
        <v>243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59" t="s">
        <v>243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59" t="s">
        <v>243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59" t="s">
        <v>243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59" t="s">
        <v>243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59" t="s">
        <v>243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59" t="s">
        <v>243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59" t="s">
        <v>243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59" t="s">
        <v>243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244</v>
      </c>
      <c r="B176" s="159"/>
      <c r="C176" s="159"/>
      <c r="D176" s="159"/>
      <c r="E176" s="17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245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62" t="s">
        <v>243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95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258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62" t="s">
        <v>243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62" t="s">
        <v>243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62" t="s">
        <v>243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62" t="s">
        <v>243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62" t="s">
        <v>243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62" t="s">
        <v>243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62" t="s">
        <v>243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62" t="s">
        <v>259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62" t="s">
        <v>243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62" t="s">
        <v>243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62" t="s">
        <v>243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247</v>
      </c>
      <c r="B189" s="159"/>
      <c r="C189" s="159"/>
      <c r="D189" s="159"/>
      <c r="E189" s="17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245</v>
      </c>
      <c r="O189" s="39">
        <v>1901630</v>
      </c>
    </row>
    <row r="190" spans="1:15" ht="18" customHeight="1">
      <c r="A190" s="160" t="s">
        <v>248</v>
      </c>
      <c r="B190" s="161"/>
      <c r="C190" s="161"/>
      <c r="D190" s="161"/>
      <c r="E190" s="17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249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62" t="s">
        <v>243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44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62" t="s">
        <v>243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44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62" t="s">
        <v>243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44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260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62" t="s">
        <v>243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62" t="s">
        <v>243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62" t="s">
        <v>243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62" t="s">
        <v>243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62" t="s">
        <v>243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62" t="s">
        <v>243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62" t="s">
        <v>243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62" t="s">
        <v>243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62" t="s">
        <v>243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244</v>
      </c>
      <c r="B203" s="159"/>
      <c r="C203" s="159"/>
      <c r="D203" s="159"/>
      <c r="E203" s="176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245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59" t="s">
        <v>243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59" t="s">
        <v>243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59" t="s">
        <v>243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59" t="s">
        <v>243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59" t="s">
        <v>243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59" t="s">
        <v>243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59" t="s">
        <v>243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59" t="s">
        <v>243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59" t="s">
        <v>243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59" t="s">
        <v>243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59" t="s">
        <v>243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59" t="s">
        <v>243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247</v>
      </c>
      <c r="B216" s="159"/>
      <c r="C216" s="159"/>
      <c r="D216" s="159"/>
      <c r="E216" s="176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245</v>
      </c>
      <c r="O216" s="45">
        <v>1852295</v>
      </c>
    </row>
    <row r="217" spans="1:15" ht="18" customHeight="1">
      <c r="A217" s="160" t="s">
        <v>248</v>
      </c>
      <c r="B217" s="161"/>
      <c r="C217" s="161"/>
      <c r="D217" s="161"/>
      <c r="E217" s="17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249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59" t="s">
        <v>243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175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59" t="s">
        <v>243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52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59" t="s">
        <v>243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211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261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59" t="s">
        <v>243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59" t="s">
        <v>243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59" t="s">
        <v>243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59" t="s">
        <v>243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59" t="s">
        <v>243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59" t="s">
        <v>243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59" t="s">
        <v>243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59" t="s">
        <v>243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9" t="s">
        <v>244</v>
      </c>
      <c r="B230" s="170"/>
      <c r="C230" s="170"/>
      <c r="D230" s="170"/>
      <c r="E230" s="171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245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62" t="s">
        <v>243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211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62" t="s">
        <v>243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153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62" t="s">
        <v>243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153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62" t="s">
        <v>262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62" t="s">
        <v>262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62" t="s">
        <v>262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62" t="s">
        <v>262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62" t="s">
        <v>262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62" t="s">
        <v>262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62" t="s">
        <v>262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62" t="s">
        <v>262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62" t="s">
        <v>262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247</v>
      </c>
      <c r="B243" s="159"/>
      <c r="C243" s="159"/>
      <c r="D243" s="159"/>
      <c r="E243" s="176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245</v>
      </c>
      <c r="O243" s="39">
        <v>991010</v>
      </c>
    </row>
    <row r="244" spans="1:15" ht="18" customHeight="1">
      <c r="A244" s="160" t="s">
        <v>248</v>
      </c>
      <c r="B244" s="161"/>
      <c r="C244" s="161"/>
      <c r="D244" s="161"/>
      <c r="E244" s="17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249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59" t="s">
        <v>243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216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59" t="s">
        <v>243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76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59" t="s">
        <v>243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75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243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243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263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243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243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243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243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243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243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243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244</v>
      </c>
      <c r="B257" s="159"/>
      <c r="C257" s="159"/>
      <c r="D257" s="159"/>
      <c r="E257" s="176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245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53</v>
      </c>
      <c r="D258" s="62" t="s">
        <v>264</v>
      </c>
      <c r="E258" s="62" t="s">
        <v>243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97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53</v>
      </c>
      <c r="D259" s="62" t="s">
        <v>264</v>
      </c>
      <c r="E259" s="62" t="s">
        <v>243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142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53</v>
      </c>
      <c r="D260" s="62" t="s">
        <v>264</v>
      </c>
      <c r="E260" s="62" t="s">
        <v>243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53</v>
      </c>
      <c r="D261" s="62" t="s">
        <v>264</v>
      </c>
      <c r="E261" s="62" t="s">
        <v>243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53</v>
      </c>
      <c r="D262" s="62" t="s">
        <v>264</v>
      </c>
      <c r="E262" s="62" t="s">
        <v>243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53</v>
      </c>
      <c r="D263" s="62" t="s">
        <v>264</v>
      </c>
      <c r="E263" s="62" t="s">
        <v>243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53</v>
      </c>
      <c r="D264" s="62" t="s">
        <v>264</v>
      </c>
      <c r="E264" s="62" t="s">
        <v>243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53</v>
      </c>
      <c r="D265" s="62" t="s">
        <v>264</v>
      </c>
      <c r="E265" s="62" t="s">
        <v>243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53</v>
      </c>
      <c r="D266" s="62" t="s">
        <v>264</v>
      </c>
      <c r="E266" s="62" t="s">
        <v>243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53</v>
      </c>
      <c r="D267" s="62" t="s">
        <v>264</v>
      </c>
      <c r="E267" s="62" t="s">
        <v>243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53</v>
      </c>
      <c r="D268" s="62" t="s">
        <v>264</v>
      </c>
      <c r="E268" s="62" t="s">
        <v>243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53</v>
      </c>
      <c r="D269" s="62" t="s">
        <v>264</v>
      </c>
      <c r="E269" s="62" t="s">
        <v>243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247</v>
      </c>
      <c r="B270" s="159"/>
      <c r="C270" s="159"/>
      <c r="D270" s="159"/>
      <c r="E270" s="176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245</v>
      </c>
      <c r="O270" s="39">
        <v>1544700</v>
      </c>
    </row>
    <row r="271" spans="1:15" ht="18" customHeight="1">
      <c r="A271" s="160" t="s">
        <v>248</v>
      </c>
      <c r="B271" s="161"/>
      <c r="C271" s="161"/>
      <c r="D271" s="161"/>
      <c r="E271" s="17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249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264</v>
      </c>
      <c r="E272" s="59" t="s">
        <v>243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175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264</v>
      </c>
      <c r="E273" s="59" t="s">
        <v>243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142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264</v>
      </c>
      <c r="E274" s="59" t="s">
        <v>243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75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264</v>
      </c>
      <c r="E275" s="59" t="s">
        <v>243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216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264</v>
      </c>
      <c r="E276" s="59" t="s">
        <v>243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58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264</v>
      </c>
      <c r="E277" s="59" t="s">
        <v>243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265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264</v>
      </c>
      <c r="E278" s="59" t="s">
        <v>243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264</v>
      </c>
      <c r="E279" s="59" t="s">
        <v>243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264</v>
      </c>
      <c r="E280" s="59" t="s">
        <v>243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264</v>
      </c>
      <c r="E281" s="59" t="s">
        <v>243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264</v>
      </c>
      <c r="E282" s="59" t="s">
        <v>243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264</v>
      </c>
      <c r="E283" s="59" t="s">
        <v>243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244</v>
      </c>
      <c r="B284" s="159"/>
      <c r="C284" s="159"/>
      <c r="D284" s="159"/>
      <c r="E284" s="176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245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53</v>
      </c>
      <c r="D285" s="62" t="s">
        <v>264</v>
      </c>
      <c r="E285" s="62" t="s">
        <v>259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53</v>
      </c>
      <c r="D286" s="62" t="s">
        <v>264</v>
      </c>
      <c r="E286" s="62" t="s">
        <v>259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53</v>
      </c>
      <c r="D287" s="62" t="s">
        <v>264</v>
      </c>
      <c r="E287" s="62" t="s">
        <v>259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53</v>
      </c>
      <c r="D288" s="62" t="s">
        <v>264</v>
      </c>
      <c r="E288" s="62" t="s">
        <v>259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53</v>
      </c>
      <c r="D289" s="62" t="s">
        <v>264</v>
      </c>
      <c r="E289" s="62" t="s">
        <v>259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53</v>
      </c>
      <c r="D290" s="62" t="s">
        <v>264</v>
      </c>
      <c r="E290" s="62" t="s">
        <v>259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53</v>
      </c>
      <c r="D291" s="62" t="s">
        <v>264</v>
      </c>
      <c r="E291" s="62" t="s">
        <v>259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53</v>
      </c>
      <c r="D292" s="62" t="s">
        <v>264</v>
      </c>
      <c r="E292" s="62" t="s">
        <v>259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53</v>
      </c>
      <c r="D293" s="62" t="s">
        <v>264</v>
      </c>
      <c r="E293" s="62" t="s">
        <v>259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53</v>
      </c>
      <c r="D294" s="62" t="s">
        <v>264</v>
      </c>
      <c r="E294" s="62" t="s">
        <v>259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53</v>
      </c>
      <c r="D295" s="62" t="s">
        <v>264</v>
      </c>
      <c r="E295" s="62" t="s">
        <v>259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53</v>
      </c>
      <c r="D296" s="62" t="s">
        <v>264</v>
      </c>
      <c r="E296" s="62" t="s">
        <v>259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247</v>
      </c>
      <c r="B297" s="159"/>
      <c r="C297" s="159"/>
      <c r="D297" s="159"/>
      <c r="E297" s="176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245</v>
      </c>
      <c r="O297" s="39">
        <v>1715230</v>
      </c>
    </row>
    <row r="298" spans="1:15" ht="18" customHeight="1">
      <c r="A298" s="160" t="s">
        <v>248</v>
      </c>
      <c r="B298" s="161"/>
      <c r="C298" s="161"/>
      <c r="D298" s="161"/>
      <c r="E298" s="17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249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243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232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243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142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243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42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243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266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243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243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243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243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243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243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243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243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244</v>
      </c>
      <c r="B311" s="159"/>
      <c r="C311" s="159"/>
      <c r="D311" s="159"/>
      <c r="E311" s="176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245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243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42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243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243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243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243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243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243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243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243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243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243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243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247</v>
      </c>
      <c r="B324" s="159"/>
      <c r="C324" s="159"/>
      <c r="D324" s="159"/>
      <c r="E324" s="176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245</v>
      </c>
      <c r="O324" s="39">
        <v>2216340</v>
      </c>
    </row>
    <row r="325" spans="1:15" ht="18" customHeight="1">
      <c r="A325" s="160" t="s">
        <v>248</v>
      </c>
      <c r="B325" s="161"/>
      <c r="C325" s="161"/>
      <c r="D325" s="161"/>
      <c r="E325" s="17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249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142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211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267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243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243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243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268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243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243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243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243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244</v>
      </c>
      <c r="B338" s="159"/>
      <c r="C338" s="159"/>
      <c r="D338" s="159"/>
      <c r="E338" s="176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245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243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44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243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243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243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243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243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243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243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243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243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243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243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247</v>
      </c>
      <c r="B351" s="159"/>
      <c r="C351" s="159"/>
      <c r="D351" s="159"/>
      <c r="E351" s="176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245</v>
      </c>
      <c r="O351" s="39">
        <v>2154990</v>
      </c>
    </row>
    <row r="352" spans="1:15" ht="18" customHeight="1">
      <c r="A352" s="160" t="s">
        <v>248</v>
      </c>
      <c r="B352" s="161"/>
      <c r="C352" s="161"/>
      <c r="D352" s="161"/>
      <c r="E352" s="175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249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243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52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243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142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243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52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243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52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243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243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259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243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243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243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243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243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244</v>
      </c>
      <c r="B365" s="159"/>
      <c r="C365" s="159"/>
      <c r="D365" s="159"/>
      <c r="E365" s="176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245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243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59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243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243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243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243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243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243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243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243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243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243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243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247</v>
      </c>
      <c r="B378" s="159"/>
      <c r="C378" s="159"/>
      <c r="D378" s="159"/>
      <c r="E378" s="176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245</v>
      </c>
      <c r="O378" s="39"/>
    </row>
    <row r="379" spans="1:15" ht="18" customHeight="1">
      <c r="A379" s="160" t="s">
        <v>248</v>
      </c>
      <c r="B379" s="161"/>
      <c r="C379" s="161"/>
      <c r="D379" s="161"/>
      <c r="E379" s="175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249</v>
      </c>
      <c r="O379" s="48">
        <f>IFERROR(O365+O378,"")</f>
        <v>2315280</v>
      </c>
    </row>
    <row r="380" spans="1:15" ht="15" customHeight="1">
      <c r="A380" s="67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79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/>
      <c r="D381" s="59"/>
      <c r="E381" s="59"/>
      <c r="F381" s="27"/>
      <c r="G381" s="34" t="str">
        <f t="shared" si="79"/>
        <v/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/>
      <c r="D382" s="59"/>
      <c r="E382" s="59"/>
      <c r="F382" s="27"/>
      <c r="G382" s="28" t="str">
        <f t="shared" si="79"/>
        <v/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/>
      <c r="D383" s="59"/>
      <c r="E383" s="59"/>
      <c r="F383" s="27"/>
      <c r="G383" s="34" t="str">
        <f t="shared" si="79"/>
        <v/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/>
      <c r="D384" s="59"/>
      <c r="E384" s="59"/>
      <c r="F384" s="27"/>
      <c r="G384" s="28" t="str">
        <f t="shared" si="79"/>
        <v/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/>
      <c r="D385" s="59"/>
      <c r="E385" s="59"/>
      <c r="F385" s="27"/>
      <c r="G385" s="34" t="str">
        <f t="shared" si="79"/>
        <v/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/>
      <c r="D386" s="59"/>
      <c r="E386" s="59"/>
      <c r="F386" s="27"/>
      <c r="G386" s="28" t="str">
        <f t="shared" si="79"/>
        <v/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/>
      <c r="D387" s="59"/>
      <c r="E387" s="59"/>
      <c r="F387" s="27"/>
      <c r="G387" s="34" t="str">
        <f t="shared" si="79"/>
        <v/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/>
      <c r="D388" s="59"/>
      <c r="E388" s="59"/>
      <c r="F388" s="27"/>
      <c r="G388" s="28" t="str">
        <f t="shared" si="79"/>
        <v/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/>
      <c r="D389" s="59"/>
      <c r="E389" s="59"/>
      <c r="F389" s="27"/>
      <c r="G389" s="34" t="str">
        <f t="shared" si="79"/>
        <v/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/>
      <c r="D390" s="59"/>
      <c r="E390" s="59"/>
      <c r="F390" s="27"/>
      <c r="G390" s="28" t="str">
        <f t="shared" si="79"/>
        <v/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/>
      <c r="D391" s="59"/>
      <c r="E391" s="59"/>
      <c r="F391" s="27"/>
      <c r="G391" s="34" t="str">
        <f t="shared" si="79"/>
        <v/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244</v>
      </c>
      <c r="B392" s="159"/>
      <c r="C392" s="159"/>
      <c r="D392" s="159"/>
      <c r="E392" s="17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245</v>
      </c>
      <c r="O392" s="39"/>
    </row>
    <row r="393" spans="1:15" ht="15" customHeight="1">
      <c r="A393" s="68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2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3">IFERROR(IF(K393="","",IF(L393="",MOD(NOW()-K393,1),IF(L393&gt;=K393,L393-K393,L393+1-K393))),"")</f>
        <v/>
      </c>
      <c r="N393" s="46"/>
      <c r="O393" s="47"/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/>
      <c r="D394" s="62"/>
      <c r="E394" s="62"/>
      <c r="F394" s="27"/>
      <c r="G394" s="28" t="str">
        <f t="shared" si="82"/>
        <v/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/>
      <c r="D395" s="62"/>
      <c r="E395" s="62"/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/>
      <c r="D396" s="62"/>
      <c r="E396" s="62"/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/>
      <c r="D397" s="62"/>
      <c r="E397" s="62"/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/>
      <c r="D398" s="62"/>
      <c r="E398" s="62"/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/>
      <c r="D399" s="62"/>
      <c r="E399" s="62"/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/>
      <c r="D400" s="62"/>
      <c r="E400" s="62"/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/>
      <c r="D401" s="62"/>
      <c r="E401" s="62"/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/>
      <c r="D402" s="62"/>
      <c r="E402" s="62"/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/>
      <c r="D403" s="62"/>
      <c r="E403" s="62"/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/>
      <c r="D404" s="62"/>
      <c r="E404" s="62"/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247</v>
      </c>
      <c r="B405" s="159"/>
      <c r="C405" s="159"/>
      <c r="D405" s="159"/>
      <c r="E405" s="17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245</v>
      </c>
      <c r="O405" s="39"/>
    </row>
    <row r="406" spans="1:15" ht="18" customHeight="1">
      <c r="A406" s="160" t="s">
        <v>248</v>
      </c>
      <c r="B406" s="161"/>
      <c r="C406" s="161"/>
      <c r="D406" s="161"/>
      <c r="E406" s="17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249</v>
      </c>
      <c r="O406" s="48">
        <f>IFERROR(O392+O405,"")</f>
        <v>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244</v>
      </c>
      <c r="B419" s="159"/>
      <c r="C419" s="159"/>
      <c r="D419" s="159"/>
      <c r="E419" s="17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245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247</v>
      </c>
      <c r="B432" s="159"/>
      <c r="C432" s="159"/>
      <c r="D432" s="159"/>
      <c r="E432" s="17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245</v>
      </c>
      <c r="O432" s="39"/>
    </row>
    <row r="433" spans="1:15" ht="18" customHeight="1">
      <c r="A433" s="160" t="s">
        <v>248</v>
      </c>
      <c r="B433" s="161"/>
      <c r="C433" s="161"/>
      <c r="D433" s="161"/>
      <c r="E433" s="17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249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244</v>
      </c>
      <c r="B446" s="159"/>
      <c r="C446" s="159"/>
      <c r="D446" s="159"/>
      <c r="E446" s="17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245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247</v>
      </c>
      <c r="B459" s="159"/>
      <c r="C459" s="159"/>
      <c r="D459" s="159"/>
      <c r="E459" s="17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245</v>
      </c>
      <c r="O459" s="39"/>
    </row>
    <row r="460" spans="1:15" ht="18" customHeight="1">
      <c r="A460" s="160" t="s">
        <v>248</v>
      </c>
      <c r="B460" s="161"/>
      <c r="C460" s="161"/>
      <c r="D460" s="161"/>
      <c r="E460" s="17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249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244</v>
      </c>
      <c r="B473" s="159"/>
      <c r="C473" s="159"/>
      <c r="D473" s="159"/>
      <c r="E473" s="17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245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247</v>
      </c>
      <c r="B486" s="159"/>
      <c r="C486" s="159"/>
      <c r="D486" s="159"/>
      <c r="E486" s="17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245</v>
      </c>
      <c r="O486" s="39"/>
    </row>
    <row r="487" spans="1:15" ht="18" customHeight="1">
      <c r="A487" s="160" t="s">
        <v>248</v>
      </c>
      <c r="B487" s="161"/>
      <c r="C487" s="161"/>
      <c r="D487" s="161"/>
      <c r="E487" s="17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249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244</v>
      </c>
      <c r="B500" s="159"/>
      <c r="C500" s="159"/>
      <c r="D500" s="159"/>
      <c r="E500" s="17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245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247</v>
      </c>
      <c r="B513" s="159"/>
      <c r="C513" s="159"/>
      <c r="D513" s="159"/>
      <c r="E513" s="17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245</v>
      </c>
      <c r="O513" s="39"/>
    </row>
    <row r="514" spans="1:15" ht="18" customHeight="1">
      <c r="A514" s="160" t="s">
        <v>248</v>
      </c>
      <c r="B514" s="161"/>
      <c r="C514" s="161"/>
      <c r="D514" s="161"/>
      <c r="E514" s="17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249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244</v>
      </c>
      <c r="B527" s="159"/>
      <c r="C527" s="159"/>
      <c r="D527" s="159"/>
      <c r="E527" s="17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245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247</v>
      </c>
      <c r="B540" s="159"/>
      <c r="C540" s="159"/>
      <c r="D540" s="159"/>
      <c r="E540" s="17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245</v>
      </c>
      <c r="O540" s="39"/>
    </row>
    <row r="541" spans="1:15" ht="18" customHeight="1">
      <c r="A541" s="160" t="s">
        <v>248</v>
      </c>
      <c r="B541" s="161"/>
      <c r="C541" s="161"/>
      <c r="D541" s="161"/>
      <c r="E541" s="17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249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244</v>
      </c>
      <c r="B554" s="159"/>
      <c r="C554" s="159"/>
      <c r="D554" s="159"/>
      <c r="E554" s="17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245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247</v>
      </c>
      <c r="B567" s="159"/>
      <c r="C567" s="159"/>
      <c r="D567" s="159"/>
      <c r="E567" s="17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245</v>
      </c>
      <c r="O567" s="39"/>
    </row>
    <row r="568" spans="1:15" ht="18" customHeight="1">
      <c r="A568" s="160" t="s">
        <v>248</v>
      </c>
      <c r="B568" s="161"/>
      <c r="C568" s="161"/>
      <c r="D568" s="161"/>
      <c r="E568" s="17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249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244</v>
      </c>
      <c r="B581" s="159"/>
      <c r="C581" s="159"/>
      <c r="D581" s="159"/>
      <c r="E581" s="17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245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247</v>
      </c>
      <c r="B594" s="159"/>
      <c r="C594" s="159"/>
      <c r="D594" s="159"/>
      <c r="E594" s="17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245</v>
      </c>
      <c r="O594" s="39"/>
    </row>
    <row r="595" spans="1:15" ht="18" customHeight="1">
      <c r="A595" s="160" t="s">
        <v>248</v>
      </c>
      <c r="B595" s="161"/>
      <c r="C595" s="161"/>
      <c r="D595" s="161"/>
      <c r="E595" s="17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249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244</v>
      </c>
      <c r="B608" s="159"/>
      <c r="C608" s="159"/>
      <c r="D608" s="159"/>
      <c r="E608" s="17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245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247</v>
      </c>
      <c r="B621" s="159"/>
      <c r="C621" s="159"/>
      <c r="D621" s="159"/>
      <c r="E621" s="17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245</v>
      </c>
      <c r="O621" s="39"/>
    </row>
    <row r="622" spans="1:15" ht="18" customHeight="1">
      <c r="A622" s="160" t="s">
        <v>248</v>
      </c>
      <c r="B622" s="161"/>
      <c r="C622" s="161"/>
      <c r="D622" s="161"/>
      <c r="E622" s="17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249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244</v>
      </c>
      <c r="B635" s="159"/>
      <c r="C635" s="159"/>
      <c r="D635" s="159"/>
      <c r="E635" s="17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245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247</v>
      </c>
      <c r="B648" s="159"/>
      <c r="C648" s="159"/>
      <c r="D648" s="159"/>
      <c r="E648" s="17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245</v>
      </c>
      <c r="O648" s="39"/>
    </row>
    <row r="649" spans="1:15" ht="18" customHeight="1">
      <c r="A649" s="160" t="s">
        <v>248</v>
      </c>
      <c r="B649" s="161"/>
      <c r="C649" s="161"/>
      <c r="D649" s="161"/>
      <c r="E649" s="17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249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244</v>
      </c>
      <c r="B662" s="159"/>
      <c r="C662" s="159"/>
      <c r="D662" s="159"/>
      <c r="E662" s="17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245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247</v>
      </c>
      <c r="B675" s="159"/>
      <c r="C675" s="159"/>
      <c r="D675" s="159"/>
      <c r="E675" s="17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245</v>
      </c>
      <c r="O675" s="39"/>
    </row>
    <row r="676" spans="1:15" ht="18" customHeight="1">
      <c r="A676" s="160" t="s">
        <v>248</v>
      </c>
      <c r="B676" s="161"/>
      <c r="C676" s="161"/>
      <c r="D676" s="161"/>
      <c r="E676" s="17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249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244</v>
      </c>
      <c r="B689" s="159"/>
      <c r="C689" s="159"/>
      <c r="D689" s="159"/>
      <c r="E689" s="17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245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247</v>
      </c>
      <c r="B702" s="159"/>
      <c r="C702" s="159"/>
      <c r="D702" s="159"/>
      <c r="E702" s="17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245</v>
      </c>
      <c r="O702" s="39"/>
    </row>
    <row r="703" spans="1:15" ht="18" customHeight="1">
      <c r="A703" s="160" t="s">
        <v>248</v>
      </c>
      <c r="B703" s="161"/>
      <c r="C703" s="161"/>
      <c r="D703" s="161"/>
      <c r="E703" s="17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249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244</v>
      </c>
      <c r="B716" s="159"/>
      <c r="C716" s="159"/>
      <c r="D716" s="159"/>
      <c r="E716" s="17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245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247</v>
      </c>
      <c r="B729" s="159"/>
      <c r="C729" s="159"/>
      <c r="D729" s="159"/>
      <c r="E729" s="17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245</v>
      </c>
      <c r="O729" s="39"/>
    </row>
    <row r="730" spans="1:15" ht="18" customHeight="1">
      <c r="A730" s="160" t="s">
        <v>248</v>
      </c>
      <c r="B730" s="161"/>
      <c r="C730" s="161"/>
      <c r="D730" s="161"/>
      <c r="E730" s="17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249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244</v>
      </c>
      <c r="B743" s="159"/>
      <c r="C743" s="159"/>
      <c r="D743" s="159"/>
      <c r="E743" s="17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245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247</v>
      </c>
      <c r="B756" s="159"/>
      <c r="C756" s="159"/>
      <c r="D756" s="159"/>
      <c r="E756" s="17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245</v>
      </c>
      <c r="O756" s="39"/>
    </row>
    <row r="757" spans="1:15" ht="18" customHeight="1">
      <c r="A757" s="160" t="s">
        <v>248</v>
      </c>
      <c r="B757" s="161"/>
      <c r="C757" s="161"/>
      <c r="D757" s="161"/>
      <c r="E757" s="17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249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244</v>
      </c>
      <c r="B770" s="159"/>
      <c r="C770" s="159"/>
      <c r="D770" s="159"/>
      <c r="E770" s="17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245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247</v>
      </c>
      <c r="B783" s="159"/>
      <c r="C783" s="159"/>
      <c r="D783" s="159"/>
      <c r="E783" s="17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245</v>
      </c>
      <c r="O783" s="39"/>
    </row>
    <row r="784" spans="1:15" ht="18" customHeight="1">
      <c r="A784" s="160" t="s">
        <v>248</v>
      </c>
      <c r="B784" s="161"/>
      <c r="C784" s="161"/>
      <c r="D784" s="161"/>
      <c r="E784" s="17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249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244</v>
      </c>
      <c r="B797" s="159"/>
      <c r="C797" s="159"/>
      <c r="D797" s="159"/>
      <c r="E797" s="17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245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247</v>
      </c>
      <c r="B810" s="159"/>
      <c r="C810" s="159"/>
      <c r="D810" s="159"/>
      <c r="E810" s="17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245</v>
      </c>
      <c r="O810" s="39"/>
    </row>
    <row r="811" spans="1:15" ht="18" customHeight="1">
      <c r="A811" s="172" t="s">
        <v>248</v>
      </c>
      <c r="B811" s="173"/>
      <c r="C811" s="173"/>
      <c r="D811" s="173"/>
      <c r="E811" s="174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249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244</v>
      </c>
      <c r="B824" s="159"/>
      <c r="C824" s="159"/>
      <c r="D824" s="159"/>
      <c r="E824" s="17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245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247</v>
      </c>
      <c r="B837" s="159"/>
      <c r="C837" s="159"/>
      <c r="D837" s="159"/>
      <c r="E837" s="17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245</v>
      </c>
      <c r="O837" s="39"/>
    </row>
    <row r="838" spans="1:15" ht="18" customHeight="1">
      <c r="A838" s="160" t="s">
        <v>248</v>
      </c>
      <c r="B838" s="161"/>
      <c r="C838" s="161"/>
      <c r="D838" s="161"/>
      <c r="E838" s="17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49" activePane="bottomLeft" state="frozen"/>
      <selection pane="bottomLeft" activeCell="G377" sqref="G377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168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271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82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39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47</v>
      </c>
      <c r="N5" s="33" t="s">
        <v>138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272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66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273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139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139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245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39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259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47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259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143</v>
      </c>
      <c r="N17" s="33" t="s">
        <v>57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259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166</v>
      </c>
      <c r="N18" s="26" t="s">
        <v>82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259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143</v>
      </c>
      <c r="N19" s="33" t="s">
        <v>57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274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259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39</v>
      </c>
      <c r="N20" s="26" t="s">
        <v>44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275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259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47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259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39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259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39</v>
      </c>
      <c r="N23" s="33" t="s">
        <v>58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259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259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259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245</v>
      </c>
      <c r="S27" s="45">
        <v>549860</v>
      </c>
      <c r="T27" s="122"/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249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29</v>
      </c>
      <c r="E29" s="108" t="s">
        <v>259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166</v>
      </c>
      <c r="N29" s="33" t="s">
        <v>82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29</v>
      </c>
      <c r="E30" s="108" t="s">
        <v>259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47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47</v>
      </c>
      <c r="N31" s="33" t="s">
        <v>58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29</v>
      </c>
      <c r="E33" s="108" t="s">
        <v>259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29</v>
      </c>
      <c r="E34" s="108" t="s">
        <v>259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29</v>
      </c>
      <c r="E35" s="108" t="s">
        <v>259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29</v>
      </c>
      <c r="E36" s="108" t="s">
        <v>259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29</v>
      </c>
      <c r="E38" s="108" t="s">
        <v>259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29</v>
      </c>
      <c r="E39" s="108" t="s">
        <v>259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29</v>
      </c>
      <c r="E40" s="108" t="s">
        <v>259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245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47</v>
      </c>
      <c r="N42" s="26" t="s">
        <v>59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47</v>
      </c>
      <c r="N43" s="33" t="s">
        <v>59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39</v>
      </c>
      <c r="N44" s="26" t="s">
        <v>59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168</v>
      </c>
      <c r="N45" s="33" t="s">
        <v>59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47</v>
      </c>
      <c r="N46" s="26" t="s">
        <v>59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168</v>
      </c>
      <c r="N47" s="33" t="s">
        <v>59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47</v>
      </c>
      <c r="N48" s="26" t="s">
        <v>59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276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47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277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47</v>
      </c>
      <c r="N50" s="26" t="s">
        <v>43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47</v>
      </c>
      <c r="N51" s="33" t="s">
        <v>59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47</v>
      </c>
      <c r="N52" s="26" t="s">
        <v>138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278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138</v>
      </c>
      <c r="O53" s="29">
        <v>0.12152777777777778</v>
      </c>
      <c r="P53" s="29"/>
      <c r="Q53" s="30">
        <f t="shared" ca="1" si="11"/>
        <v>0.15677361111011123</v>
      </c>
      <c r="R53" s="46" t="s">
        <v>279</v>
      </c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0.29566249999900013</v>
      </c>
      <c r="R54" s="36" t="s">
        <v>245</v>
      </c>
      <c r="S54" s="75">
        <v>352430</v>
      </c>
      <c r="T54" s="117"/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0.38038472222122244</v>
      </c>
      <c r="R55" s="40" t="s">
        <v>249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39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108" t="s">
        <v>259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131</v>
      </c>
      <c r="N57" s="50" t="s">
        <v>122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131</v>
      </c>
      <c r="N58" s="26" t="s">
        <v>122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108" t="s">
        <v>259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131</v>
      </c>
      <c r="N59" s="33" t="s">
        <v>122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108" t="s">
        <v>259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131</v>
      </c>
      <c r="N60" s="26" t="s">
        <v>122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108" t="s">
        <v>259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131</v>
      </c>
      <c r="N61" s="33" t="s">
        <v>122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108" t="s">
        <v>259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131</v>
      </c>
      <c r="N62" s="26" t="s">
        <v>122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108" t="s">
        <v>259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47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271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108" t="s">
        <v>259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108" t="s">
        <v>259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245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157</v>
      </c>
      <c r="N69" s="26" t="s">
        <v>194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143</v>
      </c>
      <c r="N70" s="26" t="s">
        <v>57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166</v>
      </c>
      <c r="N71" s="33" t="s">
        <v>82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166</v>
      </c>
      <c r="N72" s="26" t="s">
        <v>82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39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166</v>
      </c>
      <c r="N74" s="26" t="s">
        <v>82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47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39</v>
      </c>
      <c r="N76" s="26" t="s">
        <v>209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280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259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245</v>
      </c>
      <c r="S81" s="54">
        <v>634210</v>
      </c>
      <c r="T81" s="118"/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249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20" t="s">
        <v>37</v>
      </c>
      <c r="E83" s="108" t="s">
        <v>259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146</v>
      </c>
      <c r="N83" s="33" t="s">
        <v>219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47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47</v>
      </c>
      <c r="N85" s="33" t="s">
        <v>44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47</v>
      </c>
      <c r="N86" s="26" t="s">
        <v>44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146</v>
      </c>
      <c r="N87" s="33" t="s">
        <v>126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245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149</v>
      </c>
      <c r="N96" s="26" t="s">
        <v>126</v>
      </c>
      <c r="O96" s="29">
        <v>0.79166666666666663</v>
      </c>
      <c r="P96" s="29" t="s">
        <v>281</v>
      </c>
      <c r="Q96" s="30" t="str">
        <f t="shared" ref="Q96:Q107" ca="1" si="22">IFERROR(IF(O96="","",IF(P96="",MOD(NOW()-O96,1),IF(P96&gt;=O96,P96-O96,P96+1-O96))),"")</f>
        <v/>
      </c>
      <c r="R96" s="46" t="s">
        <v>282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39</v>
      </c>
      <c r="N97" s="33" t="s">
        <v>58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39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283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47</v>
      </c>
      <c r="N99" s="33" t="s">
        <v>192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284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39</v>
      </c>
      <c r="N100" s="26" t="s">
        <v>58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246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47</v>
      </c>
      <c r="N101" s="33" t="s">
        <v>44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245</v>
      </c>
      <c r="S108" s="54">
        <v>456830</v>
      </c>
      <c r="T108" s="118"/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249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39</v>
      </c>
      <c r="N110" s="26" t="s">
        <v>165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47</v>
      </c>
      <c r="N111" s="33" t="s">
        <v>44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285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47</v>
      </c>
      <c r="N112" s="26" t="s">
        <v>165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47</v>
      </c>
      <c r="N113" s="33" t="s">
        <v>44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245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168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39</v>
      </c>
      <c r="N124" s="26" t="s">
        <v>165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143</v>
      </c>
      <c r="N125" s="33" t="s">
        <v>57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143</v>
      </c>
      <c r="N126" s="26" t="s">
        <v>57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131</v>
      </c>
      <c r="N127" s="33" t="s">
        <v>122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47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39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245</v>
      </c>
      <c r="S135" s="54">
        <v>756720</v>
      </c>
      <c r="T135" s="118"/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249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47</v>
      </c>
      <c r="N138" s="26" t="s">
        <v>59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47</v>
      </c>
      <c r="N139" s="33" t="s">
        <v>64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286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47</v>
      </c>
      <c r="N140" s="26" t="s">
        <v>44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47</v>
      </c>
      <c r="N141" s="33" t="s">
        <v>44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287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126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39</v>
      </c>
      <c r="N143" s="33" t="s">
        <v>44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168</v>
      </c>
      <c r="N144" s="26" t="s">
        <v>118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288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245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146</v>
      </c>
      <c r="N150" s="26" t="s">
        <v>82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128</v>
      </c>
      <c r="N151" s="33" t="s">
        <v>95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289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47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47</v>
      </c>
      <c r="N153" s="33" t="s">
        <v>42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245</v>
      </c>
      <c r="S162" s="54">
        <v>501750</v>
      </c>
      <c r="T162" s="118"/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249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47</v>
      </c>
      <c r="N164" s="26" t="s">
        <v>42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9" t="s">
        <v>259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39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9" t="s">
        <v>259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39</v>
      </c>
      <c r="N166" s="26" t="s">
        <v>44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9" t="s">
        <v>259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166</v>
      </c>
      <c r="N167" s="33" t="s">
        <v>82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9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166</v>
      </c>
      <c r="N168" s="26" t="s">
        <v>82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9" t="s">
        <v>259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9" t="s">
        <v>259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9" t="s">
        <v>259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9" t="s">
        <v>259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9" t="s">
        <v>259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9" t="s">
        <v>259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9" t="s">
        <v>259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245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39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125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8" t="s">
        <v>259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131</v>
      </c>
      <c r="N179" s="33" t="s">
        <v>122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8" t="s">
        <v>259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157</v>
      </c>
      <c r="N180" s="26" t="s">
        <v>142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82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290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8" t="s">
        <v>259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82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287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82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291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8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8" t="s">
        <v>259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8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245</v>
      </c>
      <c r="S189" s="45">
        <v>362530</v>
      </c>
      <c r="T189" s="122"/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249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292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157</v>
      </c>
      <c r="N192" s="26" t="s">
        <v>191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157</v>
      </c>
      <c r="N193" s="26" t="s">
        <v>191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47</v>
      </c>
      <c r="N194" s="26" t="s">
        <v>44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47</v>
      </c>
      <c r="N195" s="33" t="s">
        <v>44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285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47</v>
      </c>
      <c r="N196" s="26" t="s">
        <v>175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131</v>
      </c>
      <c r="N197" s="33" t="s">
        <v>122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131</v>
      </c>
      <c r="N198" s="33" t="s">
        <v>122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245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82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168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168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245</v>
      </c>
      <c r="S216" s="45">
        <v>609740</v>
      </c>
      <c r="T216" s="122"/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249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39</v>
      </c>
      <c r="N218" s="33" t="s">
        <v>180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280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39</v>
      </c>
      <c r="N219" s="33" t="s">
        <v>43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39</v>
      </c>
      <c r="N220" s="26" t="s">
        <v>58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246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39</v>
      </c>
      <c r="N221" s="33" t="s">
        <v>86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293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47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143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294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143</v>
      </c>
      <c r="N224" s="26" t="s">
        <v>69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295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9" t="s">
        <v>244</v>
      </c>
      <c r="B230" s="170"/>
      <c r="C230" s="170"/>
      <c r="D230" s="170"/>
      <c r="E230" s="170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245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47</v>
      </c>
      <c r="N231" s="33" t="s">
        <v>44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246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168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47</v>
      </c>
      <c r="N233" s="33" t="s">
        <v>44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168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245</v>
      </c>
      <c r="S243" s="45">
        <v>825930</v>
      </c>
      <c r="T243" s="122"/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249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39</v>
      </c>
      <c r="N245" s="33" t="s">
        <v>175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47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47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39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245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259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259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259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259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259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259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259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259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259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259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259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259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45">
        <v>732130</v>
      </c>
      <c r="T270" s="122"/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249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46</v>
      </c>
      <c r="E278" s="59" t="s">
        <v>259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46</v>
      </c>
      <c r="E279" s="59" t="s">
        <v>259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46</v>
      </c>
      <c r="E280" s="59" t="s">
        <v>259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46</v>
      </c>
      <c r="E281" s="59" t="s">
        <v>259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46</v>
      </c>
      <c r="E282" s="59" t="s">
        <v>243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46</v>
      </c>
      <c r="E283" s="59" t="s">
        <v>259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45</v>
      </c>
      <c r="D285" s="62" t="s">
        <v>54</v>
      </c>
      <c r="E285" s="62" t="s">
        <v>243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45</v>
      </c>
      <c r="D286" s="62" t="s">
        <v>54</v>
      </c>
      <c r="E286" s="62" t="s">
        <v>243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45</v>
      </c>
      <c r="D287" s="62" t="s">
        <v>37</v>
      </c>
      <c r="E287" s="62" t="s">
        <v>259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45</v>
      </c>
      <c r="D288" s="62" t="s">
        <v>37</v>
      </c>
      <c r="E288" s="62" t="s">
        <v>259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45</v>
      </c>
      <c r="D289" s="62" t="s">
        <v>37</v>
      </c>
      <c r="E289" s="62" t="s">
        <v>243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45</v>
      </c>
      <c r="D290" s="62" t="s">
        <v>37</v>
      </c>
      <c r="E290" s="62" t="s">
        <v>243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45</v>
      </c>
      <c r="D291" s="62" t="s">
        <v>37</v>
      </c>
      <c r="E291" s="62" t="s">
        <v>243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45</v>
      </c>
      <c r="D292" s="62" t="s">
        <v>37</v>
      </c>
      <c r="E292" s="62" t="s">
        <v>243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45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45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45</v>
      </c>
      <c r="D295" s="62" t="s">
        <v>37</v>
      </c>
      <c r="E295" s="62" t="s">
        <v>243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45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45">
        <v>990260</v>
      </c>
      <c r="T297" s="122"/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259</v>
      </c>
      <c r="F299" s="140" t="str">
        <f>IFERROR(IF($D299="","",VLOOKUP($D299,Cadastro!$C$4:$E$7,3,FALSE)),"")</f>
        <v>b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 t="str">
        <f t="shared" ref="J299:J310" si="66">IFERROR(IF($H299="","",$H299*$F299*$I299),"")</f>
        <v/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143</v>
      </c>
      <c r="N299" s="33" t="s">
        <v>57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259</v>
      </c>
      <c r="F300" s="134" t="str">
        <f>IFERROR(IF($D300="","",VLOOKUP($D300,Cadastro!$C$4:$E$7,3,FALSE)),"")</f>
        <v>b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 t="str">
        <f t="shared" si="66"/>
        <v/>
      </c>
      <c r="K300" s="28">
        <f t="shared" si="67"/>
        <v>84</v>
      </c>
      <c r="L300" s="26" t="s">
        <v>26</v>
      </c>
      <c r="M300" s="26" t="s">
        <v>47</v>
      </c>
      <c r="N300" s="26" t="s">
        <v>86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259</v>
      </c>
      <c r="F301" s="134" t="str">
        <f>IFERROR(IF($D301="","",VLOOKUP($D301,Cadastro!$C$4:$E$7,3,FALSE)),"")</f>
        <v>b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 t="str">
        <f t="shared" si="66"/>
        <v/>
      </c>
      <c r="K301" s="34">
        <f t="shared" si="67"/>
        <v>84</v>
      </c>
      <c r="L301" s="33" t="s">
        <v>26</v>
      </c>
      <c r="M301" s="33" t="s">
        <v>39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259</v>
      </c>
      <c r="F302" s="134" t="str">
        <f>IFERROR(IF($D302="","",VLOOKUP($D302,Cadastro!$C$4:$E$7,3,FALSE)),"")</f>
        <v>b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 t="str">
        <f t="shared" si="66"/>
        <v/>
      </c>
      <c r="K302" s="28">
        <f t="shared" si="67"/>
        <v>71.400000000000006</v>
      </c>
      <c r="L302" s="26" t="s">
        <v>27</v>
      </c>
      <c r="M302" s="26" t="s">
        <v>39</v>
      </c>
      <c r="N302" s="26" t="s">
        <v>44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259</v>
      </c>
      <c r="F303" s="134" t="str">
        <f>IFERROR(IF($D303="","",VLOOKUP($D303,Cadastro!$C$4:$E$7,3,FALSE)),"")</f>
        <v>b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 t="str">
        <f t="shared" si="66"/>
        <v/>
      </c>
      <c r="K303" s="34">
        <f t="shared" si="67"/>
        <v>63</v>
      </c>
      <c r="L303" s="33" t="s">
        <v>26</v>
      </c>
      <c r="M303" s="33" t="s">
        <v>47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259</v>
      </c>
      <c r="F304" s="134" t="str">
        <f>IFERROR(IF($D304="","",VLOOKUP($D304,Cadastro!$C$4:$E$7,3,FALSE)),"")</f>
        <v>b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 t="str">
        <f t="shared" si="66"/>
        <v/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259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259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259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259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259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259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67.536298224852061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245</v>
      </c>
      <c r="S311" s="149">
        <v>754870</v>
      </c>
      <c r="T311" s="122">
        <f>IFERROR(J311,"")</f>
        <v>67.536298224852061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259</v>
      </c>
      <c r="F312" s="140" t="str">
        <f>IFERROR(IF($D312="","",VLOOKUP($D312,Cadastro!$C$4:$E$7,3,FALSE)),"")</f>
        <v>b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 t="str">
        <f>IFERROR(IF($H312="","",$H312*$F312*$I312),"")</f>
        <v/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168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259</v>
      </c>
      <c r="F313" s="134" t="str">
        <f>IFERROR(IF($D313="","",VLOOKUP($D313,Cadastro!$C$4:$E$7,3,FALSE)),"")</f>
        <v>b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 t="str">
        <f t="shared" ref="J312:J323" si="73">IFERROR(IF($H313="","",$H313*$F313*$I313),"")</f>
        <v/>
      </c>
      <c r="K313" s="34">
        <f t="shared" si="70"/>
        <v>54.6</v>
      </c>
      <c r="L313" s="33" t="s">
        <v>27</v>
      </c>
      <c r="M313" s="33" t="s">
        <v>47</v>
      </c>
      <c r="N313" s="33" t="s">
        <v>44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259</v>
      </c>
      <c r="F314" s="134" t="str">
        <f>IFERROR(IF($D314="","",VLOOKUP($D314,Cadastro!$C$4:$E$7,3,FALSE)),"")</f>
        <v>b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 t="str">
        <f t="shared" si="73"/>
        <v/>
      </c>
      <c r="K314" s="28">
        <f t="shared" si="70"/>
        <v>67.2</v>
      </c>
      <c r="L314" s="26" t="s">
        <v>25</v>
      </c>
      <c r="M314" s="26" t="s">
        <v>47</v>
      </c>
      <c r="N314" s="26" t="s">
        <v>165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259</v>
      </c>
      <c r="F315" s="134" t="str">
        <f>IFERROR(IF($D315="","",VLOOKUP($D315,Cadastro!$C$4:$E$7,3,FALSE)),"")</f>
        <v>b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 t="str">
        <f t="shared" si="73"/>
        <v/>
      </c>
      <c r="K315" s="34">
        <f t="shared" si="70"/>
        <v>25.200000000000003</v>
      </c>
      <c r="L315" s="33" t="s">
        <v>27</v>
      </c>
      <c r="M315" s="33" t="s">
        <v>47</v>
      </c>
      <c r="N315" s="33" t="s">
        <v>44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259</v>
      </c>
      <c r="F316" s="134" t="str">
        <f>IFERROR(IF($D316="","",VLOOKUP($D316,Cadastro!$C$4:$E$7,3,FALSE)),"")</f>
        <v>b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 t="str">
        <f t="shared" si="73"/>
        <v/>
      </c>
      <c r="K316" s="28">
        <f t="shared" si="70"/>
        <v>84</v>
      </c>
      <c r="L316" s="26" t="s">
        <v>26</v>
      </c>
      <c r="M316" s="26" t="s">
        <v>168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259</v>
      </c>
      <c r="F317" s="134" t="str">
        <f>IFERROR(IF($D317="","",VLOOKUP($D317,Cadastro!$C$4:$E$7,3,FALSE)),"")</f>
        <v>b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 t="str">
        <f t="shared" si="73"/>
        <v/>
      </c>
      <c r="K317" s="34">
        <f t="shared" si="70"/>
        <v>75.600000000000009</v>
      </c>
      <c r="L317" s="33" t="s">
        <v>25</v>
      </c>
      <c r="M317" s="33" t="s">
        <v>146</v>
      </c>
      <c r="N317" s="33" t="s">
        <v>108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259</v>
      </c>
      <c r="F318" s="134" t="str">
        <f>IFERROR(IF($D318="","",VLOOKUP($D318,Cadastro!$C$4:$E$7,3,FALSE)),"")</f>
        <v>b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 t="str">
        <f t="shared" si="73"/>
        <v/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259</v>
      </c>
      <c r="F319" s="134" t="str">
        <f>IFERROR(IF($D319="","",VLOOKUP($D319,Cadastro!$C$4:$E$7,3,FALSE)),"")</f>
        <v>b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 t="str">
        <f t="shared" si="73"/>
        <v/>
      </c>
      <c r="K319" s="34">
        <f t="shared" si="70"/>
        <v>63</v>
      </c>
      <c r="L319" s="33" t="s">
        <v>24</v>
      </c>
      <c r="M319" s="33" t="s">
        <v>39</v>
      </c>
      <c r="N319" s="33" t="s">
        <v>57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259</v>
      </c>
      <c r="F320" s="134" t="str">
        <f>IFERROR(IF($D320="","",VLOOKUP($D320,Cadastro!$C$4:$E$7,3,FALSE)),"")</f>
        <v>b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 t="str">
        <f t="shared" si="73"/>
        <v/>
      </c>
      <c r="K320" s="28">
        <f t="shared" si="70"/>
        <v>67.2</v>
      </c>
      <c r="L320" s="26" t="s">
        <v>24</v>
      </c>
      <c r="M320" s="26" t="s">
        <v>143</v>
      </c>
      <c r="N320" s="26" t="s">
        <v>57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259</v>
      </c>
      <c r="F321" s="134" t="str">
        <f>IFERROR(IF($D321="","",VLOOKUP($D321,Cadastro!$C$4:$E$7,3,FALSE)),"")</f>
        <v>b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 t="str">
        <f t="shared" si="73"/>
        <v/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259</v>
      </c>
      <c r="F322" s="134" t="str">
        <f>IFERROR(IF($D322="","",VLOOKUP($D322,Cadastro!$C$4:$E$7,3,FALSE)),"")</f>
        <v>b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 t="str">
        <f t="shared" si="73"/>
        <v/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259</v>
      </c>
      <c r="F323" s="137" t="str">
        <f>IFERROR(IF($D323="","",VLOOKUP($D323,Cadastro!$C$4:$E$7,3,FALSE)),"")</f>
        <v>b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 t="str">
        <f t="shared" si="73"/>
        <v/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0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245</v>
      </c>
      <c r="S324" s="149">
        <v>725030</v>
      </c>
      <c r="T324" s="122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67.536298224852061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249</v>
      </c>
      <c r="S325" s="143">
        <f>IFERROR(S311+S324,"")</f>
        <v>1479900</v>
      </c>
      <c r="T325" s="144">
        <f>IFERROR(J325,"")</f>
        <v>67.536298224852061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47</v>
      </c>
      <c r="N326" s="26" t="s">
        <v>138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296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47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146</v>
      </c>
      <c r="N328" s="26" t="s">
        <v>138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297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146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298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134</v>
      </c>
      <c r="N330" s="26" t="s">
        <v>122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146</v>
      </c>
      <c r="N331" s="33" t="s">
        <v>69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299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47</v>
      </c>
      <c r="N332" s="26" t="s">
        <v>180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300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245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47</v>
      </c>
      <c r="N339" s="33" t="s">
        <v>43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47</v>
      </c>
      <c r="N340" s="26" t="s">
        <v>86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39</v>
      </c>
      <c r="N341" s="33" t="s">
        <v>44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292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47</v>
      </c>
      <c r="N342" s="26" t="s">
        <v>175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47</v>
      </c>
      <c r="N343" s="33" t="s">
        <v>205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287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39</v>
      </c>
      <c r="N344" s="26" t="s">
        <v>165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47</v>
      </c>
      <c r="N345" s="33" t="s">
        <v>165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143</v>
      </c>
      <c r="N346" s="26" t="s">
        <v>57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143</v>
      </c>
      <c r="N347" s="33" t="s">
        <v>57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245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249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47</v>
      </c>
      <c r="N353" s="33" t="s">
        <v>64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280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39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39</v>
      </c>
      <c r="N355" s="33" t="s">
        <v>86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134</v>
      </c>
      <c r="N356" s="26" t="s">
        <v>122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168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245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0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126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6"/>
        <v>0</v>
      </c>
      <c r="K367" s="34">
        <f t="shared" si="87"/>
        <v>63</v>
      </c>
      <c r="L367" s="33" t="s">
        <v>27</v>
      </c>
      <c r="M367" s="33" t="s">
        <v>146</v>
      </c>
      <c r="N367" s="33" t="s">
        <v>82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301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0</v>
      </c>
      <c r="I368" s="135">
        <f>IFERROR(IF($D368="","",VLOOKUP($D368,Cadastro!$C$4:$G$7,5,FALSE)),"")</f>
        <v>0.6</v>
      </c>
      <c r="J368" s="136">
        <f t="shared" si="86"/>
        <v>0</v>
      </c>
      <c r="K368" s="28">
        <f t="shared" si="87"/>
        <v>58.800000000000004</v>
      </c>
      <c r="L368" s="26" t="s">
        <v>26</v>
      </c>
      <c r="M368" s="26" t="s">
        <v>168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0</v>
      </c>
      <c r="I369" s="135">
        <f>IFERROR(IF($D369="","",VLOOKUP($D369,Cadastro!$C$4:$G$7,5,FALSE)),"")</f>
        <v>0.6</v>
      </c>
      <c r="J369" s="136">
        <f t="shared" si="86"/>
        <v>0</v>
      </c>
      <c r="K369" s="34">
        <f t="shared" si="87"/>
        <v>88.2</v>
      </c>
      <c r="L369" s="33" t="s">
        <v>27</v>
      </c>
      <c r="M369" s="33"/>
      <c r="N369" s="33" t="s">
        <v>70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0</v>
      </c>
      <c r="I370" s="135">
        <f>IFERROR(IF($D370="","",VLOOKUP($D370,Cadastro!$C$4:$G$7,5,FALSE)),"")</f>
        <v>0.6</v>
      </c>
      <c r="J370" s="136">
        <f t="shared" si="86"/>
        <v>0</v>
      </c>
      <c r="K370" s="28">
        <f t="shared" si="87"/>
        <v>71.400000000000006</v>
      </c>
      <c r="L370" s="26" t="s">
        <v>26</v>
      </c>
      <c r="M370" s="26" t="s">
        <v>168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0</v>
      </c>
      <c r="I371" s="135">
        <f>IFERROR(IF($D371="","",VLOOKUP($D371,Cadastro!$C$4:$G$7,5,FALSE)),"")</f>
        <v>0.6</v>
      </c>
      <c r="J371" s="136">
        <f t="shared" si="86"/>
        <v>0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0</v>
      </c>
      <c r="I372" s="135">
        <f>IFERROR(IF($D372="","",VLOOKUP($D372,Cadastro!$C$4:$G$7,5,FALSE)),"")</f>
        <v>0.6</v>
      </c>
      <c r="J372" s="136">
        <f t="shared" si="86"/>
        <v>0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0</v>
      </c>
      <c r="I373" s="135">
        <f>IFERROR(IF($D373="","",VLOOKUP($D373,Cadastro!$C$4:$G$7,5,FALSE)),"")</f>
        <v>0.6</v>
      </c>
      <c r="J373" s="136">
        <f t="shared" si="86"/>
        <v>0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0</v>
      </c>
      <c r="I374" s="135">
        <f>IFERROR(IF($D374="","",VLOOKUP($D374,Cadastro!$C$4:$G$7,5,FALSE)),"")</f>
        <v>0.6</v>
      </c>
      <c r="J374" s="136">
        <f t="shared" si="86"/>
        <v>0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0</v>
      </c>
      <c r="I375" s="135">
        <f>IFERROR(IF($D375="","",VLOOKUP($D375,Cadastro!$C$4:$G$7,5,FALSE)),"")</f>
        <v>0.6</v>
      </c>
      <c r="J375" s="136">
        <f t="shared" si="86"/>
        <v>0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0</v>
      </c>
      <c r="I376" s="135">
        <f>IFERROR(IF($D376="","",VLOOKUP($D376,Cadastro!$C$4:$G$7,5,FALSE)),"")</f>
        <v>0.6</v>
      </c>
      <c r="J376" s="136">
        <f t="shared" si="86"/>
        <v>0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/>
      <c r="H377" s="137" t="str">
        <f>IFERROR(IF($G377="","",$G377*$S$378/$G$378/Cadastro!$E$33),"")</f>
        <v/>
      </c>
      <c r="I377" s="138">
        <f>IFERROR(IF($D377="","",VLOOKUP($D377,Cadastro!$C$4:$G$7,5,FALSE)),"")</f>
        <v>0.6</v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166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697.2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245</v>
      </c>
      <c r="S378" s="45"/>
      <c r="T378" s="122">
        <f>IFERROR(J378,"")</f>
        <v>0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274</v>
      </c>
      <c r="H379" s="112">
        <f>IFERROR(H365+H378,"")</f>
        <v>622.2700000000001</v>
      </c>
      <c r="I379" s="116"/>
      <c r="J379" s="125">
        <f>IFERROR(J365+J378,"")</f>
        <v>130.67669999999998</v>
      </c>
      <c r="K379" s="40">
        <f>K365+K378</f>
        <v>1150.8000000000002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249</v>
      </c>
      <c r="S379" s="143">
        <f>IFERROR(S365+S378,"")</f>
        <v>622270</v>
      </c>
      <c r="T379" s="144">
        <f>IFERROR(J379,"")</f>
        <v>130.67669999999998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46"/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245</v>
      </c>
      <c r="S392" s="45"/>
      <c r="T392" s="122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245</v>
      </c>
      <c r="S405" s="45"/>
      <c r="T405" s="122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249</v>
      </c>
      <c r="S406" s="143">
        <f>IFERROR(S392+S405,"")</f>
        <v>0</v>
      </c>
      <c r="T406" s="144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245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247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45"/>
      <c r="T432" s="122">
        <f>IFERROR(J432,"")</f>
        <v>0</v>
      </c>
    </row>
    <row r="433" spans="1:20" ht="18" customHeight="1">
      <c r="A433" s="83" t="s">
        <v>248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249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45"/>
      <c r="T459" s="122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45"/>
      <c r="T486" s="122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247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45"/>
      <c r="T513" s="122">
        <f>IFERROR(J513,"")</f>
        <v>0</v>
      </c>
    </row>
    <row r="514" spans="1:20" ht="18" customHeight="1">
      <c r="A514" s="83" t="s">
        <v>248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45"/>
      <c r="T540" s="122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45"/>
      <c r="T567" s="122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45"/>
      <c r="T594" s="122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45"/>
      <c r="T621" s="122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45"/>
      <c r="T648" s="122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45"/>
      <c r="T675" s="122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45"/>
      <c r="T702" s="122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45"/>
      <c r="T729" s="122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75"/>
      <c r="T837" s="117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50" activePane="bottomLeft" state="frozen"/>
      <selection pane="bottomLeft" activeCell="G377" sqref="G377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82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55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245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55</v>
      </c>
      <c r="N15" s="33" t="s">
        <v>63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302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46</v>
      </c>
      <c r="E16" s="109" t="s">
        <v>259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143</v>
      </c>
      <c r="N16" s="26" t="s">
        <v>57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46</v>
      </c>
      <c r="E17" s="109" t="s">
        <v>259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166</v>
      </c>
      <c r="N17" s="33" t="s">
        <v>82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46</v>
      </c>
      <c r="E18" s="109" t="s">
        <v>259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143</v>
      </c>
      <c r="N18" s="26" t="s">
        <v>57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274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46</v>
      </c>
      <c r="E19" s="109" t="s">
        <v>259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170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303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46</v>
      </c>
      <c r="E20" s="109" t="s">
        <v>259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46</v>
      </c>
      <c r="E21" s="109" t="s">
        <v>259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46</v>
      </c>
      <c r="E22" s="109" t="s">
        <v>259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46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46</v>
      </c>
      <c r="E24" s="109" t="s">
        <v>259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54</v>
      </c>
      <c r="E25" s="109" t="s">
        <v>259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54</v>
      </c>
      <c r="E26" s="109" t="s">
        <v>259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245</v>
      </c>
      <c r="S27" s="39">
        <v>358000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249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29</v>
      </c>
      <c r="E29" s="108" t="s">
        <v>259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55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29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29</v>
      </c>
      <c r="E33" s="108" t="s">
        <v>259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29</v>
      </c>
      <c r="E34" s="108" t="s">
        <v>259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29</v>
      </c>
      <c r="E35" s="108" t="s">
        <v>259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29</v>
      </c>
      <c r="E36" s="108" t="s">
        <v>259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29</v>
      </c>
      <c r="E38" s="108" t="s">
        <v>259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29</v>
      </c>
      <c r="E39" s="108" t="s">
        <v>259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29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245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55</v>
      </c>
      <c r="N42" s="26" t="s">
        <v>176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280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55</v>
      </c>
      <c r="N43" s="33" t="s">
        <v>64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302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55</v>
      </c>
      <c r="N44" s="26" t="s">
        <v>59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55</v>
      </c>
      <c r="N45" s="33" t="s">
        <v>59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55</v>
      </c>
      <c r="N46" s="26" t="s">
        <v>59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55</v>
      </c>
      <c r="N47" s="33" t="s">
        <v>59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55</v>
      </c>
      <c r="N48" s="26" t="s">
        <v>59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55</v>
      </c>
      <c r="N49" s="33" t="s">
        <v>59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55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302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166</v>
      </c>
      <c r="N51" s="33" t="s">
        <v>82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55</v>
      </c>
      <c r="N52" s="26" t="s">
        <v>40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55</v>
      </c>
      <c r="N53" s="33" t="s">
        <v>142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245</v>
      </c>
      <c r="S54" s="39">
        <v>279980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249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131</v>
      </c>
      <c r="N56" s="26" t="s">
        <v>122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54</v>
      </c>
      <c r="E57" s="108" t="s">
        <v>259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131</v>
      </c>
      <c r="N57" s="26" t="s">
        <v>122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55</v>
      </c>
      <c r="N58" s="26" t="s">
        <v>59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54</v>
      </c>
      <c r="E59" s="108" t="s">
        <v>259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55</v>
      </c>
      <c r="N59" s="26" t="s">
        <v>59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54</v>
      </c>
      <c r="E60" s="108" t="s">
        <v>259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131</v>
      </c>
      <c r="N60" s="26" t="s">
        <v>122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54</v>
      </c>
      <c r="E61" s="108" t="s">
        <v>259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55</v>
      </c>
      <c r="N61" s="33" t="s">
        <v>59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54</v>
      </c>
      <c r="E62" s="108" t="s">
        <v>259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138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304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54</v>
      </c>
      <c r="E63" s="108" t="s">
        <v>259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54</v>
      </c>
      <c r="E64" s="108" t="s">
        <v>259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54</v>
      </c>
      <c r="E65" s="108" t="s">
        <v>259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54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53</v>
      </c>
      <c r="D67" s="59" t="s">
        <v>54</v>
      </c>
      <c r="E67" s="108" t="s">
        <v>259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245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55</v>
      </c>
      <c r="N69" s="33" t="s">
        <v>64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305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157</v>
      </c>
      <c r="N70" s="26" t="s">
        <v>194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166</v>
      </c>
      <c r="N71" s="33" t="s">
        <v>82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166</v>
      </c>
      <c r="N72" s="26" t="s">
        <v>82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166</v>
      </c>
      <c r="N73" s="33" t="s">
        <v>82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245</v>
      </c>
      <c r="S81" s="39">
        <v>185920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249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108" t="s">
        <v>259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55</v>
      </c>
      <c r="N83" s="33" t="s">
        <v>64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306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146</v>
      </c>
      <c r="N84" s="26" t="s">
        <v>126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307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245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146</v>
      </c>
      <c r="N96" s="26" t="s">
        <v>126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146</v>
      </c>
      <c r="N97" s="33" t="s">
        <v>126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308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55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166</v>
      </c>
      <c r="N99" s="33" t="s">
        <v>82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245</v>
      </c>
      <c r="S108" s="39">
        <v>434370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249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245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166</v>
      </c>
      <c r="N123" s="33" t="s">
        <v>82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166</v>
      </c>
      <c r="N124" s="26" t="s">
        <v>82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55</v>
      </c>
      <c r="N125" s="33" t="s">
        <v>64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309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55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143</v>
      </c>
      <c r="N127" s="33" t="s">
        <v>57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55</v>
      </c>
      <c r="N128" s="26" t="s">
        <v>44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139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55</v>
      </c>
      <c r="N130" s="26" t="s">
        <v>59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207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245</v>
      </c>
      <c r="S135" s="39">
        <v>416350</v>
      </c>
      <c r="T135" s="119">
        <f>IFERROR(J135,"")</f>
        <v>0</v>
      </c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249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55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310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55</v>
      </c>
      <c r="N138" s="26" t="s">
        <v>118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55</v>
      </c>
      <c r="N139" s="33" t="s">
        <v>213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146</v>
      </c>
      <c r="N140" s="26" t="s">
        <v>82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55</v>
      </c>
      <c r="N141" s="33" t="s">
        <v>59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288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245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146</v>
      </c>
      <c r="N150" s="26" t="s">
        <v>82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55</v>
      </c>
      <c r="N151" s="33" t="s">
        <v>64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55</v>
      </c>
      <c r="N152" s="26" t="s">
        <v>44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55</v>
      </c>
      <c r="N153" s="33" t="s">
        <v>44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280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245</v>
      </c>
      <c r="S162" s="39">
        <v>169760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249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55</v>
      </c>
      <c r="N164" s="26" t="s">
        <v>59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8" t="s">
        <v>259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55</v>
      </c>
      <c r="N165" s="33" t="s">
        <v>59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8" t="s">
        <v>259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55</v>
      </c>
      <c r="N166" s="26" t="s">
        <v>59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311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8" t="s">
        <v>259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55</v>
      </c>
      <c r="N167" s="33" t="s">
        <v>59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8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55</v>
      </c>
      <c r="N168" s="26" t="s">
        <v>59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8" t="s">
        <v>259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55</v>
      </c>
      <c r="N169" s="33" t="s">
        <v>59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8" t="s">
        <v>259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55</v>
      </c>
      <c r="N170" s="26" t="s">
        <v>59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8" t="s">
        <v>259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55</v>
      </c>
      <c r="N171" s="33" t="s">
        <v>59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8" t="s">
        <v>259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166</v>
      </c>
      <c r="N172" s="26" t="s">
        <v>82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8" t="s">
        <v>259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166</v>
      </c>
      <c r="N173" s="33" t="s">
        <v>82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8" t="s">
        <v>259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245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55</v>
      </c>
      <c r="N177" s="33" t="s">
        <v>43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9" t="s">
        <v>259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55</v>
      </c>
      <c r="N179" s="33" t="s">
        <v>64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312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9" t="s">
        <v>259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131</v>
      </c>
      <c r="N180" s="26" t="s">
        <v>122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157</v>
      </c>
      <c r="N181" s="33" t="s">
        <v>142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9" t="s">
        <v>259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82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291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55</v>
      </c>
      <c r="N183" s="33" t="s">
        <v>59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9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82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82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291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9" t="s">
        <v>259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9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245</v>
      </c>
      <c r="S189" s="39">
        <v>72220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249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55</v>
      </c>
      <c r="N192" s="33" t="s">
        <v>44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55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157</v>
      </c>
      <c r="N194" s="26" t="s">
        <v>191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157</v>
      </c>
      <c r="N195" s="26" t="s">
        <v>191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55</v>
      </c>
      <c r="N196" s="26" t="s">
        <v>86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55</v>
      </c>
      <c r="N197" s="33" t="s">
        <v>59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55</v>
      </c>
      <c r="N198" s="33" t="s">
        <v>86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55</v>
      </c>
      <c r="N199" s="33" t="s">
        <v>86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131</v>
      </c>
      <c r="N200" s="26" t="s">
        <v>122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131</v>
      </c>
      <c r="N201" s="33" t="s">
        <v>122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245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55</v>
      </c>
      <c r="N204" s="26" t="s">
        <v>59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55</v>
      </c>
      <c r="N205" s="33" t="s">
        <v>64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313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82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245</v>
      </c>
      <c r="S216" s="39">
        <v>148720</v>
      </c>
      <c r="T216" s="119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249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143</v>
      </c>
      <c r="N218" s="26" t="s">
        <v>69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55</v>
      </c>
      <c r="N219" s="33" t="s">
        <v>44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166</v>
      </c>
      <c r="N220" s="26" t="s">
        <v>82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143</v>
      </c>
      <c r="N221" s="33" t="s">
        <v>108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314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143</v>
      </c>
      <c r="N222" s="26" t="s">
        <v>69</v>
      </c>
      <c r="O222" s="29">
        <v>0.69930555555555551</v>
      </c>
      <c r="P222" s="29" t="s">
        <v>315</v>
      </c>
      <c r="Q222" s="30" t="str">
        <f t="shared" ca="1" si="49"/>
        <v/>
      </c>
      <c r="R222" s="27" t="s">
        <v>316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55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245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55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245</v>
      </c>
      <c r="S243" s="39">
        <v>352720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249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55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317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55</v>
      </c>
      <c r="N246" s="33" t="s">
        <v>59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55</v>
      </c>
      <c r="N247" s="33" t="s">
        <v>44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243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243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245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46</v>
      </c>
      <c r="E258" s="20" t="s">
        <v>259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46</v>
      </c>
      <c r="E259" s="20" t="s">
        <v>259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46</v>
      </c>
      <c r="E260" s="62" t="s">
        <v>259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46</v>
      </c>
      <c r="E261" s="62" t="s">
        <v>259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46</v>
      </c>
      <c r="E262" s="20" t="s">
        <v>259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46</v>
      </c>
      <c r="E263" s="62" t="s">
        <v>259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46</v>
      </c>
      <c r="E264" s="62" t="s">
        <v>259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46</v>
      </c>
      <c r="E265" s="62" t="s">
        <v>259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46</v>
      </c>
      <c r="E266" s="62" t="s">
        <v>259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46</v>
      </c>
      <c r="E267" s="62" t="s">
        <v>259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46</v>
      </c>
      <c r="E268" s="62" t="s">
        <v>259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46</v>
      </c>
      <c r="E269" s="62" t="s">
        <v>259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39">
        <v>327900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249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243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53</v>
      </c>
      <c r="D285" s="62" t="s">
        <v>54</v>
      </c>
      <c r="E285" s="62" t="s">
        <v>243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53</v>
      </c>
      <c r="D286" s="62" t="s">
        <v>54</v>
      </c>
      <c r="E286" s="62" t="s">
        <v>243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53</v>
      </c>
      <c r="D287" s="62" t="s">
        <v>54</v>
      </c>
      <c r="E287" s="62" t="s">
        <v>259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53</v>
      </c>
      <c r="D288" s="62" t="s">
        <v>54</v>
      </c>
      <c r="E288" s="62" t="s">
        <v>243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53</v>
      </c>
      <c r="D289" s="62" t="s">
        <v>54</v>
      </c>
      <c r="E289" s="62" t="s">
        <v>243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53</v>
      </c>
      <c r="D290" s="62" t="s">
        <v>37</v>
      </c>
      <c r="E290" s="62" t="s">
        <v>243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53</v>
      </c>
      <c r="D291" s="62" t="s">
        <v>37</v>
      </c>
      <c r="E291" s="62" t="s">
        <v>243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53</v>
      </c>
      <c r="D292" s="62" t="s">
        <v>37</v>
      </c>
      <c r="E292" s="62" t="s">
        <v>243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53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53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53</v>
      </c>
      <c r="D295" s="62" t="s">
        <v>37</v>
      </c>
      <c r="E295" s="62" t="s">
        <v>243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53</v>
      </c>
      <c r="D296" s="62" t="s">
        <v>37</v>
      </c>
      <c r="E296" s="62" t="s">
        <v>243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39">
        <v>462190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 t="str">
        <f>IFERROR(IF($D299="","",VLOOKUP($D299,Cadastro!$C$4:$E$7,3,FALSE)),"")</f>
        <v>b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 t="str">
        <f t="shared" ref="J299:J310" si="65">IFERROR(IF($H299="","",$H299*$F299*$I299),"")</f>
        <v/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207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 t="str">
        <f>IFERROR(IF($D300="","",VLOOKUP($D300,Cadastro!$C$4:$E$7,3,FALSE)),"")</f>
        <v>b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 t="str">
        <f t="shared" si="65"/>
        <v/>
      </c>
      <c r="K300" s="28">
        <f t="shared" si="66"/>
        <v>42</v>
      </c>
      <c r="L300" s="26" t="s">
        <v>27</v>
      </c>
      <c r="M300" s="26"/>
      <c r="N300" s="26" t="s">
        <v>207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259</v>
      </c>
      <c r="F301" s="134" t="str">
        <f>IFERROR(IF($D301="","",VLOOKUP($D301,Cadastro!$C$4:$E$7,3,FALSE)),"")</f>
        <v>b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 t="str">
        <f t="shared" si="65"/>
        <v/>
      </c>
      <c r="K301" s="34">
        <f t="shared" si="66"/>
        <v>58.800000000000004</v>
      </c>
      <c r="L301" s="33" t="s">
        <v>27</v>
      </c>
      <c r="M301" s="33" t="s">
        <v>55</v>
      </c>
      <c r="N301" s="33" t="s">
        <v>192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259</v>
      </c>
      <c r="F302" s="134" t="str">
        <f>IFERROR(IF($D302="","",VLOOKUP($D302,Cadastro!$C$4:$E$7,3,FALSE)),"")</f>
        <v>b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 t="str">
        <f t="shared" si="65"/>
        <v/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259</v>
      </c>
      <c r="F303" s="134" t="str">
        <f>IFERROR(IF($D303="","",VLOOKUP($D303,Cadastro!$C$4:$E$7,3,FALSE)),"")</f>
        <v>b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 t="str">
        <f t="shared" si="65"/>
        <v/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259</v>
      </c>
      <c r="F304" s="134" t="str">
        <f>IFERROR(IF($D304="","",VLOOKUP($D304,Cadastro!$C$4:$E$7,3,FALSE)),"")</f>
        <v>b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 t="str">
        <f t="shared" si="65"/>
        <v/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47.471199999999996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245</v>
      </c>
      <c r="S311" s="39">
        <v>567440</v>
      </c>
      <c r="T311" s="119">
        <f>IFERROR(J311,"")</f>
        <v>47.471199999999996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 t="str">
        <f>IFERROR(IF($D312="","",VLOOKUP($D312,Cadastro!$C$4:$E$7,3,FALSE)),"")</f>
        <v>b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 t="str">
        <f t="shared" ref="J312:J323" si="69">IFERROR(IF($H312="","",$H312*$F312*$I312),"")</f>
        <v/>
      </c>
      <c r="K312" s="28">
        <v>33.6</v>
      </c>
      <c r="L312" s="26" t="s">
        <v>26</v>
      </c>
      <c r="M312" s="26" t="s">
        <v>55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 t="str">
        <f>IFERROR(IF($D313="","",VLOOKUP($D313,Cadastro!$C$4:$E$7,3,FALSE)),"")</f>
        <v>b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 t="str">
        <f t="shared" si="69"/>
        <v/>
      </c>
      <c r="K313" s="34">
        <v>20</v>
      </c>
      <c r="L313" s="33" t="s">
        <v>25</v>
      </c>
      <c r="M313" s="33" t="s">
        <v>146</v>
      </c>
      <c r="N313" s="33" t="s">
        <v>108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259</v>
      </c>
      <c r="F314" s="134" t="str">
        <f>IFERROR(IF($D314="","",VLOOKUP($D314,Cadastro!$C$4:$E$7,3,FALSE)),"")</f>
        <v>b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 t="str">
        <f t="shared" si="69"/>
        <v/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259</v>
      </c>
      <c r="F315" s="134" t="str">
        <f>IFERROR(IF($D315="","",VLOOKUP($D315,Cadastro!$C$4:$E$7,3,FALSE)),"")</f>
        <v>b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 t="str">
        <f t="shared" si="69"/>
        <v/>
      </c>
      <c r="K315" s="34">
        <v>25.200000000000003</v>
      </c>
      <c r="L315" s="33" t="s">
        <v>24</v>
      </c>
      <c r="M315" s="33" t="s">
        <v>143</v>
      </c>
      <c r="N315" s="33" t="s">
        <v>57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259</v>
      </c>
      <c r="F316" s="134" t="str">
        <f>IFERROR(IF($D316="","",VLOOKUP($D316,Cadastro!$C$4:$E$7,3,FALSE)),"")</f>
        <v>b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 t="str">
        <f t="shared" si="69"/>
        <v/>
      </c>
      <c r="K316" s="28">
        <v>25.200000000000003</v>
      </c>
      <c r="L316" s="26" t="s">
        <v>24</v>
      </c>
      <c r="M316" s="26" t="s">
        <v>143</v>
      </c>
      <c r="N316" s="26" t="s">
        <v>57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259</v>
      </c>
      <c r="F317" s="134" t="str">
        <f>IFERROR(IF($D317="","",VLOOKUP($D317,Cadastro!$C$4:$E$7,3,FALSE)),"")</f>
        <v>b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 t="str">
        <f t="shared" si="69"/>
        <v/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259</v>
      </c>
      <c r="F318" s="134" t="str">
        <f>IFERROR(IF($D318="","",VLOOKUP($D318,Cadastro!$C$4:$E$7,3,FALSE)),"")</f>
        <v>b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 t="str">
        <f t="shared" si="69"/>
        <v/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259</v>
      </c>
      <c r="F319" s="134" t="str">
        <f>IFERROR(IF($D319="","",VLOOKUP($D319,Cadastro!$C$4:$E$7,3,FALSE)),"")</f>
        <v>b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 t="str">
        <f t="shared" si="69"/>
        <v/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259</v>
      </c>
      <c r="F320" s="134" t="str">
        <f>IFERROR(IF($D320="","",VLOOKUP($D320,Cadastro!$C$4:$E$7,3,FALSE)),"")</f>
        <v>b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 t="str">
        <f t="shared" si="69"/>
        <v/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259</v>
      </c>
      <c r="F321" s="134" t="str">
        <f>IFERROR(IF($D321="","",VLOOKUP($D321,Cadastro!$C$4:$E$7,3,FALSE)),"")</f>
        <v>b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 t="str">
        <f t="shared" si="69"/>
        <v/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259</v>
      </c>
      <c r="F322" s="134" t="str">
        <f>IFERROR(IF($D322="","",VLOOKUP($D322,Cadastro!$C$4:$E$7,3,FALSE)),"")</f>
        <v>b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 t="str">
        <f t="shared" si="69"/>
        <v/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259</v>
      </c>
      <c r="F323" s="137" t="str">
        <f>IFERROR(IF($D323="","",VLOOKUP($D323,Cadastro!$C$4:$E$7,3,FALSE)),"")</f>
        <v>b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 t="str">
        <f t="shared" si="69"/>
        <v/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0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245</v>
      </c>
      <c r="S324" s="39">
        <v>289490</v>
      </c>
      <c r="T324" s="119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47.471199999999996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249</v>
      </c>
      <c r="S325" s="48">
        <f>IFERROR(S311+S324,"")</f>
        <v>856930</v>
      </c>
      <c r="T325" s="121">
        <f>IFERROR(J325,"")</f>
        <v>47.471199999999996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146</v>
      </c>
      <c r="N326" s="26" t="s">
        <v>138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298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146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318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134</v>
      </c>
      <c r="N328" s="26" t="s">
        <v>122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146</v>
      </c>
      <c r="N329" s="33" t="s">
        <v>69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299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259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245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55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143</v>
      </c>
      <c r="N340" s="26" t="s">
        <v>57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143</v>
      </c>
      <c r="N341" s="33" t="s">
        <v>57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245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249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55</v>
      </c>
      <c r="N353" s="33" t="s">
        <v>70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55</v>
      </c>
      <c r="N354" s="26" t="s">
        <v>70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280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166</v>
      </c>
      <c r="N355" s="33" t="s">
        <v>82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134</v>
      </c>
      <c r="N356" s="26" t="s">
        <v>122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143</v>
      </c>
      <c r="N357" s="33" t="s">
        <v>126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245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0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126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143</v>
      </c>
      <c r="N367" s="33" t="s">
        <v>126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0</v>
      </c>
      <c r="I368" s="135">
        <f>IFERROR(IF($D368="","",VLOOKUP($D368,Cadastro!$C$4:$G$7,5,FALSE)),"")</f>
        <v>0.6</v>
      </c>
      <c r="J368" s="136">
        <f t="shared" si="84"/>
        <v>0</v>
      </c>
      <c r="K368" s="28">
        <f t="shared" si="85"/>
        <v>8.4</v>
      </c>
      <c r="L368" s="26" t="s">
        <v>27</v>
      </c>
      <c r="M368" s="26" t="s">
        <v>55</v>
      </c>
      <c r="N368" s="26" t="s">
        <v>213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0</v>
      </c>
      <c r="I369" s="135">
        <f>IFERROR(IF($D369="","",VLOOKUP($D369,Cadastro!$C$4:$G$7,5,FALSE)),"")</f>
        <v>0.6</v>
      </c>
      <c r="J369" s="136">
        <f t="shared" si="84"/>
        <v>0</v>
      </c>
      <c r="K369" s="34">
        <f t="shared" si="85"/>
        <v>16.8</v>
      </c>
      <c r="L369" s="33" t="s">
        <v>26</v>
      </c>
      <c r="M369" s="33" t="s">
        <v>55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0</v>
      </c>
      <c r="I370" s="135">
        <f>IFERROR(IF($D370="","",VLOOKUP($D370,Cadastro!$C$4:$G$7,5,FALSE)),"")</f>
        <v>0.6</v>
      </c>
      <c r="J370" s="136">
        <f t="shared" si="84"/>
        <v>0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0</v>
      </c>
      <c r="I371" s="135">
        <f>IFERROR(IF($D371="","",VLOOKUP($D371,Cadastro!$C$4:$G$7,5,FALSE)),"")</f>
        <v>0.6</v>
      </c>
      <c r="J371" s="136">
        <f t="shared" si="84"/>
        <v>0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0</v>
      </c>
      <c r="I372" s="135">
        <f>IFERROR(IF($D372="","",VLOOKUP($D372,Cadastro!$C$4:$G$7,5,FALSE)),"")</f>
        <v>0.6</v>
      </c>
      <c r="J372" s="136">
        <f t="shared" si="84"/>
        <v>0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0</v>
      </c>
      <c r="I373" s="135">
        <f>IFERROR(IF($D373="","",VLOOKUP($D373,Cadastro!$C$4:$G$7,5,FALSE)),"")</f>
        <v>0.6</v>
      </c>
      <c r="J373" s="136">
        <f t="shared" si="84"/>
        <v>0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0</v>
      </c>
      <c r="I374" s="135">
        <f>IFERROR(IF($D374="","",VLOOKUP($D374,Cadastro!$C$4:$G$7,5,FALSE)),"")</f>
        <v>0.6</v>
      </c>
      <c r="J374" s="136">
        <f t="shared" si="84"/>
        <v>0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0</v>
      </c>
      <c r="I375" s="135">
        <f>IFERROR(IF($D375="","",VLOOKUP($D375,Cadastro!$C$4:$G$7,5,FALSE)),"")</f>
        <v>0.6</v>
      </c>
      <c r="J375" s="136">
        <f t="shared" si="84"/>
        <v>0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0</v>
      </c>
      <c r="I376" s="135">
        <f>IFERROR(IF($D376="","",VLOOKUP($D376,Cadastro!$C$4:$G$7,5,FALSE)),"")</f>
        <v>0.6</v>
      </c>
      <c r="J376" s="136">
        <f t="shared" si="84"/>
        <v>0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/>
      <c r="H377" s="137" t="str">
        <f>IFERROR(IF($G377="","",$G377*$S$378/$G$378/Cadastro!$E$33),"")</f>
        <v/>
      </c>
      <c r="I377" s="138">
        <f>IFERROR(IF($D377="","",VLOOKUP($D377,Cadastro!$C$4:$G$7,5,FALSE)),"")</f>
        <v>0.6</v>
      </c>
      <c r="J377" s="139" t="str">
        <f t="shared" si="84"/>
        <v/>
      </c>
      <c r="K377" s="34" t="str">
        <f t="shared" si="85"/>
        <v/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72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302.40000000000003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245</v>
      </c>
      <c r="S378" s="39"/>
      <c r="T378" s="119">
        <f>IFERROR(J378,"")</f>
        <v>0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162</v>
      </c>
      <c r="H379" s="112">
        <f>IFERROR(H365+H378,"")</f>
        <v>332.12999999999994</v>
      </c>
      <c r="I379" s="116"/>
      <c r="J379" s="125">
        <f>IFERROR(J365+J378,"")</f>
        <v>69.747299999999981</v>
      </c>
      <c r="K379" s="40">
        <f>K365+K378</f>
        <v>680.40000000000009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249</v>
      </c>
      <c r="S379" s="48">
        <f>IFERROR(S365+S378,"")</f>
        <v>332130</v>
      </c>
      <c r="T379" s="121">
        <f>IFERROR(J379,"")</f>
        <v>69.747299999999981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88">IFERROR(IF($H380="","",$H380*$F380*$I380),"")</f>
        <v/>
      </c>
      <c r="K380" s="28" t="str">
        <f t="shared" ref="K380:K391" si="89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0">IFERROR(IF(O380="","",IF(P380="",MOD(NOW()-O380,1),IF(P380&gt;=O380,P380-O380,P380+1-O380))),"")</f>
        <v/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/>
      <c r="D381" s="59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88"/>
        <v/>
      </c>
      <c r="K381" s="34" t="str">
        <f>IF(G381="","",IF(E382="PC 17",G381*4.2,IF(E382="PC 19",G381*5,"")))</f>
        <v/>
      </c>
      <c r="L381" s="33"/>
      <c r="M381" s="33"/>
      <c r="N381" s="33"/>
      <c r="O381" s="29"/>
      <c r="P381" s="29"/>
      <c r="Q381" s="35" t="str">
        <f t="shared" ca="1" si="90"/>
        <v/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88"/>
        <v/>
      </c>
      <c r="K382" s="28"/>
      <c r="L382" s="26"/>
      <c r="M382" s="26"/>
      <c r="N382" s="33"/>
      <c r="O382" s="29"/>
      <c r="P382" s="29"/>
      <c r="Q382" s="30" t="str">
        <f t="shared" ca="1" si="90"/>
        <v/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88"/>
        <v/>
      </c>
      <c r="K383" s="34" t="str">
        <f t="shared" si="89"/>
        <v/>
      </c>
      <c r="L383" s="33"/>
      <c r="M383" s="33"/>
      <c r="N383" s="33"/>
      <c r="O383" s="29"/>
      <c r="P383" s="29"/>
      <c r="Q383" s="35" t="str">
        <f t="shared" ca="1" si="90"/>
        <v/>
      </c>
      <c r="R383" s="27"/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88"/>
        <v/>
      </c>
      <c r="K384" s="28" t="str">
        <f t="shared" si="89"/>
        <v/>
      </c>
      <c r="L384" s="26"/>
      <c r="M384" s="26"/>
      <c r="N384" s="26"/>
      <c r="O384" s="29"/>
      <c r="P384" s="29"/>
      <c r="Q384" s="30" t="str">
        <f t="shared" ca="1" si="90"/>
        <v/>
      </c>
      <c r="R384" s="27"/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88"/>
        <v/>
      </c>
      <c r="K385" s="34" t="str">
        <f t="shared" si="89"/>
        <v/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88"/>
        <v/>
      </c>
      <c r="K386" s="28" t="str">
        <f t="shared" si="89"/>
        <v/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88"/>
        <v/>
      </c>
      <c r="K387" s="34" t="str">
        <f t="shared" si="89"/>
        <v/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88"/>
        <v/>
      </c>
      <c r="K388" s="28" t="str">
        <f t="shared" si="89"/>
        <v/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88"/>
        <v/>
      </c>
      <c r="K389" s="34" t="str">
        <f t="shared" si="89"/>
        <v/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88"/>
        <v/>
      </c>
      <c r="K390" s="28" t="str">
        <f t="shared" si="89"/>
        <v/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88"/>
        <v/>
      </c>
      <c r="K391" s="34" t="str">
        <f t="shared" si="89"/>
        <v/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245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2">IFERROR(IF($H393="","",$H393*$F393*$I393),"")</f>
        <v/>
      </c>
      <c r="K393" s="34" t="str">
        <f t="shared" ref="K393:K404" si="93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2"/>
        <v/>
      </c>
      <c r="K394" s="28" t="str">
        <f t="shared" si="93"/>
        <v/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245</v>
      </c>
      <c r="S405" s="39"/>
      <c r="T405" s="119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249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245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0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249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41" activePane="bottomLeft" state="frozen"/>
      <selection pane="bottomLeft" activeCell="G377" sqref="G377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60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65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65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245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46</v>
      </c>
      <c r="E15" s="109" t="s">
        <v>259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60</v>
      </c>
      <c r="N15" s="33" t="s">
        <v>70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46</v>
      </c>
      <c r="E16" s="109" t="s">
        <v>259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65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319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46</v>
      </c>
      <c r="E17" s="109" t="s">
        <v>259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60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277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46</v>
      </c>
      <c r="E18" s="109" t="s">
        <v>259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60</v>
      </c>
      <c r="N18" s="26" t="s">
        <v>138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302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46</v>
      </c>
      <c r="E19" s="109" t="s">
        <v>259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60</v>
      </c>
      <c r="N19" s="33" t="s">
        <v>138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320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46</v>
      </c>
      <c r="E20" s="109" t="s">
        <v>259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65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46</v>
      </c>
      <c r="E21" s="109" t="s">
        <v>259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65</v>
      </c>
      <c r="N21" s="33" t="s">
        <v>70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46</v>
      </c>
      <c r="E22" s="109" t="s">
        <v>259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170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321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46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46</v>
      </c>
      <c r="E24" s="109" t="s">
        <v>259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46</v>
      </c>
      <c r="E25" s="109" t="s">
        <v>259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46</v>
      </c>
      <c r="E26" s="109" t="s">
        <v>259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245</v>
      </c>
      <c r="S27" s="39">
        <v>491520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249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46</v>
      </c>
      <c r="E29" s="108" t="s">
        <v>259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65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46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46</v>
      </c>
      <c r="E31" s="108" t="s">
        <v>259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46</v>
      </c>
      <c r="E32" s="108" t="s">
        <v>259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46</v>
      </c>
      <c r="E33" s="108" t="s">
        <v>259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46</v>
      </c>
      <c r="E34" s="108" t="s">
        <v>259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46</v>
      </c>
      <c r="E35" s="108" t="s">
        <v>259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46</v>
      </c>
      <c r="E36" s="108" t="s">
        <v>259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46</v>
      </c>
      <c r="E37" s="108" t="s">
        <v>259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46</v>
      </c>
      <c r="E38" s="108" t="s">
        <v>259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46</v>
      </c>
      <c r="E39" s="108" t="s">
        <v>259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46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244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245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60</v>
      </c>
      <c r="N42" s="26" t="s">
        <v>59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65</v>
      </c>
      <c r="N43" s="33" t="s">
        <v>59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60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65</v>
      </c>
      <c r="N45" s="33" t="s">
        <v>70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322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65</v>
      </c>
      <c r="N46" s="26" t="s">
        <v>44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65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65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245</v>
      </c>
      <c r="S54" s="39">
        <v>352430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249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65</v>
      </c>
      <c r="N56" s="33" t="s">
        <v>59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108" t="s">
        <v>259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60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65</v>
      </c>
      <c r="N58" s="26" t="s">
        <v>215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108" t="s">
        <v>259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60</v>
      </c>
      <c r="N59" s="33" t="s">
        <v>42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323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108" t="s">
        <v>259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60</v>
      </c>
      <c r="N60" s="26" t="s">
        <v>138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324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108" t="s">
        <v>259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108" t="s">
        <v>259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108" t="s">
        <v>259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108" t="s">
        <v>259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108" t="s">
        <v>259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108" t="s">
        <v>259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245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60</v>
      </c>
      <c r="N69" s="33" t="s">
        <v>226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325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65</v>
      </c>
      <c r="N70" s="26" t="s">
        <v>70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65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65</v>
      </c>
      <c r="N72" s="26" t="s">
        <v>138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302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60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60</v>
      </c>
      <c r="N74" s="33" t="s">
        <v>215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245</v>
      </c>
      <c r="S81" s="39">
        <v>612410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249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108" t="s">
        <v>259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171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60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245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171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60</v>
      </c>
      <c r="N97" s="33" t="s">
        <v>138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302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245</v>
      </c>
      <c r="S108" s="39">
        <v>956070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249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171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65</v>
      </c>
      <c r="N111" s="33" t="s">
        <v>226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231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231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171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326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245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60</v>
      </c>
      <c r="N123" s="33" t="s">
        <v>215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60</v>
      </c>
      <c r="N124" s="26" t="s">
        <v>64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327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60</v>
      </c>
      <c r="N125" s="33" t="s">
        <v>44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65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60</v>
      </c>
      <c r="N127" s="33" t="s">
        <v>280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65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60</v>
      </c>
      <c r="N129" s="33" t="s">
        <v>138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302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65</v>
      </c>
      <c r="N130" s="26" t="s">
        <v>59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245</v>
      </c>
      <c r="S135" s="39">
        <v>912240</v>
      </c>
      <c r="T135" s="119">
        <f>IFERROR(J135,"")</f>
        <v>0</v>
      </c>
    </row>
    <row r="136" spans="1:22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249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171</v>
      </c>
      <c r="N138" s="26" t="s">
        <v>44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328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60</v>
      </c>
      <c r="N139" s="33" t="s">
        <v>118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329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65</v>
      </c>
      <c r="N140" s="26" t="s">
        <v>59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149</v>
      </c>
      <c r="N141" s="33" t="s">
        <v>82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60</v>
      </c>
      <c r="N142" s="26" t="s">
        <v>59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171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65</v>
      </c>
      <c r="N144" s="26" t="s">
        <v>118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288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244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245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171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330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148</v>
      </c>
      <c r="N151" s="33" t="s">
        <v>66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331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245</v>
      </c>
      <c r="S162" s="39">
        <v>573230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249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148</v>
      </c>
      <c r="N164" s="26" t="s">
        <v>142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8" t="s">
        <v>259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171</v>
      </c>
      <c r="N165" s="33" t="s">
        <v>192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8" t="s">
        <v>259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171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8" t="s">
        <v>259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65</v>
      </c>
      <c r="N167" s="33" t="s">
        <v>44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8" t="s">
        <v>259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65</v>
      </c>
      <c r="N168" s="26" t="s">
        <v>165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8" t="s">
        <v>259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149</v>
      </c>
      <c r="N169" s="33" t="s">
        <v>82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8" t="s">
        <v>259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171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332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8" t="s">
        <v>259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149</v>
      </c>
      <c r="N171" s="33" t="s">
        <v>82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8" t="s">
        <v>259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8" t="s">
        <v>259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8" t="s">
        <v>259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245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125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333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9" t="s">
        <v>259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149</v>
      </c>
      <c r="N178" s="26" t="s">
        <v>138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171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9" t="s">
        <v>259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9" t="s">
        <v>259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9" t="s">
        <v>259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9" t="s">
        <v>259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9" t="s">
        <v>259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245</v>
      </c>
      <c r="S189" s="39">
        <v>692750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249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171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60</v>
      </c>
      <c r="N192" s="33" t="s">
        <v>165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334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65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166</v>
      </c>
      <c r="N194" s="26" t="s">
        <v>82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245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65</v>
      </c>
      <c r="N204" s="26" t="s">
        <v>42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335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336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60</v>
      </c>
      <c r="N206" s="26" t="s">
        <v>44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337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245</v>
      </c>
      <c r="S216" s="45">
        <v>607180</v>
      </c>
      <c r="T216" s="122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249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65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60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60</v>
      </c>
      <c r="N220" s="26" t="s">
        <v>64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338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65</v>
      </c>
      <c r="N221" s="33" t="s">
        <v>86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339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245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65</v>
      </c>
      <c r="N231" s="33" t="s">
        <v>44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340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65</v>
      </c>
      <c r="N232" s="26" t="s">
        <v>64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341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160</v>
      </c>
      <c r="N233" s="33" t="s">
        <v>138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60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245</v>
      </c>
      <c r="S243" s="39">
        <v>795250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249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60</v>
      </c>
      <c r="N245" s="33" t="s">
        <v>175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27" t="s">
        <v>342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65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60</v>
      </c>
      <c r="N247" s="33" t="s">
        <v>70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65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160</v>
      </c>
      <c r="N249" s="33" t="s">
        <v>138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343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60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60</v>
      </c>
      <c r="N251" s="33" t="s">
        <v>59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245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46</v>
      </c>
      <c r="E258" s="109" t="s">
        <v>259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46</v>
      </c>
      <c r="E259" s="109" t="s">
        <v>259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46</v>
      </c>
      <c r="E260" s="109" t="s">
        <v>259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46</v>
      </c>
      <c r="E261" s="109" t="s">
        <v>259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46</v>
      </c>
      <c r="E262" s="109" t="s">
        <v>259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46</v>
      </c>
      <c r="E263" s="109" t="s">
        <v>259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46</v>
      </c>
      <c r="E264" s="109" t="s">
        <v>259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46</v>
      </c>
      <c r="E265" s="109" t="s">
        <v>259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46</v>
      </c>
      <c r="E266" s="109" t="s">
        <v>259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46</v>
      </c>
      <c r="E267" s="109" t="s">
        <v>259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46</v>
      </c>
      <c r="E268" s="109" t="s">
        <v>259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46</v>
      </c>
      <c r="E269" s="109" t="s">
        <v>259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245</v>
      </c>
      <c r="S270" s="39">
        <v>683360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249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259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245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53</v>
      </c>
      <c r="D285" s="62" t="s">
        <v>54</v>
      </c>
      <c r="E285" s="62" t="s">
        <v>243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53</v>
      </c>
      <c r="D286" s="62" t="s">
        <v>54</v>
      </c>
      <c r="E286" s="62" t="s">
        <v>243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53</v>
      </c>
      <c r="D287" s="62" t="s">
        <v>54</v>
      </c>
      <c r="E287" s="62" t="s">
        <v>259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53</v>
      </c>
      <c r="D288" s="62" t="s">
        <v>54</v>
      </c>
      <c r="E288" s="62" t="s">
        <v>243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53</v>
      </c>
      <c r="D289" s="62" t="s">
        <v>54</v>
      </c>
      <c r="E289" s="62" t="s">
        <v>243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53</v>
      </c>
      <c r="D290" s="62" t="s">
        <v>37</v>
      </c>
      <c r="E290" s="62" t="s">
        <v>243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53</v>
      </c>
      <c r="D291" s="62" t="s">
        <v>37</v>
      </c>
      <c r="E291" s="62" t="s">
        <v>243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53</v>
      </c>
      <c r="D292" s="62" t="s">
        <v>37</v>
      </c>
      <c r="E292" s="62" t="s">
        <v>243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53</v>
      </c>
      <c r="D293" s="62" t="s">
        <v>37</v>
      </c>
      <c r="E293" s="62" t="s">
        <v>243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53</v>
      </c>
      <c r="D294" s="62" t="s">
        <v>37</v>
      </c>
      <c r="E294" s="62" t="s">
        <v>243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53</v>
      </c>
      <c r="D295" s="62" t="s">
        <v>37</v>
      </c>
      <c r="E295" s="62" t="s">
        <v>243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53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245</v>
      </c>
      <c r="S297" s="39">
        <v>904710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249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 t="str">
        <f>IFERROR(IF($D299="","",VLOOKUP($D299,Cadastro!$C$4:$E$7,3,FALSE)),"")</f>
        <v>b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 t="str">
        <f t="shared" ref="J299:J310" si="66">IFERROR(IF($H299="","",$H299*$F299*$I299),"")</f>
        <v/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60</v>
      </c>
      <c r="N299" s="33" t="s">
        <v>192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 t="str">
        <f>IFERROR(IF($D300="","",VLOOKUP($D300,Cadastro!$C$4:$E$7,3,FALSE)),"")</f>
        <v>b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 t="str">
        <f t="shared" si="66"/>
        <v/>
      </c>
      <c r="K300" s="28">
        <f t="shared" si="67"/>
        <v>71.400000000000006</v>
      </c>
      <c r="L300" s="26" t="s">
        <v>26</v>
      </c>
      <c r="M300" s="26" t="s">
        <v>65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259</v>
      </c>
      <c r="F301" s="134" t="str">
        <f>IFERROR(IF($D301="","",VLOOKUP($D301,Cadastro!$C$4:$E$7,3,FALSE)),"")</f>
        <v>b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 t="str">
        <f t="shared" si="66"/>
        <v/>
      </c>
      <c r="K301" s="34">
        <f t="shared" si="67"/>
        <v>92.4</v>
      </c>
      <c r="L301" s="33" t="s">
        <v>23</v>
      </c>
      <c r="M301" s="33"/>
      <c r="N301" s="33" t="s">
        <v>94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259</v>
      </c>
      <c r="F302" s="134" t="str">
        <f>IFERROR(IF($D302="","",VLOOKUP($D302,Cadastro!$C$4:$E$7,3,FALSE)),"")</f>
        <v>b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 t="str">
        <f t="shared" si="66"/>
        <v/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259</v>
      </c>
      <c r="F303" s="134" t="str">
        <f>IFERROR(IF($D303="","",VLOOKUP($D303,Cadastro!$C$4:$E$7,3,FALSE)),"")</f>
        <v>b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 t="str">
        <f t="shared" si="66"/>
        <v/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259</v>
      </c>
      <c r="F304" s="134" t="str">
        <f>IFERROR(IF($D304="","",VLOOKUP($D304,Cadastro!$C$4:$E$7,3,FALSE)),"")</f>
        <v>b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 t="str">
        <f t="shared" si="66"/>
        <v/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71.6160703125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245</v>
      </c>
      <c r="S311" s="39">
        <v>948950</v>
      </c>
      <c r="T311" s="119">
        <f>IFERROR(J311,"")</f>
        <v>71.6160703125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 t="str">
        <f>IFERROR(IF($D312="","",VLOOKUP($D312,Cadastro!$C$4:$E$7,3,FALSE)),"")</f>
        <v>b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 t="str">
        <f t="shared" ref="J312:J323" si="70">IFERROR(IF($H312="","",$H312*$F312*$I312),"")</f>
        <v/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166</v>
      </c>
      <c r="N312" s="26" t="s">
        <v>82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 t="str">
        <f>IFERROR(IF($D313="","",VLOOKUP($D313,Cadastro!$C$4:$E$7,3,FALSE)),"")</f>
        <v>b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 t="str">
        <f t="shared" si="70"/>
        <v/>
      </c>
      <c r="K313" s="34">
        <f t="shared" si="71"/>
        <v>71.400000000000006</v>
      </c>
      <c r="L313" s="33" t="s">
        <v>26</v>
      </c>
      <c r="M313" s="33" t="s">
        <v>171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259</v>
      </c>
      <c r="F314" s="134" t="str">
        <f>IFERROR(IF($D314="","",VLOOKUP($D314,Cadastro!$C$4:$E$7,3,FALSE)),"")</f>
        <v>b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 t="str">
        <f t="shared" si="70"/>
        <v/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259</v>
      </c>
      <c r="F315" s="134" t="str">
        <f>IFERROR(IF($D315="","",VLOOKUP($D315,Cadastro!$C$4:$E$7,3,FALSE)),"")</f>
        <v>b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 t="str">
        <f t="shared" si="70"/>
        <v/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259</v>
      </c>
      <c r="F316" s="134" t="str">
        <f>IFERROR(IF($D316="","",VLOOKUP($D316,Cadastro!$C$4:$E$7,3,FALSE)),"")</f>
        <v>b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 t="str">
        <f t="shared" si="70"/>
        <v/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259</v>
      </c>
      <c r="F317" s="134" t="str">
        <f>IFERROR(IF($D317="","",VLOOKUP($D317,Cadastro!$C$4:$E$7,3,FALSE)),"")</f>
        <v>b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 t="str">
        <f t="shared" si="70"/>
        <v/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259</v>
      </c>
      <c r="F318" s="134" t="str">
        <f>IFERROR(IF($D318="","",VLOOKUP($D318,Cadastro!$C$4:$E$7,3,FALSE)),"")</f>
        <v>b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 t="str">
        <f t="shared" si="70"/>
        <v/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259</v>
      </c>
      <c r="F319" s="134" t="str">
        <f>IFERROR(IF($D319="","",VLOOKUP($D319,Cadastro!$C$4:$E$7,3,FALSE)),"")</f>
        <v>b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 t="str">
        <f t="shared" si="70"/>
        <v/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259</v>
      </c>
      <c r="F320" s="134" t="str">
        <f>IFERROR(IF($D320="","",VLOOKUP($D320,Cadastro!$C$4:$E$7,3,FALSE)),"")</f>
        <v>b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 t="str">
        <f t="shared" si="70"/>
        <v/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259</v>
      </c>
      <c r="F321" s="134" t="str">
        <f>IFERROR(IF($D321="","",VLOOKUP($D321,Cadastro!$C$4:$E$7,3,FALSE)),"")</f>
        <v>b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 t="str">
        <f t="shared" si="70"/>
        <v/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259</v>
      </c>
      <c r="F322" s="134" t="str">
        <f>IFERROR(IF($D322="","",VLOOKUP($D322,Cadastro!$C$4:$E$7,3,FALSE)),"")</f>
        <v>b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 t="str">
        <f t="shared" si="70"/>
        <v/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259</v>
      </c>
      <c r="F323" s="137" t="str">
        <f>IFERROR(IF($D323="","",VLOOKUP($D323,Cadastro!$C$4:$E$7,3,FALSE)),"")</f>
        <v>b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 t="str">
        <f t="shared" si="70"/>
        <v/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0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245</v>
      </c>
      <c r="S324" s="39">
        <v>1049720</v>
      </c>
      <c r="T324" s="119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71.6160703125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249</v>
      </c>
      <c r="S325" s="48">
        <f>IFERROR(S311+S324,"")</f>
        <v>1998670</v>
      </c>
      <c r="T325" s="121">
        <f>IFERROR(J325,"")</f>
        <v>71.6160703125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171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65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60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259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244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245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171</v>
      </c>
      <c r="N339" s="33" t="s">
        <v>70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65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60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171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60</v>
      </c>
      <c r="N343" s="33" t="s">
        <v>44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65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65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171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344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65</v>
      </c>
      <c r="N347" s="33" t="s">
        <v>64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345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245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249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102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149</v>
      </c>
      <c r="N354" s="33" t="s">
        <v>138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65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60</v>
      </c>
      <c r="N356" s="26" t="s">
        <v>64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346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65</v>
      </c>
      <c r="N357" s="33" t="s">
        <v>70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65</v>
      </c>
      <c r="N358" s="26" t="s">
        <v>64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347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244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245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0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65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6"/>
        <v>0</v>
      </c>
      <c r="K367" s="34">
        <f t="shared" si="87"/>
        <v>88.2</v>
      </c>
      <c r="L367" s="33" t="s">
        <v>27</v>
      </c>
      <c r="M367" s="33" t="s">
        <v>140</v>
      </c>
      <c r="N367" s="33" t="s">
        <v>122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0</v>
      </c>
      <c r="I368" s="135">
        <f>IFERROR(IF($D368="","",VLOOKUP($D368,Cadastro!$C$4:$G$7,5,FALSE)),"")</f>
        <v>0.6</v>
      </c>
      <c r="J368" s="136">
        <f t="shared" si="86"/>
        <v>0</v>
      </c>
      <c r="K368" s="28">
        <f t="shared" si="87"/>
        <v>92.4</v>
      </c>
      <c r="L368" s="26" t="s">
        <v>26</v>
      </c>
      <c r="M368" s="26" t="s">
        <v>171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0</v>
      </c>
      <c r="I369" s="135">
        <f>IFERROR(IF($D369="","",VLOOKUP($D369,Cadastro!$C$4:$G$7,5,FALSE)),"")</f>
        <v>0.6</v>
      </c>
      <c r="J369" s="136">
        <f t="shared" si="86"/>
        <v>0</v>
      </c>
      <c r="K369" s="34">
        <f t="shared" si="87"/>
        <v>71.400000000000006</v>
      </c>
      <c r="L369" s="33" t="s">
        <v>27</v>
      </c>
      <c r="M369" s="33" t="s">
        <v>60</v>
      </c>
      <c r="N369" s="33" t="s">
        <v>70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0</v>
      </c>
      <c r="I370" s="135">
        <f>IFERROR(IF($D370="","",VLOOKUP($D370,Cadastro!$C$4:$G$7,5,FALSE)),"")</f>
        <v>0.6</v>
      </c>
      <c r="J370" s="136">
        <f t="shared" si="86"/>
        <v>0</v>
      </c>
      <c r="K370" s="28">
        <f t="shared" si="87"/>
        <v>88.2</v>
      </c>
      <c r="L370" s="26" t="s">
        <v>27</v>
      </c>
      <c r="M370" s="26" t="s">
        <v>65</v>
      </c>
      <c r="N370" s="26" t="s">
        <v>70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0</v>
      </c>
      <c r="I371" s="135">
        <f>IFERROR(IF($D371="","",VLOOKUP($D371,Cadastro!$C$4:$G$7,5,FALSE)),"")</f>
        <v>0.6</v>
      </c>
      <c r="J371" s="136">
        <f t="shared" si="86"/>
        <v>0</v>
      </c>
      <c r="K371" s="34">
        <f t="shared" si="87"/>
        <v>117.60000000000001</v>
      </c>
      <c r="L371" s="33" t="s">
        <v>25</v>
      </c>
      <c r="M371" s="33" t="s">
        <v>60</v>
      </c>
      <c r="N371" s="33" t="s">
        <v>165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0</v>
      </c>
      <c r="I372" s="135">
        <f>IFERROR(IF($D372="","",VLOOKUP($D372,Cadastro!$C$4:$G$7,5,FALSE)),"")</f>
        <v>0.6</v>
      </c>
      <c r="J372" s="136">
        <f t="shared" si="86"/>
        <v>0</v>
      </c>
      <c r="K372" s="28">
        <f t="shared" si="87"/>
        <v>58.800000000000004</v>
      </c>
      <c r="L372" s="26" t="s">
        <v>27</v>
      </c>
      <c r="M372" s="26" t="s">
        <v>60</v>
      </c>
      <c r="N372" s="26" t="s">
        <v>64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348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0</v>
      </c>
      <c r="I373" s="135">
        <f>IFERROR(IF($D373="","",VLOOKUP($D373,Cadastro!$C$4:$G$7,5,FALSE)),"")</f>
        <v>0.6</v>
      </c>
      <c r="J373" s="136">
        <f t="shared" si="86"/>
        <v>0</v>
      </c>
      <c r="K373" s="34">
        <f t="shared" si="87"/>
        <v>92.4</v>
      </c>
      <c r="L373" s="33" t="s">
        <v>25</v>
      </c>
      <c r="M373" s="33" t="s">
        <v>65</v>
      </c>
      <c r="N373" s="33" t="s">
        <v>175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0</v>
      </c>
      <c r="I374" s="135">
        <f>IFERROR(IF($D374="","",VLOOKUP($D374,Cadastro!$C$4:$G$7,5,FALSE)),"")</f>
        <v>0.6</v>
      </c>
      <c r="J374" s="136">
        <f t="shared" si="86"/>
        <v>0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0</v>
      </c>
      <c r="I375" s="135">
        <f>IFERROR(IF($D375="","",VLOOKUP($D375,Cadastro!$C$4:$G$7,5,FALSE)),"")</f>
        <v>0.6</v>
      </c>
      <c r="J375" s="136">
        <f t="shared" si="86"/>
        <v>0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0</v>
      </c>
      <c r="I376" s="135">
        <f>IFERROR(IF($D376="","",VLOOKUP($D376,Cadastro!$C$4:$G$7,5,FALSE)),"")</f>
        <v>0.6</v>
      </c>
      <c r="J376" s="136">
        <f t="shared" si="86"/>
        <v>0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/>
      <c r="H377" s="137" t="str">
        <f>IFERROR(IF($G377="","",$G377*$S$378/$G$378/Cadastro!$E$33),"")</f>
        <v/>
      </c>
      <c r="I377" s="138">
        <f>IFERROR(IF($D377="","",VLOOKUP($D377,Cadastro!$C$4:$G$7,5,FALSE)),"")</f>
        <v>0.6</v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234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982.8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245</v>
      </c>
      <c r="S378" s="39"/>
      <c r="T378" s="119">
        <f>IFERROR(J378,"")</f>
        <v>0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430</v>
      </c>
      <c r="H379" s="112">
        <f>IFERROR(H365+H378,"")</f>
        <v>885.12000000000012</v>
      </c>
      <c r="I379" s="116"/>
      <c r="J379" s="125">
        <f>IFERROR(J365+J378,"")</f>
        <v>185.87519999999998</v>
      </c>
      <c r="K379" s="40">
        <f>K365+K378</f>
        <v>1806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249</v>
      </c>
      <c r="S379" s="48">
        <f>IFERROR(S365+S378,"")</f>
        <v>885120</v>
      </c>
      <c r="T379" s="121">
        <f>IFERROR(J379,"")</f>
        <v>185.87519999999998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27"/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27"/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61"/>
      <c r="P392" s="61"/>
      <c r="Q392" s="38">
        <f ca="1">IFERROR(SUM(Q380:Q391),"")</f>
        <v>0</v>
      </c>
      <c r="R392" s="36" t="s">
        <v>245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245</v>
      </c>
      <c r="S405" s="39"/>
      <c r="T405" s="119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63"/>
      <c r="P406" s="63"/>
      <c r="Q406" s="42">
        <f ca="1">IFERROR(Q392+Q405,"")</f>
        <v>0</v>
      </c>
      <c r="R406" s="40" t="s">
        <v>249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245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1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249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249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2026-08-15T10:41:19Z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