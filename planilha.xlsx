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800" documentId="8_{AF585B22-221D-4780-BB9C-493D365A6A02}" xr6:coauthVersionLast="47" xr6:coauthVersionMax="47" xr10:uidLastSave="{5ABCF6CC-DB8C-4AD1-A28A-A043AAC6BEB5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<sst xmlns="http://schemas.openxmlformats.org/spreadsheetml/2006/main" count="10956" uniqueCount="408">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</sst>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01" activePane="bottomLeft" state="frozen"/>
      <selection pane="bottomLeft" activeCell="F721" sqref="F72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66</v>
      </c>
      <c r="G729" s="36">
        <f>SUM(G717:G728)</f>
        <v>330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369</v>
      </c>
      <c r="G730" s="40">
        <f>G716+G729</f>
        <v>1845</v>
      </c>
      <c r="H730" s="41"/>
      <c r="I730" s="41"/>
      <c r="J730" s="41"/>
      <c r="K730" s="41"/>
      <c r="L730" s="41"/>
      <c r="M730" s="42">
        <f ca="1">IFERROR(M716+M729,"")</f>
        <v>8.9583333333333237E-2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7" activePane="bottomLeft" state="frozen"/>
      <selection pane="bottomLeft" activeCell="J720" sqref="J7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0.7622071759251412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0.91984606481403008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1.0295682870362524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0.74067939814995043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0.91151273148328382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1.0566516203721728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64</v>
      </c>
      <c r="G729" s="36">
        <f>SUM(G717:G728)</f>
        <v>272</v>
      </c>
      <c r="H729" s="37"/>
      <c r="I729" s="37"/>
      <c r="J729" s="37"/>
      <c r="K729" s="37"/>
      <c r="L729" s="37"/>
      <c r="M729" s="38">
        <f ca="1">IFERROR(SUM(M717:M728),"")</f>
        <v>5.902777777777779E-2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181</v>
      </c>
      <c r="G730" s="40">
        <f>G716+G729</f>
        <v>763.40000000000009</v>
      </c>
      <c r="H730" s="41"/>
      <c r="I730" s="41"/>
      <c r="J730" s="41"/>
      <c r="K730" s="41"/>
      <c r="L730" s="41"/>
      <c r="M730" s="42">
        <f ca="1">IFERROR(M716+M729,"")</f>
        <v>0.35277777777777769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95" zoomScale="50" zoomScaleNormal="50" workbookViewId="0">
      <selection activeCell="F721" sqref="F7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336</v>
      </c>
      <c r="N166" s="27" t="s">
        <v>337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12</v>
      </c>
      <c r="G729" s="36">
        <f>SUM(G717:G728)</f>
        <v>52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88</v>
      </c>
      <c r="G730" s="40">
        <f>G716+G729</f>
        <v>371.2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96" activePane="bottomLeft" state="frozen"/>
      <selection pane="bottomLeft" activeCell="J720" sqref="J72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362</v>
      </c>
      <c r="L58" s="29">
        <v>0.54097222222222219</v>
      </c>
      <c r="M58" s="30" t="str">
        <f t="shared" ca="1" si="13"/>
        <v/>
      </c>
      <c r="N58" s="27" t="s">
        <v>363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0.75248495370760793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0.95179050926316355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1.3191516203742746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406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407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/>
      <c r="M720" s="30">
        <f t="shared" ca="1" si="160"/>
        <v>4.0162037475965917E-4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69</v>
      </c>
      <c r="G729" s="36">
        <f>SUM(G717:G728)</f>
        <v>293</v>
      </c>
      <c r="H729" s="37"/>
      <c r="I729" s="37"/>
      <c r="J729" s="37"/>
      <c r="K729" s="61"/>
      <c r="L729" s="61"/>
      <c r="M729" s="38">
        <f ca="1">IFERROR(SUM(M717:M728),"")</f>
        <v>3.5123842596981758E-2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201</v>
      </c>
      <c r="G730" s="40">
        <f>G716+G729</f>
        <v>847.40000000000009</v>
      </c>
      <c r="H730" s="41"/>
      <c r="I730" s="41"/>
      <c r="J730" s="41"/>
      <c r="K730" s="63"/>
      <c r="L730" s="63"/>
      <c r="M730" s="42">
        <f ca="1">IFERROR(M716+M729,"")</f>
        <v>0.24137384259698175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2026-07-28T04:02:47Z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