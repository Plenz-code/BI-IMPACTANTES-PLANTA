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27" documentId="13_ncr:1_{A6DBCFB4-28D9-4249-9038-216934055CA6}" xr6:coauthVersionLast="47" xr6:coauthVersionMax="47" xr10:uidLastSave="{47E5BD54-576E-4F25-93E8-9566B7393E05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<sst xmlns="http://schemas.openxmlformats.org/spreadsheetml/2006/main" count="10482" uniqueCount="434">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</sst>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5" activePane="bottomLeft" state="frozen"/>
      <selection activeCell="B1" sqref="B1"/>
      <selection pane="bottomLeft" activeCell="F29" sqref="F29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25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2" t="s">
        <v>16</v>
      </c>
      <c r="B35" s="162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7909.4386946384147</v>
      </c>
      <c r="I35" s="31">
        <f t="shared" si="2"/>
        <v>4967.05</v>
      </c>
      <c r="J35" s="32">
        <f>I35/H35</f>
        <v>0.62799020155084118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25">
      <c r="M2" s="16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4"/>
      <c r="N21" s="40"/>
      <c r="O21" s="40" t="s">
        <v>430</v>
      </c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 t="s">
        <v>427</v>
      </c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4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4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4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4"/>
      <c r="N63" s="40"/>
      <c r="O63" s="40"/>
      <c r="P63" s="40" t="s">
        <v>426</v>
      </c>
      <c r="Q63" s="40"/>
      <c r="R63" s="40"/>
    </row>
    <row r="64" spans="1:18" ht="15" customHeight="1" x14ac:dyDescent="0.25">
      <c r="M64" s="164"/>
      <c r="N64" s="37"/>
      <c r="O64" s="37"/>
      <c r="P64" s="37" t="s">
        <v>226</v>
      </c>
      <c r="Q64" s="37"/>
      <c r="R64" s="37"/>
    </row>
    <row r="65" spans="13:18" ht="15" customHeight="1" x14ac:dyDescent="0.25">
      <c r="M65" s="164"/>
      <c r="N65" s="40"/>
      <c r="O65" s="40"/>
      <c r="P65" s="40" t="s">
        <v>227</v>
      </c>
      <c r="Q65" s="40"/>
      <c r="R65" s="40"/>
    </row>
    <row r="66" spans="13:18" ht="15" customHeight="1" x14ac:dyDescent="0.25">
      <c r="M66" s="164"/>
      <c r="N66" s="37"/>
      <c r="O66" s="37"/>
      <c r="P66" s="37" t="s">
        <v>228</v>
      </c>
      <c r="Q66" s="37"/>
      <c r="R66" s="37"/>
    </row>
    <row r="67" spans="13:18" ht="15" customHeight="1" x14ac:dyDescent="0.25">
      <c r="M67" s="164"/>
      <c r="N67" s="40"/>
      <c r="O67" s="40"/>
      <c r="P67" s="40" t="s">
        <v>229</v>
      </c>
      <c r="Q67" s="40"/>
      <c r="R67" s="40"/>
    </row>
    <row r="68" spans="13:18" ht="15" customHeight="1" x14ac:dyDescent="0.25">
      <c r="M68" s="164"/>
      <c r="N68" s="37"/>
      <c r="O68" s="37"/>
      <c r="P68" s="37" t="s">
        <v>230</v>
      </c>
      <c r="Q68" s="37"/>
      <c r="R68" s="37"/>
    </row>
    <row r="69" spans="13:18" ht="15" customHeight="1" x14ac:dyDescent="0.25">
      <c r="M69" s="164"/>
      <c r="N69" s="40"/>
      <c r="O69" s="40"/>
      <c r="P69" s="40" t="s">
        <v>231</v>
      </c>
      <c r="Q69" s="40"/>
      <c r="R69" s="40"/>
    </row>
    <row r="70" spans="13:18" ht="15" customHeight="1" x14ac:dyDescent="0.25">
      <c r="M70" s="164"/>
      <c r="N70" s="37"/>
      <c r="O70" s="37"/>
      <c r="P70" s="37" t="s">
        <v>232</v>
      </c>
      <c r="Q70" s="37"/>
      <c r="R70" s="37"/>
    </row>
    <row r="71" spans="13:18" ht="15" customHeight="1" x14ac:dyDescent="0.25">
      <c r="M71" s="164"/>
      <c r="N71" s="40"/>
      <c r="O71" s="40"/>
      <c r="P71" s="40" t="s">
        <v>233</v>
      </c>
      <c r="Q71" s="40"/>
      <c r="R71" s="40"/>
    </row>
    <row r="72" spans="13:18" ht="15" customHeight="1" x14ac:dyDescent="0.25">
      <c r="M72" s="164"/>
      <c r="N72" s="37"/>
      <c r="O72" s="37"/>
      <c r="P72" s="37" t="s">
        <v>234</v>
      </c>
      <c r="Q72" s="37"/>
      <c r="R72" s="37"/>
    </row>
    <row r="73" spans="13:18" ht="15" customHeight="1" x14ac:dyDescent="0.25">
      <c r="M73" s="164"/>
      <c r="N73" s="40"/>
      <c r="O73" s="40"/>
      <c r="P73" s="40" t="s">
        <v>235</v>
      </c>
      <c r="Q73" s="40"/>
      <c r="R73" s="40"/>
    </row>
    <row r="74" spans="13:18" ht="15" customHeight="1" x14ac:dyDescent="0.25">
      <c r="M74" s="164"/>
      <c r="N74" s="37"/>
      <c r="O74" s="37"/>
      <c r="P74" s="37" t="s">
        <v>236</v>
      </c>
      <c r="Q74" s="37"/>
      <c r="R74" s="37"/>
    </row>
    <row r="75" spans="13:18" ht="15" customHeight="1" x14ac:dyDescent="0.25">
      <c r="M75" s="164"/>
      <c r="N75" s="40"/>
      <c r="O75" s="40"/>
      <c r="P75" s="40" t="s">
        <v>237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25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6" t="s">
        <v>249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6" t="s">
        <v>249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6" t="s">
        <v>249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6" t="s">
        <v>249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6" t="s">
        <v>249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6" t="s">
        <v>249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6" t="s">
        <v>249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6" t="s">
        <v>249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6" t="s">
        <v>249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6" t="s">
        <v>249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6" t="s">
        <v>249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6" t="s">
        <v>249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6" t="s">
        <v>249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6" t="s">
        <v>249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6" t="s">
        <v>249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6" t="s">
        <v>249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6" t="s">
        <v>249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6" t="s">
        <v>249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6" t="s">
        <v>249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6" t="s">
        <v>249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247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248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6" t="s">
        <v>249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25">
      <c r="A67" s="166" t="s">
        <v>249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25">
      <c r="A70" s="166" t="s">
        <v>249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6" t="s">
        <v>249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6" t="s">
        <v>249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6" t="s">
        <v>249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6" t="s">
        <v>249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6" t="s">
        <v>249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6" t="s">
        <v>249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6" t="s">
        <v>249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6" t="s">
        <v>249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06" activePane="bottomLeft" state="frozen"/>
      <selection pane="bottomLeft" activeCell="F633" sqref="F633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7" t="s">
        <v>260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7" t="s">
        <v>263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25">
      <c r="A28" s="168" t="s">
        <v>249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7" t="s">
        <v>260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7" t="s">
        <v>263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25">
      <c r="A55" s="168" t="s">
        <v>249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7" t="s">
        <v>260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7" t="s">
        <v>263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25">
      <c r="A82" s="168" t="s">
        <v>249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7" t="s">
        <v>260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7" t="s">
        <v>263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25">
      <c r="A109" s="168" t="s">
        <v>249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7" t="s">
        <v>260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7" t="s">
        <v>263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25">
      <c r="A136" s="168" t="s">
        <v>249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7" t="s">
        <v>260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7" t="s">
        <v>263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25">
      <c r="A163" s="168" t="s">
        <v>249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7" t="s">
        <v>260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7" t="s">
        <v>263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25">
      <c r="A190" s="168" t="s">
        <v>249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7" t="s">
        <v>260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7" t="s">
        <v>263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25">
      <c r="A217" s="168" t="s">
        <v>249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7" t="s">
        <v>260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7" t="s">
        <v>263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25">
      <c r="A244" s="168" t="s">
        <v>249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7" t="s">
        <v>260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7" t="s">
        <v>263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25">
      <c r="A271" s="168" t="s">
        <v>249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7" t="s">
        <v>260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7" t="s">
        <v>263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25">
      <c r="A298" s="168" t="s">
        <v>249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7" t="s">
        <v>260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7" t="s">
        <v>263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25">
      <c r="A325" s="168" t="s">
        <v>249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7" t="s">
        <v>260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7" t="s">
        <v>263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25">
      <c r="A352" s="168" t="s">
        <v>249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7" t="s">
        <v>260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7" t="s">
        <v>263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25">
      <c r="A379" s="168" t="s">
        <v>249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7" t="s">
        <v>260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7" t="s">
        <v>263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25">
      <c r="A406" s="168" t="s">
        <v>249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7" t="s">
        <v>260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7" t="s">
        <v>263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25">
      <c r="A433" s="168" t="s">
        <v>249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7" t="s">
        <v>260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7" t="s">
        <v>263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25">
      <c r="A460" s="168" t="s">
        <v>249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7" t="s">
        <v>260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7" t="s">
        <v>263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25">
      <c r="A487" s="168" t="s">
        <v>249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7" t="s">
        <v>260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7" t="s">
        <v>263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25">
      <c r="A514" s="168" t="s">
        <v>249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7" t="s">
        <v>260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7" t="s">
        <v>263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 x14ac:dyDescent="0.25">
      <c r="A541" s="168" t="s">
        <v>249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296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7" t="s">
        <v>260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261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259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296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259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262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259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297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259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259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298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259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259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299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259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259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259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259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259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7" t="s">
        <v>263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261</v>
      </c>
      <c r="O567" s="74">
        <v>1031030</v>
      </c>
    </row>
    <row r="568" spans="1:15" ht="18" customHeight="1" x14ac:dyDescent="0.25">
      <c r="A568" s="168" t="s">
        <v>249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264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259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259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259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300</v>
      </c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259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259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259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259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259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259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259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259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259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7" t="s">
        <v>260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261</v>
      </c>
      <c r="O581" s="74">
        <v>2640170</v>
      </c>
    </row>
    <row r="582" spans="1:15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259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144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432</v>
      </c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259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431</v>
      </c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259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259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259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259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259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259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259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259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259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259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7" t="s">
        <v>263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261</v>
      </c>
      <c r="O594" s="74">
        <v>2100270</v>
      </c>
    </row>
    <row r="595" spans="1:15" ht="18" customHeight="1" x14ac:dyDescent="0.25">
      <c r="A595" s="168" t="s">
        <v>249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264</v>
      </c>
      <c r="O595" s="82">
        <f>IFERROR(O581+O594,"")</f>
        <v>4740440</v>
      </c>
    </row>
    <row r="596" spans="1:15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259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259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259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259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259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259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259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259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259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259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259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259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7" t="s">
        <v>260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261</v>
      </c>
      <c r="O608" s="74">
        <f>18310+1107750</f>
        <v>1126060</v>
      </c>
    </row>
    <row r="609" spans="1:15" ht="15" customHeight="1" x14ac:dyDescent="0.25">
      <c r="A609" s="18">
        <v>46257</v>
      </c>
      <c r="B609" s="68">
        <v>0.83333333333333304</v>
      </c>
      <c r="C609" s="70" t="s">
        <v>38</v>
      </c>
      <c r="D609" s="169" t="s">
        <v>31</v>
      </c>
      <c r="E609" s="75" t="s">
        <v>259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185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69" t="s">
        <v>31</v>
      </c>
      <c r="E610" s="75" t="s">
        <v>259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425</v>
      </c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 t="s">
        <v>38</v>
      </c>
      <c r="D611" s="169" t="s">
        <v>31</v>
      </c>
      <c r="E611" s="75" t="s">
        <v>259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 t="s">
        <v>38</v>
      </c>
      <c r="D612" s="169" t="s">
        <v>31</v>
      </c>
      <c r="E612" s="75" t="s">
        <v>259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 t="s">
        <v>38</v>
      </c>
      <c r="D613" s="169" t="s">
        <v>31</v>
      </c>
      <c r="E613" s="75" t="s">
        <v>259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 t="s">
        <v>38</v>
      </c>
      <c r="D614" s="169" t="s">
        <v>31</v>
      </c>
      <c r="E614" s="75" t="s">
        <v>259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 t="s">
        <v>38</v>
      </c>
      <c r="D615" s="169" t="s">
        <v>31</v>
      </c>
      <c r="E615" s="75" t="s">
        <v>259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 t="s">
        <v>38</v>
      </c>
      <c r="D616" s="169" t="s">
        <v>31</v>
      </c>
      <c r="E616" s="75" t="s">
        <v>259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 t="s">
        <v>38</v>
      </c>
      <c r="D617" s="169" t="s">
        <v>31</v>
      </c>
      <c r="E617" s="75" t="s">
        <v>259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 t="s">
        <v>38</v>
      </c>
      <c r="D618" s="169" t="s">
        <v>31</v>
      </c>
      <c r="E618" s="75" t="s">
        <v>259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 t="s">
        <v>38</v>
      </c>
      <c r="D619" s="169" t="s">
        <v>31</v>
      </c>
      <c r="E619" s="75" t="s">
        <v>259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 t="s">
        <v>38</v>
      </c>
      <c r="D620" s="169" t="s">
        <v>31</v>
      </c>
      <c r="E620" s="75" t="s">
        <v>259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7" t="s">
        <v>263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261</v>
      </c>
      <c r="O621" s="74">
        <v>2354670</v>
      </c>
    </row>
    <row r="622" spans="1:15" ht="18" customHeight="1" x14ac:dyDescent="0.25">
      <c r="A622" s="168" t="s">
        <v>249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264</v>
      </c>
      <c r="O622" s="82">
        <f>IFERROR(O608+O621,"")</f>
        <v>3480730</v>
      </c>
    </row>
    <row r="623" spans="1:15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259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427</v>
      </c>
      <c r="J623" s="70" t="s">
        <v>146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259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259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259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259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259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259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259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259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259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259</v>
      </c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259</v>
      </c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7" t="s">
        <v>260</v>
      </c>
      <c r="B635" s="167"/>
      <c r="C635" s="167"/>
      <c r="D635" s="167"/>
      <c r="E635" s="167"/>
      <c r="F635" s="2">
        <f>SUM(F623:F634)</f>
        <v>329</v>
      </c>
      <c r="G635" s="2">
        <f>SUM(G623:G634)</f>
        <v>1645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261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7" t="s">
        <v>263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25">
      <c r="A649" s="168" t="s">
        <v>249</v>
      </c>
      <c r="B649" s="168"/>
      <c r="C649" s="168"/>
      <c r="D649" s="168"/>
      <c r="E649" s="168"/>
      <c r="F649" s="1">
        <f>F635+F648</f>
        <v>329</v>
      </c>
      <c r="G649" s="1">
        <f>G635+G648</f>
        <v>1645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264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7" t="s">
        <v>260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7" t="s">
        <v>263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25">
      <c r="A676" s="168" t="s">
        <v>249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7" t="s">
        <v>260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7" t="s">
        <v>263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25">
      <c r="A703" s="168" t="s">
        <v>249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7" t="s">
        <v>260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7" t="s">
        <v>263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25">
      <c r="A730" s="168" t="s">
        <v>249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7" t="s">
        <v>260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7" t="s">
        <v>263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25">
      <c r="A757" s="168" t="s">
        <v>249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7" t="s">
        <v>260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7" t="s">
        <v>263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25">
      <c r="A784" s="168" t="s">
        <v>249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7" t="s">
        <v>260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7" t="s">
        <v>263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25">
      <c r="A811" s="168" t="s">
        <v>249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7" t="s">
        <v>260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7" t="s">
        <v>263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25">
      <c r="A838" s="168" t="s">
        <v>249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4" activePane="bottomLeft" state="frozen"/>
      <selection pane="bottomLeft" activeCell="G633" sqref="G633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0.58702488425478805</v>
      </c>
      <c r="R53" s="80" t="s">
        <v>311</v>
      </c>
      <c r="S53" s="67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0.72591377314367578</v>
      </c>
      <c r="R54" s="2" t="s">
        <v>261</v>
      </c>
      <c r="S54" s="113">
        <v>352430</v>
      </c>
      <c r="T54" s="114"/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0.81063599536589859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8" t="s">
        <v>260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8" t="s">
        <v>263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8" t="s">
        <v>260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8" t="s">
        <v>263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8" t="s">
        <v>260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8" t="s">
        <v>263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8" t="s">
        <v>260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8" t="s">
        <v>263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8" t="s">
        <v>260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261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274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274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274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261</v>
      </c>
      <c r="S567" s="74">
        <v>0</v>
      </c>
      <c r="T567" s="99">
        <f>IFERROR(J567,"")</f>
        <v>0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264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274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261</v>
      </c>
      <c r="S581" s="74">
        <v>175540</v>
      </c>
      <c r="T581" s="99">
        <f>IFERROR(J581,"")</f>
        <v>36.863399999999999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429</v>
      </c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136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170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259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274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261</v>
      </c>
      <c r="S594" s="74">
        <v>551160</v>
      </c>
      <c r="T594" s="99">
        <f>IFERROR(J594,"")</f>
        <v>115.74359999999999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264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208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261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422</v>
      </c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168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170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167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274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261</v>
      </c>
      <c r="S621" s="74">
        <v>508500</v>
      </c>
      <c r="T621" s="99">
        <f>IFERROR(J621,"")</f>
        <v>106.785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264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148</v>
      </c>
      <c r="N623" s="70" t="s">
        <v>426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319</v>
      </c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46.2</v>
      </c>
      <c r="L624" s="61" t="s">
        <v>28</v>
      </c>
      <c r="M624" s="61" t="s">
        <v>170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63</v>
      </c>
      <c r="L625" s="70" t="s">
        <v>29</v>
      </c>
      <c r="M625" s="70" t="s">
        <v>168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/>
      <c r="H633" s="88" t="str">
        <f>IFERROR(IF($G633="","",$G633*$S$635/$G$635/Cadastro!$E$33),"")</f>
        <v/>
      </c>
      <c r="I633" s="90">
        <f>IFERROR(IF($D633="","",VLOOKUP($D633,Cadastro!$C$4:$G$7,5,FALSE())),"")</f>
        <v>0.6</v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134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562.80000000000007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134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562.80000000000007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0" activePane="bottomLeft" state="frozen"/>
      <selection pane="bottomLeft" activeCell="G633" sqref="G633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8" t="s">
        <v>260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8" t="s">
        <v>263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8" t="s">
        <v>260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8" t="s">
        <v>263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8" t="s">
        <v>260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8" t="s">
        <v>263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8" t="s">
        <v>260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8" t="s">
        <v>263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8" t="s">
        <v>260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8" t="s">
        <v>263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9" t="s">
        <v>249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8" t="s">
        <v>263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9" t="s">
        <v>249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261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259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259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259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261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264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259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261</v>
      </c>
      <c r="S581" s="74">
        <v>631330</v>
      </c>
      <c r="T581" s="99">
        <f>IFERROR(J581,"")</f>
        <v>132.57929999999996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369</v>
      </c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136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274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259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261</v>
      </c>
      <c r="S594" s="74">
        <v>456490</v>
      </c>
      <c r="T594" s="99">
        <f>IFERROR(J594,"")</f>
        <v>95.862899999999996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264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312</v>
      </c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261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366</v>
      </c>
      <c r="S609" s="81"/>
    </row>
    <row r="610" spans="1:20" ht="15" customHeight="1" x14ac:dyDescent="0.25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177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 x14ac:dyDescent="0.25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423</v>
      </c>
      <c r="S614" s="81"/>
    </row>
    <row r="615" spans="1:20" ht="15" customHeight="1" x14ac:dyDescent="0.25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423</v>
      </c>
      <c r="S615" s="81"/>
    </row>
    <row r="616" spans="1:20" ht="15" customHeight="1" x14ac:dyDescent="0.25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423</v>
      </c>
      <c r="S616" s="81"/>
    </row>
    <row r="617" spans="1:20" ht="15" customHeight="1" x14ac:dyDescent="0.25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259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261</v>
      </c>
      <c r="S621" s="74">
        <v>399510</v>
      </c>
      <c r="T621" s="99">
        <f>IFERROR(J621,"")</f>
        <v>83.897099999999995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264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0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148</v>
      </c>
      <c r="N623" s="70" t="s">
        <v>426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351</v>
      </c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59"/>
        <v>0</v>
      </c>
      <c r="K624" s="64">
        <f t="shared" si="160"/>
        <v>16.8</v>
      </c>
      <c r="L624" s="61" t="s">
        <v>29</v>
      </c>
      <c r="M624" s="61"/>
      <c r="N624" s="61" t="s">
        <v>210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59"/>
        <v>0</v>
      </c>
      <c r="K625" s="69">
        <f t="shared" si="160"/>
        <v>21</v>
      </c>
      <c r="L625" s="70" t="s">
        <v>29</v>
      </c>
      <c r="M625" s="70" t="s">
        <v>56</v>
      </c>
      <c r="N625" s="70" t="s">
        <v>210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59"/>
        <v>0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59"/>
        <v>0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59"/>
        <v>0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59"/>
        <v>0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59"/>
        <v>0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59"/>
        <v>0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59"/>
        <v>0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/>
      <c r="H633" s="88" t="str">
        <f>IFERROR(IF($G633="","",$G633*$S$635/$G$635/Cadastro!$E$33),"")</f>
        <v/>
      </c>
      <c r="I633" s="90">
        <f>IFERROR(IF($D633="","",VLOOKUP($D633,Cadastro!$C$4:$G$7,5,FALSE())),"")</f>
        <v>0.6</v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61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256.20000000000005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61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256.20000000000005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04" activePane="bottomLeft" state="frozen"/>
      <selection pane="bottomLeft" activeCell="G633" sqref="G633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8" t="s">
        <v>260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8" t="s">
        <v>263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8" t="s">
        <v>260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8" t="s">
        <v>263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8" t="s">
        <v>260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8" t="s">
        <v>263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8" t="s">
        <v>263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8" t="s">
        <v>263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9" t="s">
        <v>249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8" t="s">
        <v>263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9" t="s">
        <v>249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261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259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274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274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261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264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259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261</v>
      </c>
      <c r="S581" s="74">
        <v>759800</v>
      </c>
      <c r="T581" s="99">
        <f>IFERROR(J581,"")</f>
        <v>159.55799999999996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420</v>
      </c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421</v>
      </c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368</v>
      </c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142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274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274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261</v>
      </c>
      <c r="S594" s="74">
        <v>985680</v>
      </c>
      <c r="T594" s="99">
        <f>IFERROR(J594,"")</f>
        <v>206.99279999999996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264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173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261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368</v>
      </c>
      <c r="S609" s="133"/>
    </row>
    <row r="610" spans="1:20" ht="15" customHeight="1" x14ac:dyDescent="0.25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401</v>
      </c>
      <c r="S610" s="133"/>
    </row>
    <row r="611" spans="1:20" ht="15" customHeight="1" x14ac:dyDescent="0.25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 x14ac:dyDescent="0.25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140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424</v>
      </c>
      <c r="S612" s="133"/>
    </row>
    <row r="613" spans="1:20" ht="15" customHeight="1" x14ac:dyDescent="0.25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418</v>
      </c>
      <c r="S613" s="133"/>
    </row>
    <row r="614" spans="1:20" ht="15" customHeight="1" x14ac:dyDescent="0.25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173</v>
      </c>
      <c r="N614" s="61" t="s">
        <v>195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 x14ac:dyDescent="0.25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 x14ac:dyDescent="0.25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259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261</v>
      </c>
      <c r="S621" s="74">
        <v>715660</v>
      </c>
      <c r="T621" s="99">
        <f>IFERROR(J621,"")</f>
        <v>143.63866194690266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264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173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84</v>
      </c>
      <c r="L624" s="61" t="s">
        <v>27</v>
      </c>
      <c r="M624" s="61" t="s">
        <v>66</v>
      </c>
      <c r="N624" s="61" t="s">
        <v>167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428</v>
      </c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/>
      <c r="H633" s="88" t="str">
        <f>IFERROR(IF($G633="","",$G633*$S$635/$G$635/Cadastro!$E$33),"")</f>
        <v/>
      </c>
      <c r="I633" s="90">
        <f>IFERROR(IF($D633="","",VLOOKUP($D633,Cadastro!$C$4:$G$7,5,FALSE())),"")</f>
        <v>0.6</v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203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852.6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203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852.6</v>
      </c>
      <c r="L649" s="76"/>
      <c r="M649" s="76"/>
      <c r="N649" s="76"/>
      <c r="O649" s="135"/>
      <c r="P649" s="135"/>
      <c r="Q649" s="77">
        <f ca="1">IFERROR(Q635+Q648,"")</f>
        <v>6.944444444444442E-2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2026-08-24T21:01:29Z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