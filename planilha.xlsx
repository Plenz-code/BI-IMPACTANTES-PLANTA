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931" documentId="8_{C51EB6CB-002B-4D6B-B68F-DDEBDB4460C0}" xr6:coauthVersionLast="47" xr6:coauthVersionMax="47" xr10:uidLastSave="{9941AE00-0893-451A-9527-4F3CA531FDA7}"/>
  <bookViews>
    <workbookView xWindow="-108" yWindow="-108" windowWidth="23256" windowHeight="12456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<sst xmlns="http://schemas.openxmlformats.org/spreadsheetml/2006/main" count="4116" uniqueCount="301">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</sst>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1" sqref="G11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24036285</v>
      </c>
      <c r="D35" s="13">
        <f>IFERROR(SUM(D4:D34),"")</f>
        <v>7112730</v>
      </c>
      <c r="E35" s="13">
        <f>IFERROR(SUM(E4:E34),"")</f>
        <v>3636350</v>
      </c>
      <c r="F35" s="13">
        <f>IFERROR(SUM(F4:F34),"")</f>
        <v>9451500</v>
      </c>
      <c r="G35" s="13">
        <f>IFERROR(SUM(G4:G34),"")</f>
        <v>20200580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185" activePane="bottomLeft" state="frozen"/>
      <selection pane="bottomLeft" activeCell="F199" sqref="F19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7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/>
      <c r="M193" s="35">
        <f t="shared" ca="1" si="43"/>
        <v>1.8951504629512783E-2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206</v>
      </c>
      <c r="G203" s="36">
        <f>SUM(G191:G202)</f>
        <v>1030</v>
      </c>
      <c r="H203" s="37"/>
      <c r="I203" s="37"/>
      <c r="J203" s="37"/>
      <c r="K203" s="37"/>
      <c r="L203" s="37"/>
      <c r="M203" s="38">
        <f ca="1">IFERROR(SUM(M191:M202),"")</f>
        <v>7.0340393518401656E-2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206</v>
      </c>
      <c r="G217" s="40">
        <f>G203+G216</f>
        <v>1030</v>
      </c>
      <c r="H217" s="41"/>
      <c r="I217" s="41"/>
      <c r="J217" s="41"/>
      <c r="K217" s="41"/>
      <c r="L217" s="41"/>
      <c r="M217" s="42">
        <f ca="1">IFERROR(M203+M216,"")</f>
        <v>7.0340393518401656E-2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73" activePane="bottomLeft" state="frozen"/>
      <selection pane="bottomLeft" activeCell="F199" sqref="F19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0.50159039351274259</v>
      </c>
      <c r="N53" s="46" t="s">
        <v>259</v>
      </c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0.64047928240163143</v>
      </c>
      <c r="N54" s="36" t="s">
        <v>235</v>
      </c>
      <c r="O54" s="84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0.7252015046238538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/>
      <c r="M195" s="35">
        <f t="shared" ca="1" si="43"/>
        <v>1.8951504629512783E-2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92</v>
      </c>
      <c r="G203" s="36">
        <f>SUM(G191:G202)</f>
        <v>386.40000000000003</v>
      </c>
      <c r="H203" s="37"/>
      <c r="I203" s="37"/>
      <c r="J203" s="37"/>
      <c r="K203" s="37"/>
      <c r="L203" s="37"/>
      <c r="M203" s="38">
        <f ca="1">IFERROR(SUM(M191:M202),"")</f>
        <v>0.10506261574062387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92</v>
      </c>
      <c r="G217" s="40">
        <f>G203+G216</f>
        <v>386.40000000000003</v>
      </c>
      <c r="H217" s="41"/>
      <c r="I217" s="41"/>
      <c r="J217" s="41"/>
      <c r="K217" s="41"/>
      <c r="L217" s="41"/>
      <c r="M217" s="42">
        <f ca="1">IFERROR(M203+M216,"")</f>
        <v>0.10506261574062387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70" zoomScale="50" zoomScaleNormal="50" workbookViewId="0">
      <selection activeCell="F198" sqref="F19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6</v>
      </c>
      <c r="G203" s="36">
        <f>SUM(G191:G202)</f>
        <v>25.200000000000003</v>
      </c>
      <c r="H203" s="37"/>
      <c r="I203" s="37"/>
      <c r="J203" s="37"/>
      <c r="K203" s="37"/>
      <c r="L203" s="37"/>
      <c r="M203" s="38">
        <f ca="1">IFERROR(SUM(M191:M202),"")</f>
        <v>0.13194444444444448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6</v>
      </c>
      <c r="G217" s="40">
        <f>G203+G216</f>
        <v>25.200000000000003</v>
      </c>
      <c r="H217" s="41"/>
      <c r="I217" s="41"/>
      <c r="J217" s="41"/>
      <c r="K217" s="41"/>
      <c r="L217" s="41"/>
      <c r="M217" s="42">
        <f ca="1">IFERROR(M203+M216,"")</f>
        <v>0.13194444444444448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73" activePane="bottomLeft" state="frozen"/>
      <selection pane="bottomLeft" activeCell="F199" sqref="F19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4" t="s">
        <v>234</v>
      </c>
      <c r="B41" s="105"/>
      <c r="C41" s="105"/>
      <c r="D41" s="105"/>
      <c r="E41" s="106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105</v>
      </c>
      <c r="G203" s="36">
        <f>SUM(G191:G202)</f>
        <v>441.00000000000006</v>
      </c>
      <c r="H203" s="37"/>
      <c r="I203" s="37"/>
      <c r="J203" s="37"/>
      <c r="K203" s="61"/>
      <c r="L203" s="61"/>
      <c r="M203" s="38">
        <f ca="1">IFERROR(SUM(M191:M202),"")</f>
        <v>5.5555555555555525E-2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/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105</v>
      </c>
      <c r="G217" s="40">
        <f>G203+G216</f>
        <v>441.00000000000006</v>
      </c>
      <c r="H217" s="41"/>
      <c r="I217" s="41"/>
      <c r="J217" s="41"/>
      <c r="K217" s="63"/>
      <c r="L217" s="63"/>
      <c r="M217" s="42">
        <f ca="1">IFERROR(M203+M216,"")</f>
        <v>5.5555555555555525E-2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4" t="s">
        <v>234</v>
      </c>
      <c r="B338" s="105"/>
      <c r="C338" s="105"/>
      <c r="D338" s="105"/>
      <c r="E338" s="106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2026-08-08T18:58:42Z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