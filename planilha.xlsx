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57" documentId="13_ncr:1_{A6DBCFB4-28D9-4249-9038-216934055CA6}" xr6:coauthVersionLast="47" xr6:coauthVersionMax="47" xr10:uidLastSave="{DD4B1C0B-A24C-4007-AC71-75B10850235A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F631" i="5"/>
  <c r="Q630" i="5"/>
  <c r="K630" i="5"/>
  <c r="I630" i="5"/>
  <c r="H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9" i="5" l="1"/>
  <c r="J598" i="5"/>
  <c r="J600" i="5"/>
  <c r="J599" i="5"/>
  <c r="J618" i="5"/>
  <c r="J619" i="5"/>
  <c r="J620" i="5"/>
  <c r="J610" i="5"/>
  <c r="J627" i="5"/>
  <c r="J630" i="5"/>
  <c r="J632" i="5"/>
  <c r="J633" i="5"/>
  <c r="J634" i="5"/>
  <c r="J625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K743" i="5"/>
  <c r="K95" i="5"/>
  <c r="G19" i="1"/>
  <c r="H310" i="5"/>
  <c r="K338" i="5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03" i="5" l="1"/>
  <c r="K352" i="5"/>
  <c r="H581" i="5"/>
  <c r="K730" i="5"/>
  <c r="H338" i="5"/>
  <c r="H352" i="5" s="1"/>
  <c r="K676" i="5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406" i="5" l="1"/>
  <c r="T406" i="5" s="1"/>
  <c r="J568" i="5"/>
  <c r="T568" i="5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<sst xmlns="http://schemas.openxmlformats.org/spreadsheetml/2006/main" count="11081" uniqueCount="448">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</sst>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92854610</v>
      </c>
      <c r="D35" s="30">
        <f t="shared" si="1"/>
        <v>28721100</v>
      </c>
      <c r="E35" s="30">
        <f t="shared" si="1"/>
        <v>16255620</v>
      </c>
      <c r="F35" s="30">
        <f t="shared" si="1"/>
        <v>39349890</v>
      </c>
      <c r="G35" s="30">
        <f t="shared" si="1"/>
        <v>84326610</v>
      </c>
      <c r="H35" s="31">
        <f t="shared" si="1"/>
        <v>9287.3725946384147</v>
      </c>
      <c r="I35" s="31">
        <f t="shared" si="1"/>
        <v>9156.869999999999</v>
      </c>
      <c r="J35" s="32">
        <f>IFERROR(IF(H35&gt;I35,MAX(0,2-H35/I35),H35/I35),"")</f>
        <v>0.98574812194140393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O676" sqref="O676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40" activePane="bottomLeft" state="frozen"/>
      <selection pane="bottomLeft" activeCell="P670" sqref="P670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0.18279872684797738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0.32168761573686511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0.40640983795908792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360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654" activePane="bottomLeft" state="frozen"/>
      <selection pane="bottomLeft" activeCell="L677" sqref="L677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361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361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361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363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364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365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366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368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369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370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371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372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374</v>
      </c>
      <c r="Q222" s="65" t="str">
        <f t="shared" ca="1" si="49"/>
        <v/>
      </c>
      <c r="R222" s="62" t="s">
        <v>375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376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377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378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379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380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381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381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382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383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368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384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385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386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387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388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389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361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384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381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390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390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390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366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391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392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393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0" t="s">
        <v>29</v>
      </c>
      <c r="M677" s="69"/>
      <c r="N677" s="69"/>
      <c r="O677" s="64">
        <v>0.30416666666666664</v>
      </c>
      <c r="P677" s="64"/>
      <c r="Q677" s="70">
        <f t="shared" ref="Q677:Q688" ca="1" si="177">IFERROR(IF(O677="","",IF(P677="",MOD(NOW()-O677,1),IF(P677&gt;=O677,P677-O677,P677+1-O677))),"")</f>
        <v>1.5983796038199216E-4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1.5983796038199216E-4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1.5983796038199216E-4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L317:L677 L679:L900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62" activePane="bottomLeft" state="frozen"/>
      <selection pane="bottomLeft" activeCell="N677" sqref="N677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394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361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395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396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397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398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399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400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361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361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401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402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361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403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404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405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406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407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408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409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410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411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412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413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414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415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416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417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418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419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420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421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422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423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424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425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426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427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421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428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383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429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430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431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432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433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434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435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436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437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420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421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438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439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440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383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441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383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420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442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437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443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444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445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446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447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/>
      <c r="Q677" s="70">
        <f t="shared" ref="Q677:Q688" ca="1" si="180">IFERROR(IF(O677="","",IF(P677="",MOD(NOW()-O677,1),IF(P677&gt;=O677,P677-O677,P677+1-O677))),"")</f>
        <v>1.2659837964747567E-2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1.2659837964747567E-2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1.2659837964747567E-2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2026-08-26T11:20:09Z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