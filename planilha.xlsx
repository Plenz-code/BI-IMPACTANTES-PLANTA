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96" documentId="8_{AF585B22-221D-4780-BB9C-493D365A6A02}" xr6:coauthVersionLast="47" xr6:coauthVersionMax="47" xr10:uidLastSave="{389B485C-9DAA-49F7-8A54-926EE7E211BA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<sst xmlns="http://schemas.openxmlformats.org/spreadsheetml/2006/main" count="9498" uniqueCount="384">
  <si>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</si>
  <si>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</si>
  <si>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</si>
  <si>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</si>
  <si>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</si>
  <si>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</si>
  <si>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</si>
  <si>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</si>
  <si>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</si>
  <si>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</si>
  <si>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</si>
  <si>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</si>
  <si>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</si>
  <si>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</si>
  <si>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</si>
  <si>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</si>
  <si>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</si>
  <si>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</si>
  <si>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</si>
  <si>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</si>
  <si>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</si>
  <si>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</si>
  <si>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</si>
  <si>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</si>
  <si>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</si>
  <si>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</si>
  <si>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</si>
  <si>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</si>
  <si>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</si>
  <si>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</si>
  <si>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</si>
  <si>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</si>
  <si>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</si>
  <si>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</si>
  <si>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</si>
  <si>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</si>
  <si>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</si>
  <si>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</si>
  <si>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</si>
  <si>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</si>
  <si>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</si>
  <si>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</si>
  <si>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</si>
  <si>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</si>
  <si>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</si>
  <si>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</si>
  <si>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</si>
  <si>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</si>
  <si>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</si>
  <si>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</si>
  <si>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</si>
  <si>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</si>
  <si>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</si>
  <si>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</si>
  <si>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</si>
  <si>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</si>
  <si>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</si>
  <si>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</si>
  <si>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</si>
  <si>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</si>
  <si>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</si>
  <si>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</si>
  <si>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</si>
  <si>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</si>
  <si>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</si>
  <si>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</si>
  <si>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</si>
  <si>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</si>
  <si>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</si>
  <si>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</si>
  <si>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</si>
  <si>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</si>
  <si>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</si>
  <si>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</si>
  <si>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</si>
  <si>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</si>
  <si>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</si>
  <si>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</si>
  <si>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</si>
  <si>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</si>
  <si>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</si>
  <si>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</si>
  <si>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</si>
  <si>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</si>
  <si>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</si>
  <si>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</si>
  <si>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</si>
  <si>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</si>
  <si>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</si>
  <si>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</si>
  <si>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</si>
  <si>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</si>
  <si>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</si>
  <si>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</si>
  <si>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</si>
  <si>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</si>
  <si>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</si>
  <si>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</si>
  <si>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</si>
  <si>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</si>
  <si>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</si>
  <si>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</si>
  <si>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</si>
  <si>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</si>
  <si>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</si>
  <si>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</si>
  <si>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</si>
  <si>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</si>
  <si>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</si>
  <si>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</si>
  <si>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</si>
  <si>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</si>
  <si>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</si>
  <si>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</si>
  <si>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</si>
  <si>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</si>
  <si>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</si>
  <si>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</si>
  <si>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</si>
  <si>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</si>
  <si>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</si>
  <si>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</si>
  <si>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</si>
  <si>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</si>
  <si>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</si>
  <si>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</si>
  <si>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</si>
  <si>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</si>
  <si>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</si>
  <si>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</si>
  <si>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</si>
  <si>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</si>
  <si>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</si>
  <si>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</si>
  <si>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</si>
  <si>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</si>
  <si>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</si>
  <si>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</si>
  <si>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</si>
  <si>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</si>
  <si>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</si>
  <si>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</si>
  <si>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</si>
  <si>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</si>
  <si>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</si>
  <si>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</si>
  <si>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</si>
  <si>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</si>
  <si>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</si>
  <si>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</si>
  <si>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</si>
  <si>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</si>
  <si>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</si>
  <si>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</si>
  <si>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</si>
  <si>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</si>
  <si>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</si>
  <si>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</si>
  <si>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</si>
  <si>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</si>
  <si>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</si>
  <si>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</si>
  <si>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</si>
  <si>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</si>
  <si>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</si>
  <si>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</si>
  <si>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</si>
  <si>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</si>
  <si>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</si>
  <si>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</si>
  <si>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</si>
  <si>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</si>
  <si>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</si>
  <si>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</si>
  <si>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</si>
  <si>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</si>
  <si>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</si>
  <si>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</si>
  <si>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</si>
  <si>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</si>
  <si>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</si>
  <si>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</si>
  <si>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</si>
  <si>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</si>
  <si>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</si>
  <si>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</si>
  <si>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</si>
  <si>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</si>
  <si>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</si>
  <si>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</si>
  <si>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</si>
  <si>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</si>
  <si>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</si>
  <si>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</si>
  <si>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</si>
  <si>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</si>
  <si>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</si>
  <si>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</si>
  <si>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</si>
  <si>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</si>
  <si>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</si>
  <si>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</si>
  <si>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</si>
  <si>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</si>
  <si>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</si>
  <si>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</si>
  <si>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</si>
  <si>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</si>
  <si>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</si>
  <si>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</si>
  <si>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</si>
  <si>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</si>
  <si>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</si>
  <si>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</si>
  <si>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</si>
  <si>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</si>
  <si>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</si>
  <si>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</si>
  <si>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</si>
  <si>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</si>
  <si>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</si>
  <si>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</si>
  <si>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</si>
  <si>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</si>
  <si>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</si>
  <si>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</si>
  <si>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</si>
  <si>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</si>
  <si>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</si>
  <si>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</si>
  <si>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</si>
  <si>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</si>
  <si>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</si>
  <si>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</si>
  <si>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</si>
  <si>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</si>
  <si>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</si>
  <si>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</si>
  <si>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</si>
  <si>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</si>
  <si>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</si>
  <si>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</si>
  <si>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</si>
  <si>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</si>
  <si>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</si>
  <si>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</si>
  <si>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</si>
  <si>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</si>
  <si>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</si>
  <si>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</si>
  <si>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</si>
  <si>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</si>
  <si>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</si>
  <si>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</si>
  <si>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</si>
  <si>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</si>
  <si>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</si>
  <si>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</si>
  <si>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</si>
  <si>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</si>
  <si>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</si>
  <si>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</si>
  <si>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</si>
  <si>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</si>
  <si>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</si>
  <si>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</si>
  <si>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</si>
  <si>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</si>
  <si>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</si>
  <si>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</si>
  <si>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</si>
  <si>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</si>
  <si>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</si>
  <si>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</si>
  <si>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</si>
  <si>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</si>
  <si>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</si>
  <si>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</si>
  <si>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</si>
  <si>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</si>
  <si>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</si>
  <si>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</si>
  <si>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</si>
  <si>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</si>
  <si>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</si>
  <si>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</si>
  <si>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</si>
  <si>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</si>
  <si>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</si>
  <si>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</si>
  <si>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</si>
  <si>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</si>
  <si>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</si>
  <si>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</si>
  <si>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</si>
  <si>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</si>
  <si>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</si>
  <si>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</si>
  <si>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</si>
  <si>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</si>
  <si>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</si>
  <si>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</si>
  <si>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</si>
  <si>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</si>
  <si>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</si>
  <si>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</si>
  <si>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</si>
  <si>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</si>
  <si>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</si>
  <si>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e do mm2 troca de martelo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</si>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</sst>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0" activePane="bottomLeft" state="frozen"/>
      <selection pane="bottomLeft" activeCell="F618" sqref="F6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178</v>
      </c>
      <c r="G621" s="36">
        <f>SUM(G609:G620)</f>
        <v>890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569</v>
      </c>
      <c r="G622" s="40">
        <f>G608+G621</f>
        <v>2845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7" activePane="bottomLeft" state="frozen"/>
      <selection pane="bottomLeft" activeCell="F619" sqref="F6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0.97626145833055489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1.1339003472194438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1.243622569441666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0.95473368055536412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1.1255670138886975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1.2707059027775864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0.1111111111111111</v>
      </c>
      <c r="M609" s="35">
        <f t="shared" ref="M609:M620" ca="1" si="136">IFERROR(IF(K609="","",IF(L609="",MOD(NOW()-K609,1),IF(L609&gt;=K609,L609-K609,L609+1-K609))),"")</f>
        <v>2.9861111111111102E-2</v>
      </c>
      <c r="N609" s="46" t="s">
        <v>309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67</v>
      </c>
      <c r="G621" s="36">
        <f>SUM(G609:G620)</f>
        <v>277.2</v>
      </c>
      <c r="H621" s="37"/>
      <c r="I621" s="37"/>
      <c r="J621" s="37"/>
      <c r="K621" s="37"/>
      <c r="L621" s="37"/>
      <c r="M621" s="38">
        <f ca="1">IFERROR(SUM(M609:M620),"")</f>
        <v>2.9861111111111102E-2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231</v>
      </c>
      <c r="G622" s="40">
        <f>G608+G621</f>
        <v>966</v>
      </c>
      <c r="H622" s="41"/>
      <c r="I622" s="41"/>
      <c r="J622" s="41"/>
      <c r="K622" s="41"/>
      <c r="L622" s="41"/>
      <c r="M622" s="42">
        <f ca="1">IFERROR(M608+M621,"")</f>
        <v>9.4444444444444428E-2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9" sqref="F6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61</v>
      </c>
      <c r="G621" s="36">
        <f>SUM(G609:G620)</f>
        <v>269.60000000000002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202</v>
      </c>
      <c r="G622" s="40">
        <f>G608+G621</f>
        <v>861.80000000000007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19" sqref="F6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0.96653923611302162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1.1658447916685772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1.5332059027796883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0.50751145833055489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0.56237256944166614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63</v>
      </c>
      <c r="G621" s="36">
        <f>SUM(G609:G620)</f>
        <v>271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223</v>
      </c>
      <c r="G622" s="40">
        <f>G608+G621</f>
        <v>943</v>
      </c>
      <c r="H622" s="41"/>
      <c r="I622" s="41"/>
      <c r="J622" s="41"/>
      <c r="K622" s="63"/>
      <c r="L622" s="63"/>
      <c r="M622" s="42">
        <f ca="1">IFERROR(M608+M621,"")</f>
        <v>0.67903923610833283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i:0#.f|membership|controle.planta@harpiagold.com.br</cp:lastModifiedBy>
  <cp:revision>0</cp:revision>
  <dcterms:created xsi:type="dcterms:W3CDTF">2026-06-05T19:56:02Z</dcterms:created>
  <dcterms:modified xsi:type="dcterms:W3CDTF">2026-07-24T09:11:02Z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