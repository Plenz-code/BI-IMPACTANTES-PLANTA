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47" documentId="8_{C51EB6CB-002B-4D6B-B68F-DDEBDB4460C0}" xr6:coauthVersionLast="47" xr6:coauthVersionMax="47" xr10:uidLastSave="{32BA00FD-0D20-4DCB-BDE2-685417764924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<sst xmlns="http://schemas.openxmlformats.org/spreadsheetml/2006/main" count="4448" uniqueCount="305">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</sst>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E221" sqref="E2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30</v>
      </c>
      <c r="G218" s="28">
        <f t="shared" ref="G218:G229" si="48">IF(F218="","",IF(E218="PC 17",F218*4.2,IF(E218="PC 19",F218*5,IF(E218="CB",F218*35,""))))</f>
        <v>150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75</v>
      </c>
      <c r="G230" s="36">
        <f>SUM(G218:G229)</f>
        <v>375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75</v>
      </c>
      <c r="G244" s="40">
        <f>G230+G243</f>
        <v>375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0" sqref="F2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0.25929826388892252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0.39818715277781142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0.48290937500003372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26</v>
      </c>
      <c r="G230" s="36">
        <f>SUM(G218:G229)</f>
        <v>109.20000000000002</v>
      </c>
      <c r="H230" s="37"/>
      <c r="I230" s="37"/>
      <c r="J230" s="37"/>
      <c r="K230" s="37"/>
      <c r="L230" s="37"/>
      <c r="M230" s="38">
        <f ca="1">IFERROR(SUM(M218:M229),"")</f>
        <v>6.944444444444442E-2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26</v>
      </c>
      <c r="G244" s="40">
        <f>G230+G243</f>
        <v>109.20000000000002</v>
      </c>
      <c r="H244" s="41"/>
      <c r="I244" s="41"/>
      <c r="J244" s="41"/>
      <c r="K244" s="41"/>
      <c r="L244" s="41"/>
      <c r="M244" s="42">
        <f ca="1">IFERROR(M230+M243,"")</f>
        <v>6.944444444444442E-2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2" zoomScale="50" zoomScaleNormal="50" workbookViewId="0">
      <selection activeCell="F219" sqref="F2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12</v>
      </c>
      <c r="G230" s="36">
        <f>SUM(G218:G229)</f>
        <v>50.400000000000006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</v>
      </c>
      <c r="G244" s="40">
        <f>G230+G243</f>
        <v>50.400000000000006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0" activePane="bottomLeft" state="frozen"/>
      <selection pane="bottomLeft" activeCell="F220" sqref="F2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37</v>
      </c>
      <c r="G230" s="36">
        <f>SUM(G218:G229)</f>
        <v>155.4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</v>
      </c>
      <c r="G244" s="40">
        <f>G230+G243</f>
        <v>155.4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2026-08-09T13:08:29Z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