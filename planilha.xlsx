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44" documentId="13_ncr:1_{0A10D8D4-8450-4366-8075-B53B08E6B7EA}" xr6:coauthVersionLast="47" xr6:coauthVersionMax="47" xr10:uidLastSave="{9AD294C6-CF45-4CD7-85D7-BB0D13BB064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0" i="6" s="1"/>
  <c r="J470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9" i="5" l="1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<sst xmlns="http://schemas.openxmlformats.org/spreadsheetml/2006/main" count="7936" uniqueCount="376">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</sst>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4326.08</v>
      </c>
      <c r="J35" s="130">
        <f>IFERROR(AVERAGE(J4:J34),"-")</f>
        <v>0.87408023186383732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/>
      <c r="M461" s="35">
        <f t="shared" ref="M461:M472" ca="1" si="99">IFERROR(IF(K461="","",IF(L461="",MOD(NOW()-K461,1),IF(L461&gt;=K461,L461-K461,L461+1-K461))),"")</f>
        <v>2.4689467594726011E-2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2.4689467594726011E-2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2.4689467594726011E-2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1" sqref="G47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0.59066168981371447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0.72955057870260331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0.81427280092482568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164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688.8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688.8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1" sqref="G4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2"/>
        <v>0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G471" sqref="G47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135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567</v>
      </c>
      <c r="L473" s="37"/>
      <c r="M473" s="37"/>
      <c r="N473" s="37"/>
      <c r="O473" s="61"/>
      <c r="P473" s="61"/>
      <c r="Q473" s="38">
        <f ca="1">IFERROR(SUM(Q461:Q472),"")</f>
        <v>0.27708333333333318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135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567</v>
      </c>
      <c r="L487" s="41"/>
      <c r="M487" s="41"/>
      <c r="N487" s="41"/>
      <c r="O487" s="63"/>
      <c r="P487" s="63"/>
      <c r="Q487" s="42">
        <f ca="1">IFERROR(Q473+Q486,"")</f>
        <v>0.27708333333333318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2026-08-18T21:07:23Z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