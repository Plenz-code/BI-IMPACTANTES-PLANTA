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65" documentId="8_{AF585B22-221D-4780-BB9C-493D365A6A02}" xr6:coauthVersionLast="47" xr6:coauthVersionMax="47" xr10:uidLastSave="{E463F94D-F362-4ADB-AEC9-94D0769C653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<sst xmlns="http://schemas.openxmlformats.org/spreadsheetml/2006/main" count="3272" uniqueCount="257">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</sst>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0.10209942129586125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0.10209942129586125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0.10209942129586125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</v>
      </c>
      <c r="G176" s="36">
        <f>SUM(G164:G175)</f>
        <v>40.200000000000003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</v>
      </c>
      <c r="G190" s="40">
        <f>G176+G189</f>
        <v>40.200000000000003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H165" sqref="H1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0.14446053240681067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0.3437660879623663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0.71112719907347732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/>
      <c r="J164" s="26"/>
      <c r="K164" s="29">
        <v>0.38472222222222224</v>
      </c>
      <c r="L164" s="29"/>
      <c r="M164" s="30">
        <f t="shared" ref="M164:M175" ca="1" si="37">IFERROR(IF(K164="","",IF(L164="",MOD(NOW()-K164,1),IF(L164&gt;=K164,L164-K164,L164+1-K164))),"")</f>
        <v>9.043865735293366E-3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33</v>
      </c>
      <c r="G176" s="36">
        <f>SUM(G164:G175)</f>
        <v>149</v>
      </c>
      <c r="H176" s="37"/>
      <c r="I176" s="37"/>
      <c r="J176" s="37"/>
      <c r="K176" s="61"/>
      <c r="L176" s="61"/>
      <c r="M176" s="38">
        <f ca="1">IFERROR(SUM(M164:M175),"")</f>
        <v>9.043865735293366E-3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33</v>
      </c>
      <c r="G190" s="40">
        <f>G176+G189</f>
        <v>149</v>
      </c>
      <c r="H190" s="41"/>
      <c r="I190" s="41"/>
      <c r="J190" s="41"/>
      <c r="K190" s="63"/>
      <c r="L190" s="63"/>
      <c r="M190" s="42">
        <f ca="1">IFERROR(M176+M189,"")</f>
        <v>9.043865735293366E-3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2026-07-07T13:27:35Z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