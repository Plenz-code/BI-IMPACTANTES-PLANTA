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22" documentId="8_{AF585B22-221D-4780-BB9C-493D365A6A02}" xr6:coauthVersionLast="47" xr6:coauthVersionMax="47" xr10:uidLastSave="{89758C12-1594-4ACF-BDD2-95B056CCE60E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<sst xmlns="http://schemas.openxmlformats.org/spreadsheetml/2006/main" count="6139" uniqueCount="315">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</sst>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4" sqref="F37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106</v>
      </c>
      <c r="G378" s="36">
        <f>SUM(G366:G377)</f>
        <v>530</v>
      </c>
      <c r="H378" s="37"/>
      <c r="I378" s="37"/>
      <c r="J378" s="37"/>
      <c r="K378" s="37"/>
      <c r="L378" s="37"/>
      <c r="M378" s="38">
        <f ca="1">IFERROR(SUM(M366:M377),"")</f>
        <v>1.9444444444444445E-2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381</v>
      </c>
      <c r="G379" s="40">
        <f>G365+G378</f>
        <v>1905</v>
      </c>
      <c r="H379" s="41"/>
      <c r="I379" s="41"/>
      <c r="J379" s="41"/>
      <c r="K379" s="41"/>
      <c r="L379" s="41"/>
      <c r="M379" s="42">
        <f ca="1">IFERROR(M365+M378,"")</f>
        <v>0.11041666666666657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F374" sqref="F3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88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0.10555555555555556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246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0.21527777777777773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64" zoomScale="50" zoomScaleNormal="50" workbookViewId="0">
      <selection activeCell="F374" sqref="F3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87</v>
      </c>
      <c r="G378" s="36">
        <f>SUM(G366:G377)</f>
        <v>365.40000000000003</v>
      </c>
      <c r="H378" s="37"/>
      <c r="I378" s="37"/>
      <c r="J378" s="37"/>
      <c r="K378" s="37"/>
      <c r="L378" s="37"/>
      <c r="M378" s="38">
        <f ca="1">IFERROR(SUM(M366:M377),"")</f>
        <v>1.2499999999999956E-2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96</v>
      </c>
      <c r="G379" s="40">
        <f>G365+G378</f>
        <v>403.20000000000005</v>
      </c>
      <c r="H379" s="41"/>
      <c r="I379" s="41"/>
      <c r="J379" s="41"/>
      <c r="K379" s="41"/>
      <c r="L379" s="41"/>
      <c r="M379" s="42">
        <f ca="1">IFERROR(M365+M378,"")</f>
        <v>0.44374999999999992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K376" sqref="K37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0.88717812500544824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1.0864836805610039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1.4538447916721149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/>
      <c r="M375" s="35">
        <f t="shared" ca="1" si="82"/>
        <v>5.928124999627471E-3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122</v>
      </c>
      <c r="G378" s="36">
        <f>SUM(G366:G377)</f>
        <v>512.4</v>
      </c>
      <c r="H378" s="37"/>
      <c r="I378" s="37"/>
      <c r="J378" s="37"/>
      <c r="K378" s="61"/>
      <c r="L378" s="61"/>
      <c r="M378" s="38">
        <f ca="1">IFERROR(SUM(M366:M377),"")</f>
        <v>5.8705902777405353E-2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247</v>
      </c>
      <c r="G379" s="40">
        <f>G365+G378</f>
        <v>1037.4000000000001</v>
      </c>
      <c r="H379" s="41"/>
      <c r="I379" s="41"/>
      <c r="J379" s="41"/>
      <c r="K379" s="63"/>
      <c r="L379" s="63"/>
      <c r="M379" s="42">
        <f ca="1">IFERROR(M365+M378,"")</f>
        <v>0.16356701388851652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2026-07-15T07:16:42Z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