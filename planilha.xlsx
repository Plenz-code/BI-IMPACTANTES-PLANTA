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9592" documentId="8_{AF585B22-221D-4780-BB9C-493D365A6A02}" xr6:coauthVersionLast="47" xr6:coauthVersionMax="47" xr10:uidLastSave="{A72E3AB0-F024-4FAD-BDBF-DE71FD296ED3}"/>
  <bookViews>
    <workbookView xWindow="-110" yWindow="-110" windowWidth="25820" windowHeight="15500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66" i="3" l="1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<sst xmlns="http://schemas.openxmlformats.org/spreadsheetml/2006/main" count="8400" uniqueCount="362">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</sst>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0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8" activeCellId="1" sqref="G24:G34 G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4" t="s">
        <v>0</v>
      </c>
      <c r="B1" s="104"/>
      <c r="C1" s="104"/>
      <c r="D1" s="104"/>
      <c r="E1" s="104"/>
      <c r="F1" s="104"/>
      <c r="G1" s="104"/>
    </row>
    <row r="2" spans="1:7" ht="24.75" customHeight="1">
      <c r="A2" s="105"/>
      <c r="B2" s="105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1162570</v>
      </c>
      <c r="D23" s="11">
        <f>IFERROR('Linha 1'!O541,"")</f>
        <v>826410</v>
      </c>
      <c r="E23" s="11">
        <f>IFERROR('Linha 2'!O541,"")</f>
        <v>234850</v>
      </c>
      <c r="F23" s="11">
        <f>IFERROR('Linha 3'!O541,"")</f>
        <v>362510</v>
      </c>
      <c r="G23" s="12">
        <f t="shared" si="0"/>
        <v>1423770</v>
      </c>
    </row>
    <row r="24" spans="1:7" ht="15.75" customHeight="1">
      <c r="A24" s="7">
        <v>21</v>
      </c>
      <c r="B24" s="72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6" t="s">
        <v>9</v>
      </c>
      <c r="B35" s="106"/>
      <c r="C35" s="13">
        <f>IFERROR(SUM(C4:C34),"")</f>
        <v>61145011</v>
      </c>
      <c r="D35" s="13">
        <f>IFERROR(SUM(D4:D34),"")</f>
        <v>23219750</v>
      </c>
      <c r="E35" s="13">
        <f>IFERROR(SUM(E4:E34),"")</f>
        <v>13645120</v>
      </c>
      <c r="F35" s="13">
        <f>IFERROR(SUM(F4:F34),"")</f>
        <v>27236870</v>
      </c>
      <c r="G35" s="13">
        <f>IFERROR(SUM(G4:G34),"")</f>
        <v>64101740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2" zoomScale="85" zoomScaleNormal="85" workbookViewId="0">
      <selection activeCell="K73" sqref="K7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7" t="s">
        <v>10</v>
      </c>
      <c r="B1" s="107"/>
      <c r="C1" s="107"/>
      <c r="D1" s="107"/>
      <c r="E1" s="107"/>
      <c r="F1" s="107"/>
      <c r="G1" s="107"/>
      <c r="H1" s="108"/>
      <c r="I1" s="109" t="s">
        <v>11</v>
      </c>
      <c r="J1" s="109"/>
      <c r="K1" s="109"/>
      <c r="L1" s="109"/>
      <c r="M1" s="109"/>
    </row>
    <row r="2" spans="1:13" ht="4.5" customHeight="1">
      <c r="H2" s="108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8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8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8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8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8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8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8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8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8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8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8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8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8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8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8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8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8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8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8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8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8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8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8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8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8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8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8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8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8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8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8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8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8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8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8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8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8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8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8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8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8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8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8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8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8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8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8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8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8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8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8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8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8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8"/>
      <c r="I56" s="16"/>
      <c r="J56" s="16"/>
      <c r="K56" s="16" t="s">
        <v>202</v>
      </c>
      <c r="L56" s="16"/>
      <c r="M56" s="16"/>
    </row>
    <row r="57" spans="1:13" ht="15" customHeight="1">
      <c r="H57" s="108"/>
      <c r="I57" s="17"/>
      <c r="J57" s="17"/>
      <c r="K57" s="17" t="s">
        <v>50</v>
      </c>
      <c r="L57" s="17"/>
      <c r="M57" s="17"/>
    </row>
    <row r="58" spans="1:13" ht="15" customHeight="1">
      <c r="H58" s="108"/>
      <c r="I58" s="16"/>
      <c r="J58" s="16"/>
      <c r="K58" s="16" t="s">
        <v>203</v>
      </c>
      <c r="L58" s="16"/>
      <c r="M58" s="16"/>
    </row>
    <row r="59" spans="1:13" ht="15" customHeight="1">
      <c r="H59" s="108"/>
      <c r="I59" s="17"/>
      <c r="J59" s="17"/>
      <c r="K59" s="17" t="s">
        <v>204</v>
      </c>
      <c r="L59" s="17"/>
      <c r="M59" s="17"/>
    </row>
    <row r="60" spans="1:13" ht="15" customHeight="1">
      <c r="H60" s="108"/>
      <c r="I60" s="16"/>
      <c r="J60" s="16"/>
      <c r="K60" s="86" t="s">
        <v>105</v>
      </c>
      <c r="L60" s="16"/>
      <c r="M60" s="16"/>
    </row>
    <row r="61" spans="1:13" ht="15" customHeight="1">
      <c r="H61" s="108"/>
      <c r="I61" s="17"/>
      <c r="J61" s="17"/>
      <c r="K61" s="17" t="s">
        <v>205</v>
      </c>
      <c r="L61" s="17"/>
      <c r="M61" s="17"/>
    </row>
    <row r="62" spans="1:13" ht="15" customHeight="1">
      <c r="H62" s="108"/>
      <c r="I62" s="16"/>
      <c r="J62" s="16"/>
      <c r="K62" s="16" t="s">
        <v>206</v>
      </c>
      <c r="L62" s="16"/>
      <c r="M62" s="16"/>
    </row>
    <row r="63" spans="1:13" ht="15" customHeight="1">
      <c r="H63" s="108"/>
      <c r="I63" s="17"/>
      <c r="J63" s="17"/>
      <c r="K63" s="17" t="s">
        <v>207</v>
      </c>
      <c r="L63" s="17"/>
      <c r="M63" s="17"/>
    </row>
    <row r="64" spans="1:13" ht="15" customHeight="1">
      <c r="H64" s="108"/>
      <c r="I64" s="16"/>
      <c r="J64" s="16"/>
      <c r="K64" s="16" t="s">
        <v>208</v>
      </c>
      <c r="L64" s="16"/>
      <c r="M64" s="16"/>
    </row>
    <row r="65" spans="8:13" ht="15" customHeight="1">
      <c r="H65" s="108"/>
      <c r="I65" s="17"/>
      <c r="J65" s="17"/>
      <c r="K65" s="17" t="s">
        <v>209</v>
      </c>
      <c r="L65" s="17"/>
      <c r="M65" s="17"/>
    </row>
    <row r="66" spans="8:13" ht="15" customHeight="1">
      <c r="H66" s="108"/>
      <c r="I66" s="16"/>
      <c r="J66" s="16"/>
      <c r="K66" s="16" t="s">
        <v>210</v>
      </c>
      <c r="L66" s="16"/>
      <c r="M66" s="16"/>
    </row>
    <row r="67" spans="8:13" ht="15" customHeight="1">
      <c r="H67" s="108"/>
      <c r="I67" s="17"/>
      <c r="J67" s="17"/>
      <c r="K67" s="17" t="s">
        <v>211</v>
      </c>
      <c r="L67" s="17"/>
      <c r="M67" s="17"/>
    </row>
    <row r="68" spans="8:13" ht="15" customHeight="1">
      <c r="H68" s="108"/>
      <c r="I68" s="16"/>
      <c r="J68" s="16"/>
      <c r="K68" s="16" t="s">
        <v>212</v>
      </c>
      <c r="L68" s="16"/>
      <c r="M68" s="16"/>
    </row>
    <row r="69" spans="8:13" ht="15" customHeight="1">
      <c r="H69" s="108"/>
      <c r="I69" s="17"/>
      <c r="J69" s="17"/>
      <c r="K69" s="17" t="s">
        <v>213</v>
      </c>
      <c r="L69" s="17"/>
      <c r="M69" s="17"/>
    </row>
    <row r="70" spans="8:13" ht="15" customHeight="1">
      <c r="H70" s="108"/>
      <c r="I70" s="16"/>
      <c r="J70" s="16"/>
      <c r="K70" s="16" t="s">
        <v>214</v>
      </c>
      <c r="L70" s="16"/>
      <c r="M70" s="16"/>
    </row>
    <row r="71" spans="8:13" ht="15" customHeight="1">
      <c r="H71" s="108"/>
      <c r="I71" s="17"/>
      <c r="J71" s="17"/>
      <c r="K71" s="17" t="s">
        <v>215</v>
      </c>
      <c r="L71" s="17"/>
      <c r="M71" s="17"/>
    </row>
    <row r="72" spans="8:13" ht="15" customHeight="1">
      <c r="H72" s="108"/>
      <c r="I72" s="16"/>
      <c r="J72" s="16"/>
      <c r="K72" s="16" t="s">
        <v>216</v>
      </c>
      <c r="L72" s="16"/>
      <c r="M72" s="16"/>
    </row>
    <row r="73" spans="8:13" ht="15" customHeight="1">
      <c r="H73" s="108"/>
      <c r="I73" s="17"/>
      <c r="J73" s="17"/>
      <c r="K73" s="17"/>
      <c r="L73" s="17"/>
      <c r="M73" s="17"/>
    </row>
    <row r="74" spans="8:13" ht="15" customHeight="1">
      <c r="H74" s="108"/>
      <c r="I74" s="16"/>
      <c r="J74" s="16"/>
      <c r="K74" s="16"/>
      <c r="L74" s="16"/>
      <c r="M74" s="16"/>
    </row>
    <row r="75" spans="8:13" ht="15" customHeight="1">
      <c r="H75" s="108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96" activePane="bottomLeft" state="frozen"/>
      <selection pane="bottomLeft" activeCell="F533" sqref="F53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8.2851562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227</v>
      </c>
      <c r="E2" s="59" t="s">
        <v>228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229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231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228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228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228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228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228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228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228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228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228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228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231</v>
      </c>
      <c r="O27" s="39">
        <v>1183060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234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228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228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235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228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228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228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228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228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228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231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228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228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228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228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228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228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228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228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228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228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231</v>
      </c>
      <c r="O54" s="39">
        <v>959290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234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228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228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228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228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228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228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228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228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228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228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228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228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231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228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228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236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228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228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228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228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228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228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228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231</v>
      </c>
      <c r="O81" s="39">
        <v>878050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234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228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228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231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231</v>
      </c>
      <c r="O108" s="39">
        <v>1700000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234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228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228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228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228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228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228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228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228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228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228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228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228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231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231</v>
      </c>
      <c r="O135" s="39">
        <v>862330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234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231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228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228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228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228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228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228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228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228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228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228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231</v>
      </c>
      <c r="O162" s="44">
        <v>1546080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234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228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228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228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228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228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228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228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228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228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228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228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231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228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228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228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228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228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228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228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228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228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228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228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228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231</v>
      </c>
      <c r="O189" s="39">
        <v>2355810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234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228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228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228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228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228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228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228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228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228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228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228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228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231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228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228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228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228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228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228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228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228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228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228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228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231</v>
      </c>
      <c r="O216" s="45">
        <v>2013260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234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228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228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228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228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228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228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228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228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228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228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228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231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228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228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228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228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228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228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228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228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228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231</v>
      </c>
      <c r="O243" s="39">
        <v>1545480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234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228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228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228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228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228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228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228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228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228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228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228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228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231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228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228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228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228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228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228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228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228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228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228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228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231</v>
      </c>
      <c r="O270" s="39">
        <v>1182690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234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228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228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228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228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228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228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228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228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228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228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228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228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231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228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241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228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228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228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242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228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242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228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242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228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242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228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242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228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242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228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242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228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242</v>
      </c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231</v>
      </c>
      <c r="O297" s="39">
        <v>1843460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234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228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243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228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228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244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228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228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228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228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228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228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228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231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245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228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245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245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245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228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245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231</v>
      </c>
      <c r="O324" s="39">
        <v>1940000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234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228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246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228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228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228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228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228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228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228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228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228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231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228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228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228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228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228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228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228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228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228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228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228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228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231</v>
      </c>
      <c r="O351" s="39">
        <v>701874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234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228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247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228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228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228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228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228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228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228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228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228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228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228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231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228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228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228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228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228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228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228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228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228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228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228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231</v>
      </c>
      <c r="O378" s="39">
        <v>1088710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234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228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209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228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248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228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249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228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228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228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228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228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228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228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228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231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228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228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250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228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228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228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228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228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228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228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228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228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231</v>
      </c>
      <c r="O405" s="39">
        <v>1202270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234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228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251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228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228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252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228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228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228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228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228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253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253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228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231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228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228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228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228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228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228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228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228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228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228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228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231</v>
      </c>
      <c r="O432" s="39">
        <v>1801910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234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228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213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254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228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228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228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228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228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228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228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228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231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255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214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255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255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255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255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255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255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255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255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255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255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255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231</v>
      </c>
      <c r="O459" s="39">
        <v>2675000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234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231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231</v>
      </c>
      <c r="O486" s="39">
        <v>2310070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228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228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228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228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228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231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228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228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228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228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228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228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228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228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228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228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228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231</v>
      </c>
      <c r="O513" s="39">
        <v>1298429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234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228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256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228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228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228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228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228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228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228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228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228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228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228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231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228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228</v>
      </c>
      <c r="F529" s="27">
        <v>21</v>
      </c>
      <c r="G529" s="34">
        <f t="shared" si="117"/>
        <v>105</v>
      </c>
      <c r="H529" s="33"/>
      <c r="I529" s="33"/>
      <c r="J529" s="33"/>
      <c r="K529" s="29"/>
      <c r="L529" s="29"/>
      <c r="M529" s="35" t="str">
        <f t="shared" ref="M528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228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228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228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228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228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228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228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228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228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228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115</v>
      </c>
      <c r="G540" s="36">
        <f>SUM(G528:G539)</f>
        <v>575</v>
      </c>
      <c r="H540" s="37"/>
      <c r="I540" s="37"/>
      <c r="J540" s="37"/>
      <c r="K540" s="37"/>
      <c r="L540" s="37"/>
      <c r="M540" s="38">
        <f ca="1">IFERROR(SUM(M528:M539),"")</f>
        <v>3.3333333333333333E-2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289</v>
      </c>
      <c r="G541" s="40">
        <f>G527+G540</f>
        <v>1445</v>
      </c>
      <c r="H541" s="41"/>
      <c r="I541" s="41"/>
      <c r="J541" s="41"/>
      <c r="K541" s="41"/>
      <c r="L541" s="41"/>
      <c r="M541" s="42">
        <f ca="1">IFERROR(M527+M540,"")</f>
        <v>0.22986111111111107</v>
      </c>
      <c r="N541" s="40" t="s">
        <v>234</v>
      </c>
      <c r="O541" s="48">
        <f>IFERROR(O527+O540,"")</f>
        <v>1162570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59" t="s">
        <v>228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06" activePane="bottomLeft" state="frozen"/>
      <selection pane="bottomLeft" activeCell="F532" sqref="F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231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231</v>
      </c>
      <c r="O27" s="77">
        <v>393200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234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257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231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255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84">
        <v>276360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234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259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231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231</v>
      </c>
      <c r="O81" s="54">
        <v>787860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234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231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231</v>
      </c>
      <c r="O108" s="54">
        <v>1087080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234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231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246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231</v>
      </c>
      <c r="O135" s="54">
        <v>794480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234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231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231</v>
      </c>
      <c r="O162" s="54">
        <v>882280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234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231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231</v>
      </c>
      <c r="O189" s="77"/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234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231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231</v>
      </c>
      <c r="O216" s="77">
        <v>648410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234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230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231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204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231</v>
      </c>
      <c r="O243" s="77">
        <v>849060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234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231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228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231</v>
      </c>
      <c r="O270" s="77">
        <v>625070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234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231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231</v>
      </c>
      <c r="O297" s="77">
        <v>761660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234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231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231</v>
      </c>
      <c r="O324" s="77">
        <v>524410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234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255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228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255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255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255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255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255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255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255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231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231</v>
      </c>
      <c r="O351" s="77">
        <v>598420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234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231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0.76116203703713836</v>
      </c>
      <c r="N377" s="46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0.91880092592602725</v>
      </c>
      <c r="N378" s="36" t="s">
        <v>231</v>
      </c>
      <c r="O378" s="77">
        <v>511980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1.0285231481482495</v>
      </c>
      <c r="N379" s="40" t="s">
        <v>234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210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231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255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246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231</v>
      </c>
      <c r="O405" s="77">
        <v>552440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234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228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255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231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0.73963425926194759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0.91046759259528098</v>
      </c>
      <c r="N432" s="36" t="s">
        <v>231</v>
      </c>
      <c r="O432" s="77">
        <v>484540</v>
      </c>
    </row>
    <row r="433" spans="1:15" ht="18" customHeight="1">
      <c r="A433" s="93" t="s">
        <v>233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1.0556064814841699</v>
      </c>
      <c r="N433" s="40" t="s">
        <v>234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231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231</v>
      </c>
      <c r="O459" s="77">
        <v>631190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234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296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231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297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231</v>
      </c>
      <c r="O486" s="77">
        <v>969510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234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298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255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130</v>
      </c>
      <c r="G500" s="36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231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124</v>
      </c>
      <c r="G513" s="36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231</v>
      </c>
      <c r="O513" s="77">
        <v>556040</v>
      </c>
    </row>
    <row r="514" spans="1:15" ht="18" customHeight="1">
      <c r="A514" s="93" t="s">
        <v>233</v>
      </c>
      <c r="B514" s="91"/>
      <c r="C514" s="91"/>
      <c r="D514" s="91"/>
      <c r="E514" s="91"/>
      <c r="F514" s="40">
        <f>F500+F513</f>
        <v>254</v>
      </c>
      <c r="G514" s="40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234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299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184</v>
      </c>
      <c r="G527" s="36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231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15</v>
      </c>
      <c r="G530" s="28">
        <f t="shared" si="117"/>
        <v>63</v>
      </c>
      <c r="H530" s="26" t="s">
        <v>20</v>
      </c>
      <c r="I530" s="26"/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6</v>
      </c>
      <c r="G531" s="34">
        <f t="shared" si="117"/>
        <v>25.200000000000003</v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51</v>
      </c>
      <c r="G540" s="36">
        <f>SUM(G528:G539)</f>
        <v>214.2</v>
      </c>
      <c r="H540" s="37"/>
      <c r="I540" s="37"/>
      <c r="J540" s="37"/>
      <c r="K540" s="37"/>
      <c r="L540" s="37"/>
      <c r="M540" s="38">
        <f ca="1">IFERROR(SUM(M528:M539),"")</f>
        <v>4.3055555555555625E-2</v>
      </c>
      <c r="N540" s="36" t="s">
        <v>231</v>
      </c>
      <c r="O540" s="77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235</v>
      </c>
      <c r="G541" s="40">
        <f>G527+G540</f>
        <v>987</v>
      </c>
      <c r="H541" s="41"/>
      <c r="I541" s="41"/>
      <c r="J541" s="41"/>
      <c r="K541" s="41"/>
      <c r="L541" s="41"/>
      <c r="M541" s="42">
        <f ca="1">IFERROR(M527+M540,"")</f>
        <v>0.1305555555555557</v>
      </c>
      <c r="N541" s="40" t="s">
        <v>234</v>
      </c>
      <c r="O541" s="83">
        <f>IFERROR(O527+O540,"")</f>
        <v>826410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77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77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77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77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77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77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77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77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77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00" zoomScale="50" zoomScaleNormal="50" workbookViewId="0">
      <selection activeCell="F532" sqref="F5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2.7109375" style="20" customWidth="1"/>
    <col min="15" max="15" width="14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300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301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231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231</v>
      </c>
      <c r="O27" s="39">
        <v>308500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234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302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231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231</v>
      </c>
      <c r="O54" s="39">
        <v>124290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234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303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231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231</v>
      </c>
      <c r="O81" s="39">
        <v>396340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234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228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228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228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304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228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231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231</v>
      </c>
      <c r="O108" s="39">
        <v>41230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234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231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231</v>
      </c>
      <c r="O135" s="39">
        <v>381250</v>
      </c>
    </row>
    <row r="136" spans="1:15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234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305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270</v>
      </c>
      <c r="K141" s="29">
        <v>0.71597222222222223</v>
      </c>
      <c r="L141" s="29" t="s">
        <v>306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228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228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228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228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231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307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231</v>
      </c>
      <c r="O162" s="39">
        <v>337120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234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308</v>
      </c>
      <c r="N166" s="27" t="s">
        <v>309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231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231</v>
      </c>
      <c r="O189" s="39">
        <v>747210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234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310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231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231</v>
      </c>
      <c r="O216" s="39">
        <v>468430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234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231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231</v>
      </c>
      <c r="O243" s="39">
        <v>575930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234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206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255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255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231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311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312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231</v>
      </c>
      <c r="O270" s="39">
        <v>483510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234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231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313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255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314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255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231</v>
      </c>
      <c r="O297" s="39">
        <v>487980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234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315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228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231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255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316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317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231</v>
      </c>
      <c r="O324" s="39">
        <v>609460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234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255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255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255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255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228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255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305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255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255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255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255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255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255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8" t="s">
        <v>230</v>
      </c>
      <c r="B338" s="99"/>
      <c r="C338" s="99"/>
      <c r="D338" s="99"/>
      <c r="E338" s="100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231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231</v>
      </c>
      <c r="O351" s="39">
        <v>437940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234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255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255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8" t="s">
        <v>230</v>
      </c>
      <c r="B365" s="99"/>
      <c r="C365" s="99"/>
      <c r="D365" s="99"/>
      <c r="E365" s="100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231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255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255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255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231</v>
      </c>
      <c r="O378" s="39">
        <v>473310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234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255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255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255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255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255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255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255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255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255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231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231</v>
      </c>
      <c r="O405" s="39">
        <v>507450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234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255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255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255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255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255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255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255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228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228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255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255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231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228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231</v>
      </c>
      <c r="O432" s="39">
        <v>229150</v>
      </c>
    </row>
    <row r="433" spans="1:15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234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319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231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228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231</v>
      </c>
      <c r="O459" s="39">
        <v>409980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234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228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228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228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228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231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231</v>
      </c>
      <c r="O486" s="39">
        <v>341550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234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320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228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228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228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228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255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255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255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255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255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255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231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231</v>
      </c>
      <c r="O513" s="39">
        <v>276610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234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231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321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/>
      <c r="M532" s="30">
        <f t="shared" ca="1" si="118"/>
        <v>3.060648148675682E-2</v>
      </c>
      <c r="N532" s="27" t="s">
        <v>322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19</v>
      </c>
      <c r="G540" s="36">
        <f>SUM(G528:G539)</f>
        <v>79.800000000000011</v>
      </c>
      <c r="H540" s="37"/>
      <c r="I540" s="37"/>
      <c r="J540" s="37"/>
      <c r="K540" s="37"/>
      <c r="L540" s="37"/>
      <c r="M540" s="38">
        <f ca="1">IFERROR(SUM(M528:M539),"")</f>
        <v>6.6023148153423361E-2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70</v>
      </c>
      <c r="G541" s="40">
        <f>G527+G540</f>
        <v>294.00000000000006</v>
      </c>
      <c r="H541" s="41"/>
      <c r="I541" s="41"/>
      <c r="J541" s="41"/>
      <c r="K541" s="41"/>
      <c r="L541" s="41"/>
      <c r="M541" s="42">
        <f ca="1">IFERROR(M527+M540,"")</f>
        <v>0.17018981482008994</v>
      </c>
      <c r="N541" s="40" t="s">
        <v>234</v>
      </c>
      <c r="O541" s="48">
        <f>IFERROR(O527+O540,"")</f>
        <v>234850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05" activePane="bottomLeft" state="frozen"/>
      <selection pane="bottomLeft" activeCell="F532" sqref="F53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73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217</v>
      </c>
      <c r="C1" s="23" t="s">
        <v>12</v>
      </c>
      <c r="D1" s="22" t="s">
        <v>13</v>
      </c>
      <c r="E1" s="22" t="s">
        <v>218</v>
      </c>
      <c r="F1" s="23" t="s">
        <v>219</v>
      </c>
      <c r="G1" s="23" t="s">
        <v>220</v>
      </c>
      <c r="H1" s="23" t="s">
        <v>14</v>
      </c>
      <c r="I1" s="23" t="s">
        <v>15</v>
      </c>
      <c r="J1" s="23" t="s">
        <v>221</v>
      </c>
      <c r="K1" s="23" t="s">
        <v>222</v>
      </c>
      <c r="L1" s="23" t="s">
        <v>223</v>
      </c>
      <c r="M1" s="24" t="s">
        <v>224</v>
      </c>
      <c r="N1" s="23" t="s">
        <v>225</v>
      </c>
      <c r="O1" s="23" t="s">
        <v>226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323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255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8" t="s">
        <v>230</v>
      </c>
      <c r="B14" s="99"/>
      <c r="C14" s="99"/>
      <c r="D14" s="99"/>
      <c r="E14" s="100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231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324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8" t="s">
        <v>232</v>
      </c>
      <c r="B27" s="99"/>
      <c r="C27" s="99"/>
      <c r="D27" s="99"/>
      <c r="E27" s="100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231</v>
      </c>
      <c r="O27" s="39">
        <v>202230</v>
      </c>
    </row>
    <row r="28" spans="1:15" ht="18" customHeight="1">
      <c r="A28" s="101" t="s">
        <v>233</v>
      </c>
      <c r="B28" s="102"/>
      <c r="C28" s="102"/>
      <c r="D28" s="102"/>
      <c r="E28" s="103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234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325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326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255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255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8" t="s">
        <v>230</v>
      </c>
      <c r="B41" s="99"/>
      <c r="C41" s="99"/>
      <c r="D41" s="99"/>
      <c r="E41" s="100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231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8" t="s">
        <v>232</v>
      </c>
      <c r="B54" s="99"/>
      <c r="C54" s="99"/>
      <c r="D54" s="99"/>
      <c r="E54" s="100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231</v>
      </c>
      <c r="O54" s="39">
        <v>473910</v>
      </c>
    </row>
    <row r="55" spans="1:15" ht="18" customHeight="1">
      <c r="A55" s="101" t="s">
        <v>233</v>
      </c>
      <c r="B55" s="102"/>
      <c r="C55" s="102"/>
      <c r="D55" s="102"/>
      <c r="E55" s="103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234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327</v>
      </c>
      <c r="L58" s="29">
        <v>0.54097222222222219</v>
      </c>
      <c r="M58" s="30" t="str">
        <f t="shared" ca="1" si="13"/>
        <v/>
      </c>
      <c r="N58" s="27" t="s">
        <v>328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8" t="s">
        <v>230</v>
      </c>
      <c r="B68" s="99"/>
      <c r="C68" s="99"/>
      <c r="D68" s="99"/>
      <c r="E68" s="100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231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300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255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329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330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331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332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255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8" t="s">
        <v>232</v>
      </c>
      <c r="B81" s="99"/>
      <c r="C81" s="99"/>
      <c r="D81" s="99"/>
      <c r="E81" s="100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231</v>
      </c>
      <c r="O81" s="39">
        <v>565120</v>
      </c>
    </row>
    <row r="82" spans="1:15" ht="18" customHeight="1">
      <c r="A82" s="101" t="s">
        <v>233</v>
      </c>
      <c r="B82" s="102"/>
      <c r="C82" s="102"/>
      <c r="D82" s="102"/>
      <c r="E82" s="103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234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333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228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228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228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228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228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228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228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8" t="s">
        <v>230</v>
      </c>
      <c r="B95" s="99"/>
      <c r="C95" s="99"/>
      <c r="D95" s="99"/>
      <c r="E95" s="100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231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8" t="s">
        <v>232</v>
      </c>
      <c r="B108" s="99"/>
      <c r="C108" s="99"/>
      <c r="D108" s="99"/>
      <c r="E108" s="100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231</v>
      </c>
      <c r="O108" s="39">
        <v>558590</v>
      </c>
    </row>
    <row r="109" spans="1:15" ht="18" customHeight="1">
      <c r="A109" s="101" t="s">
        <v>233</v>
      </c>
      <c r="B109" s="102"/>
      <c r="C109" s="102"/>
      <c r="D109" s="102"/>
      <c r="E109" s="103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234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334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8" t="s">
        <v>230</v>
      </c>
      <c r="B122" s="99"/>
      <c r="C122" s="99"/>
      <c r="D122" s="99"/>
      <c r="E122" s="100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231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228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228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335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228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336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228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228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228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0.75143981481960509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228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228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228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228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228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228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8" t="s">
        <v>232</v>
      </c>
      <c r="B135" s="99"/>
      <c r="C135" s="99"/>
      <c r="D135" s="99"/>
      <c r="E135" s="100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0.95074537037516071</v>
      </c>
      <c r="N135" s="36" t="s">
        <v>231</v>
      </c>
      <c r="O135" s="39">
        <v>729290</v>
      </c>
    </row>
    <row r="136" spans="1:18" ht="18" customHeight="1">
      <c r="A136" s="101" t="s">
        <v>233</v>
      </c>
      <c r="B136" s="102"/>
      <c r="C136" s="102"/>
      <c r="D136" s="102"/>
      <c r="E136" s="103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1.3181064814862717</v>
      </c>
      <c r="N136" s="40" t="s">
        <v>234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228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228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228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337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228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228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228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228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228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228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228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228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228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8" t="s">
        <v>230</v>
      </c>
      <c r="B149" s="99"/>
      <c r="C149" s="99"/>
      <c r="D149" s="99"/>
      <c r="E149" s="100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231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228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305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228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338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8" t="s">
        <v>232</v>
      </c>
      <c r="B162" s="99"/>
      <c r="C162" s="99"/>
      <c r="D162" s="99"/>
      <c r="E162" s="100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231</v>
      </c>
      <c r="O162" s="39">
        <v>697320</v>
      </c>
    </row>
    <row r="163" spans="1:15" ht="18" customHeight="1">
      <c r="A163" s="101" t="s">
        <v>233</v>
      </c>
      <c r="B163" s="102"/>
      <c r="C163" s="102"/>
      <c r="D163" s="102"/>
      <c r="E163" s="103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234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228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255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255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339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8" t="s">
        <v>230</v>
      </c>
      <c r="B176" s="99"/>
      <c r="C176" s="99"/>
      <c r="D176" s="99"/>
      <c r="E176" s="100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231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255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255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8" t="s">
        <v>232</v>
      </c>
      <c r="B189" s="99"/>
      <c r="C189" s="99"/>
      <c r="D189" s="99"/>
      <c r="E189" s="100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231</v>
      </c>
      <c r="O189" s="39">
        <v>973580</v>
      </c>
    </row>
    <row r="190" spans="1:15" ht="18" customHeight="1">
      <c r="A190" s="101" t="s">
        <v>233</v>
      </c>
      <c r="B190" s="102"/>
      <c r="C190" s="102"/>
      <c r="D190" s="102"/>
      <c r="E190" s="103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234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255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255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340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255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341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8" t="s">
        <v>230</v>
      </c>
      <c r="B203" s="99"/>
      <c r="C203" s="99"/>
      <c r="D203" s="99"/>
      <c r="E203" s="100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231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228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342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8" t="s">
        <v>232</v>
      </c>
      <c r="B216" s="99"/>
      <c r="C216" s="99"/>
      <c r="D216" s="99"/>
      <c r="E216" s="100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231</v>
      </c>
      <c r="O216" s="45">
        <v>1060630</v>
      </c>
    </row>
    <row r="217" spans="1:15" ht="18" customHeight="1">
      <c r="A217" s="101" t="s">
        <v>233</v>
      </c>
      <c r="B217" s="102"/>
      <c r="C217" s="102"/>
      <c r="D217" s="102"/>
      <c r="E217" s="103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234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343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344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255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255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345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8" t="s">
        <v>230</v>
      </c>
      <c r="B230" s="99"/>
      <c r="C230" s="99"/>
      <c r="D230" s="99"/>
      <c r="E230" s="100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231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228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346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255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228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228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8" t="s">
        <v>232</v>
      </c>
      <c r="B243" s="99"/>
      <c r="C243" s="99"/>
      <c r="D243" s="99"/>
      <c r="E243" s="100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231</v>
      </c>
      <c r="O243" s="39">
        <v>982340</v>
      </c>
    </row>
    <row r="244" spans="1:15" ht="18" customHeight="1">
      <c r="A244" s="101" t="s">
        <v>233</v>
      </c>
      <c r="B244" s="102"/>
      <c r="C244" s="102"/>
      <c r="D244" s="102"/>
      <c r="E244" s="103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234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347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255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205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255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255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255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255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255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8" t="s">
        <v>230</v>
      </c>
      <c r="B257" s="99"/>
      <c r="C257" s="99"/>
      <c r="D257" s="99"/>
      <c r="E257" s="100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231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255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255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255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255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255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255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255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255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255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255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255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255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8" t="s">
        <v>232</v>
      </c>
      <c r="B270" s="99"/>
      <c r="C270" s="99"/>
      <c r="D270" s="99"/>
      <c r="E270" s="100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231</v>
      </c>
      <c r="O270" s="39">
        <v>1208450</v>
      </c>
    </row>
    <row r="271" spans="1:15" ht="18" customHeight="1">
      <c r="A271" s="101" t="s">
        <v>233</v>
      </c>
      <c r="B271" s="102"/>
      <c r="C271" s="102"/>
      <c r="D271" s="102"/>
      <c r="E271" s="103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234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255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255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255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255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255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255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255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255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255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255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255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255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8" t="s">
        <v>230</v>
      </c>
      <c r="B284" s="99"/>
      <c r="C284" s="99"/>
      <c r="D284" s="99"/>
      <c r="E284" s="100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231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255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255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255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255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228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255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255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255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255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255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255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255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8" t="s">
        <v>232</v>
      </c>
      <c r="B297" s="99"/>
      <c r="C297" s="99"/>
      <c r="D297" s="99"/>
      <c r="E297" s="100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231</v>
      </c>
      <c r="O297" s="39">
        <v>1049090</v>
      </c>
    </row>
    <row r="298" spans="1:15" ht="18" customHeight="1">
      <c r="A298" s="101" t="s">
        <v>233</v>
      </c>
      <c r="B298" s="102"/>
      <c r="C298" s="102"/>
      <c r="D298" s="102"/>
      <c r="E298" s="103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234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255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348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255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207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255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208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255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255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255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255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255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255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255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255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255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8" t="s">
        <v>230</v>
      </c>
      <c r="B311" s="99"/>
      <c r="C311" s="99"/>
      <c r="D311" s="99"/>
      <c r="E311" s="100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231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228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255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255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255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255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255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255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255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255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255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255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228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8" t="s">
        <v>232</v>
      </c>
      <c r="B324" s="99"/>
      <c r="C324" s="99"/>
      <c r="D324" s="99"/>
      <c r="E324" s="100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231</v>
      </c>
      <c r="O324" s="39">
        <v>1063720</v>
      </c>
    </row>
    <row r="325" spans="1:15" ht="18" customHeight="1">
      <c r="A325" s="101" t="s">
        <v>233</v>
      </c>
      <c r="B325" s="102"/>
      <c r="C325" s="102"/>
      <c r="D325" s="102"/>
      <c r="E325" s="103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234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255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255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255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255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228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255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255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255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255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255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255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255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8" t="s">
        <v>230</v>
      </c>
      <c r="B338" s="99"/>
      <c r="C338" s="99"/>
      <c r="D338" s="99"/>
      <c r="E338" s="100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231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255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255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255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255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255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255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349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255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255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255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350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255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255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255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8" t="s">
        <v>232</v>
      </c>
      <c r="B351" s="99"/>
      <c r="C351" s="99"/>
      <c r="D351" s="99"/>
      <c r="E351" s="100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231</v>
      </c>
      <c r="O351" s="39">
        <v>696140</v>
      </c>
    </row>
    <row r="352" spans="1:15" ht="18" customHeight="1">
      <c r="A352" s="101" t="s">
        <v>233</v>
      </c>
      <c r="B352" s="102"/>
      <c r="C352" s="102"/>
      <c r="D352" s="102"/>
      <c r="E352" s="103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234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255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255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255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305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255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255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255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255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255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255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255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255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255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230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231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255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255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255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351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255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255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255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255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255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255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255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255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255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8" t="s">
        <v>232</v>
      </c>
      <c r="B378" s="99"/>
      <c r="C378" s="99"/>
      <c r="D378" s="99"/>
      <c r="E378" s="100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231</v>
      </c>
      <c r="O378" s="39">
        <v>704750</v>
      </c>
    </row>
    <row r="379" spans="1:15" ht="18" customHeight="1">
      <c r="A379" s="101" t="s">
        <v>233</v>
      </c>
      <c r="B379" s="102"/>
      <c r="C379" s="102"/>
      <c r="D379" s="102"/>
      <c r="E379" s="103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234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255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352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255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255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339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255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255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255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255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255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255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255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255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255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8" t="s">
        <v>230</v>
      </c>
      <c r="B392" s="99"/>
      <c r="C392" s="99"/>
      <c r="D392" s="99"/>
      <c r="E392" s="100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231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228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255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353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255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255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255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255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354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255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255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255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255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255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255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8" t="s">
        <v>232</v>
      </c>
      <c r="B405" s="99"/>
      <c r="C405" s="99"/>
      <c r="D405" s="99"/>
      <c r="E405" s="100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231</v>
      </c>
      <c r="O405" s="39">
        <v>958130</v>
      </c>
    </row>
    <row r="406" spans="1:15" ht="18" customHeight="1">
      <c r="A406" s="101" t="s">
        <v>233</v>
      </c>
      <c r="B406" s="102"/>
      <c r="C406" s="102"/>
      <c r="D406" s="102"/>
      <c r="E406" s="103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234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255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255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255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255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255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255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255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255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228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255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255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228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8" t="s">
        <v>230</v>
      </c>
      <c r="B419" s="99"/>
      <c r="C419" s="99"/>
      <c r="D419" s="99"/>
      <c r="E419" s="100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231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255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211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255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255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255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255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255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355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255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255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255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255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255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255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8" t="s">
        <v>232</v>
      </c>
      <c r="B432" s="99"/>
      <c r="C432" s="99"/>
      <c r="D432" s="99"/>
      <c r="E432" s="100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231</v>
      </c>
      <c r="O432" s="39">
        <v>605220</v>
      </c>
    </row>
    <row r="433" spans="1:17" ht="18" customHeight="1">
      <c r="A433" s="101" t="s">
        <v>233</v>
      </c>
      <c r="B433" s="102"/>
      <c r="C433" s="102"/>
      <c r="D433" s="102"/>
      <c r="E433" s="103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234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255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212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255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255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255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255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255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255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255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255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255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255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255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8" t="s">
        <v>230</v>
      </c>
      <c r="B446" s="99"/>
      <c r="C446" s="99"/>
      <c r="D446" s="99"/>
      <c r="E446" s="100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231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228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228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228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356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228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228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228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228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228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215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228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228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228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8" t="s">
        <v>232</v>
      </c>
      <c r="B459" s="99"/>
      <c r="C459" s="99"/>
      <c r="D459" s="99"/>
      <c r="E459" s="100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231</v>
      </c>
      <c r="O459" s="39">
        <v>615330</v>
      </c>
    </row>
    <row r="460" spans="1:15" ht="18" customHeight="1">
      <c r="A460" s="101" t="s">
        <v>233</v>
      </c>
      <c r="B460" s="102"/>
      <c r="C460" s="102"/>
      <c r="D460" s="102"/>
      <c r="E460" s="103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234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228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357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228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358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228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228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228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332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228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228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228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228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228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228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228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8" t="s">
        <v>230</v>
      </c>
      <c r="B473" s="99"/>
      <c r="C473" s="99"/>
      <c r="D473" s="99"/>
      <c r="E473" s="100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231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228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228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228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228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228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228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228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228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228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228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228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228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8" t="s">
        <v>232</v>
      </c>
      <c r="B486" s="99"/>
      <c r="C486" s="99"/>
      <c r="D486" s="99"/>
      <c r="E486" s="100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231</v>
      </c>
      <c r="O486" s="39">
        <v>1120830</v>
      </c>
    </row>
    <row r="487" spans="1:15" ht="18" customHeight="1">
      <c r="A487" s="101" t="s">
        <v>233</v>
      </c>
      <c r="B487" s="102"/>
      <c r="C487" s="102"/>
      <c r="D487" s="102"/>
      <c r="E487" s="103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234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228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228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332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228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228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228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228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255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255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255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255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255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255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8" t="s">
        <v>230</v>
      </c>
      <c r="B500" s="99"/>
      <c r="C500" s="99"/>
      <c r="D500" s="99"/>
      <c r="E500" s="100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231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255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228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255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359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255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255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255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255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255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255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255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255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255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8" t="s">
        <v>232</v>
      </c>
      <c r="B513" s="99"/>
      <c r="C513" s="99"/>
      <c r="D513" s="99"/>
      <c r="E513" s="100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231</v>
      </c>
      <c r="O513" s="39">
        <v>416720</v>
      </c>
    </row>
    <row r="514" spans="1:15" ht="18" customHeight="1">
      <c r="A514" s="101" t="s">
        <v>233</v>
      </c>
      <c r="B514" s="102"/>
      <c r="C514" s="102"/>
      <c r="D514" s="102"/>
      <c r="E514" s="103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234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255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216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360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255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255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361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255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255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255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255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255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255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255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255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255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8" t="s">
        <v>230</v>
      </c>
      <c r="B527" s="99"/>
      <c r="C527" s="99"/>
      <c r="D527" s="99"/>
      <c r="E527" s="100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231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255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255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255</v>
      </c>
      <c r="F530" s="27">
        <v>5</v>
      </c>
      <c r="G530" s="28">
        <f t="shared" si="117"/>
        <v>21</v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255</v>
      </c>
      <c r="F531" s="27">
        <v>0</v>
      </c>
      <c r="G531" s="34">
        <f t="shared" si="117"/>
        <v>0</v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255</v>
      </c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255</v>
      </c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255</v>
      </c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255</v>
      </c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255</v>
      </c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255</v>
      </c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255</v>
      </c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255</v>
      </c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8" t="s">
        <v>232</v>
      </c>
      <c r="B540" s="99"/>
      <c r="C540" s="99"/>
      <c r="D540" s="99"/>
      <c r="E540" s="100">
        <f>SUM(E528:E539)</f>
        <v>0</v>
      </c>
      <c r="F540" s="36">
        <f>SUM(F528:F539)</f>
        <v>32</v>
      </c>
      <c r="G540" s="36">
        <f>SUM(G528:G539)</f>
        <v>134.4</v>
      </c>
      <c r="H540" s="37"/>
      <c r="I540" s="37"/>
      <c r="J540" s="37"/>
      <c r="K540" s="61"/>
      <c r="L540" s="61"/>
      <c r="M540" s="38">
        <f ca="1">IFERROR(SUM(M528:M539),"")</f>
        <v>3.3333333333333326E-2</v>
      </c>
      <c r="N540" s="36" t="s">
        <v>231</v>
      </c>
      <c r="O540" s="39"/>
    </row>
    <row r="541" spans="1:15" ht="18" customHeight="1">
      <c r="A541" s="101" t="s">
        <v>233</v>
      </c>
      <c r="B541" s="102"/>
      <c r="C541" s="102"/>
      <c r="D541" s="102"/>
      <c r="E541" s="103">
        <f>E527+E540</f>
        <v>0</v>
      </c>
      <c r="F541" s="40">
        <f>F527+F540</f>
        <v>112</v>
      </c>
      <c r="G541" s="40">
        <f>G527+G540</f>
        <v>470.40000000000009</v>
      </c>
      <c r="H541" s="41"/>
      <c r="I541" s="41"/>
      <c r="J541" s="41"/>
      <c r="K541" s="63"/>
      <c r="L541" s="63"/>
      <c r="M541" s="42">
        <f ca="1">IFERROR(M527+M540,"")</f>
        <v>0.34513888888888883</v>
      </c>
      <c r="N541" s="40" t="s">
        <v>234</v>
      </c>
      <c r="O541" s="48">
        <f>IFERROR(O527+O540,"")</f>
        <v>362510</v>
      </c>
    </row>
    <row r="542" spans="1:15" ht="15" customHeight="1">
      <c r="A542" s="68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8" t="s">
        <v>230</v>
      </c>
      <c r="B554" s="99"/>
      <c r="C554" s="99"/>
      <c r="D554" s="99"/>
      <c r="E554" s="100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231</v>
      </c>
      <c r="O554" s="39"/>
    </row>
    <row r="555" spans="1:15" ht="15" customHeight="1">
      <c r="A555" s="69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69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8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69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8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69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8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69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8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69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8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8" t="s">
        <v>232</v>
      </c>
      <c r="B567" s="99"/>
      <c r="C567" s="99"/>
      <c r="D567" s="99"/>
      <c r="E567" s="100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231</v>
      </c>
      <c r="O567" s="39"/>
    </row>
    <row r="568" spans="1:15" ht="18" customHeight="1">
      <c r="A568" s="101" t="s">
        <v>233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8" t="s">
        <v>230</v>
      </c>
      <c r="B581" s="99"/>
      <c r="C581" s="99"/>
      <c r="D581" s="99"/>
      <c r="E581" s="100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231</v>
      </c>
      <c r="O581" s="39"/>
    </row>
    <row r="582" spans="1:15" ht="15" customHeight="1">
      <c r="A582" s="68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8" t="s">
        <v>232</v>
      </c>
      <c r="B594" s="99"/>
      <c r="C594" s="99"/>
      <c r="D594" s="99"/>
      <c r="E594" s="100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231</v>
      </c>
      <c r="O594" s="39"/>
    </row>
    <row r="595" spans="1:15" ht="18" customHeight="1">
      <c r="A595" s="101" t="s">
        <v>233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8" t="s">
        <v>230</v>
      </c>
      <c r="B608" s="99"/>
      <c r="C608" s="99"/>
      <c r="D608" s="99"/>
      <c r="E608" s="100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231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8" t="s">
        <v>232</v>
      </c>
      <c r="B621" s="99"/>
      <c r="C621" s="99"/>
      <c r="D621" s="99"/>
      <c r="E621" s="100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231</v>
      </c>
      <c r="O621" s="39"/>
    </row>
    <row r="622" spans="1:15" ht="18" customHeight="1">
      <c r="A622" s="101" t="s">
        <v>233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8" t="s">
        <v>230</v>
      </c>
      <c r="B635" s="99"/>
      <c r="C635" s="99"/>
      <c r="D635" s="99"/>
      <c r="E635" s="100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231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8" t="s">
        <v>232</v>
      </c>
      <c r="B648" s="99"/>
      <c r="C648" s="99"/>
      <c r="D648" s="99"/>
      <c r="E648" s="100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231</v>
      </c>
      <c r="O648" s="39"/>
    </row>
    <row r="649" spans="1:15" ht="18" customHeight="1">
      <c r="A649" s="101" t="s">
        <v>233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8" t="s">
        <v>230</v>
      </c>
      <c r="B662" s="99"/>
      <c r="C662" s="99"/>
      <c r="D662" s="99"/>
      <c r="E662" s="100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231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8" t="s">
        <v>232</v>
      </c>
      <c r="B675" s="99"/>
      <c r="C675" s="99"/>
      <c r="D675" s="99"/>
      <c r="E675" s="100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231</v>
      </c>
      <c r="O675" s="39"/>
    </row>
    <row r="676" spans="1:15" ht="18" customHeight="1">
      <c r="A676" s="101" t="s">
        <v>233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8" t="s">
        <v>230</v>
      </c>
      <c r="B689" s="99"/>
      <c r="C689" s="99"/>
      <c r="D689" s="99"/>
      <c r="E689" s="100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231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8" t="s">
        <v>232</v>
      </c>
      <c r="B702" s="99"/>
      <c r="C702" s="99"/>
      <c r="D702" s="99"/>
      <c r="E702" s="100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231</v>
      </c>
      <c r="O702" s="39"/>
    </row>
    <row r="703" spans="1:15" ht="18" customHeight="1">
      <c r="A703" s="101" t="s">
        <v>233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8" t="s">
        <v>230</v>
      </c>
      <c r="B716" s="99"/>
      <c r="C716" s="99"/>
      <c r="D716" s="99"/>
      <c r="E716" s="100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231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8" t="s">
        <v>232</v>
      </c>
      <c r="B729" s="99"/>
      <c r="C729" s="99"/>
      <c r="D729" s="99"/>
      <c r="E729" s="100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231</v>
      </c>
      <c r="O729" s="39"/>
    </row>
    <row r="730" spans="1:15" ht="18" customHeight="1">
      <c r="A730" s="101" t="s">
        <v>233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8" t="s">
        <v>230</v>
      </c>
      <c r="B743" s="99"/>
      <c r="C743" s="99"/>
      <c r="D743" s="99"/>
      <c r="E743" s="100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231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8" t="s">
        <v>232</v>
      </c>
      <c r="B756" s="99"/>
      <c r="C756" s="99"/>
      <c r="D756" s="99"/>
      <c r="E756" s="100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231</v>
      </c>
      <c r="O756" s="39"/>
    </row>
    <row r="757" spans="1:15" ht="18" customHeight="1">
      <c r="A757" s="101" t="s">
        <v>233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8" t="s">
        <v>230</v>
      </c>
      <c r="B770" s="99"/>
      <c r="C770" s="99"/>
      <c r="D770" s="99"/>
      <c r="E770" s="100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231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8" t="s">
        <v>232</v>
      </c>
      <c r="B783" s="99"/>
      <c r="C783" s="99"/>
      <c r="D783" s="99"/>
      <c r="E783" s="100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231</v>
      </c>
      <c r="O783" s="39"/>
    </row>
    <row r="784" spans="1:15" ht="18" customHeight="1">
      <c r="A784" s="101" t="s">
        <v>233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8" t="s">
        <v>230</v>
      </c>
      <c r="B797" s="99"/>
      <c r="C797" s="99"/>
      <c r="D797" s="99"/>
      <c r="E797" s="100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231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8" t="s">
        <v>232</v>
      </c>
      <c r="B810" s="99"/>
      <c r="C810" s="99"/>
      <c r="D810" s="99"/>
      <c r="E810" s="100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231</v>
      </c>
      <c r="O810" s="39"/>
    </row>
    <row r="811" spans="1:15" ht="18" customHeight="1">
      <c r="A811" s="101" t="s">
        <v>233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2026-07-21T04:01:36Z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