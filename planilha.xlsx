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31" documentId="13_ncr:1_{0A10D8D4-8450-4366-8075-B53B08E6B7EA}" xr6:coauthVersionLast="47" xr6:coauthVersionMax="47" xr10:uidLastSave="{151295CE-3AED-455E-B85B-5F2067EA4D43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3" i="3" l="1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8" i="6"/>
  <c r="J448" i="6" s="1"/>
  <c r="H449" i="6"/>
  <c r="J449" i="6" s="1"/>
  <c r="H450" i="6"/>
  <c r="J450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8" i="5"/>
  <c r="J448" i="5" s="1"/>
  <c r="H449" i="5"/>
  <c r="J449" i="5" s="1"/>
  <c r="H450" i="5"/>
  <c r="J450" i="5" s="1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H447" i="6" s="1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H447" i="5" s="1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H447" i="4" s="1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47" i="6" l="1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<sst xmlns="http://schemas.openxmlformats.org/spreadsheetml/2006/main" count="7693" uniqueCount="366">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</sst>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/>
    </row>
    <row r="59" spans="1:18" ht="15" customHeight="1">
      <c r="M59" s="170"/>
      <c r="N59" s="17"/>
      <c r="O59" s="17"/>
      <c r="P59" s="17" t="s">
        <v>217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218</v>
      </c>
      <c r="Q61" s="17"/>
      <c r="R61" s="17"/>
    </row>
    <row r="62" spans="1:18" ht="15" customHeight="1">
      <c r="M62" s="170"/>
      <c r="N62" s="16"/>
      <c r="O62" s="16"/>
      <c r="P62" s="16" t="s">
        <v>219</v>
      </c>
      <c r="Q62" s="16"/>
      <c r="R62" s="16"/>
    </row>
    <row r="63" spans="1:18" ht="15" customHeight="1">
      <c r="M63" s="170"/>
      <c r="N63" s="17"/>
      <c r="O63" s="17"/>
      <c r="P63" s="17" t="s">
        <v>220</v>
      </c>
      <c r="Q63" s="17"/>
      <c r="R63" s="17"/>
    </row>
    <row r="64" spans="1:18" ht="15" customHeight="1">
      <c r="M64" s="170"/>
      <c r="N64" s="16"/>
      <c r="O64" s="16"/>
      <c r="P64" s="16" t="s">
        <v>221</v>
      </c>
      <c r="Q64" s="16"/>
      <c r="R64" s="16"/>
    </row>
    <row r="65" spans="13:18" ht="15" customHeight="1">
      <c r="M65" s="170"/>
      <c r="N65" s="17"/>
      <c r="O65" s="17"/>
      <c r="P65" s="17" t="s">
        <v>222</v>
      </c>
      <c r="Q65" s="17"/>
      <c r="R65" s="17"/>
    </row>
    <row r="66" spans="13:18" ht="15" customHeight="1">
      <c r="M66" s="170"/>
      <c r="N66" s="16"/>
      <c r="O66" s="16"/>
      <c r="P66" s="16" t="s">
        <v>223</v>
      </c>
      <c r="Q66" s="16"/>
      <c r="R66" s="16"/>
    </row>
    <row r="67" spans="13:18" ht="15" customHeight="1">
      <c r="M67" s="170"/>
      <c r="N67" s="17"/>
      <c r="O67" s="17"/>
      <c r="P67" s="17" t="s">
        <v>224</v>
      </c>
      <c r="Q67" s="17"/>
      <c r="R67" s="17"/>
    </row>
    <row r="68" spans="13:18" ht="15" customHeight="1">
      <c r="M68" s="170"/>
      <c r="N68" s="16"/>
      <c r="O68" s="16"/>
      <c r="P68" s="16" t="s">
        <v>225</v>
      </c>
      <c r="Q68" s="16"/>
      <c r="R68" s="16"/>
    </row>
    <row r="69" spans="13:18" ht="15" customHeight="1">
      <c r="M69" s="170"/>
      <c r="N69" s="17"/>
      <c r="O69" s="17"/>
      <c r="P69" s="17" t="s">
        <v>226</v>
      </c>
      <c r="Q69" s="17"/>
      <c r="R69" s="17"/>
    </row>
    <row r="70" spans="13:18" ht="15" customHeight="1">
      <c r="M70" s="170"/>
      <c r="N70" s="16"/>
      <c r="O70" s="16"/>
      <c r="P70" s="16" t="s">
        <v>227</v>
      </c>
      <c r="Q70" s="16"/>
      <c r="R70" s="16"/>
    </row>
    <row r="71" spans="13:18" ht="15" customHeight="1">
      <c r="M71" s="170"/>
      <c r="N71" s="17"/>
      <c r="O71" s="17"/>
      <c r="P71" s="17" t="s">
        <v>228</v>
      </c>
      <c r="Q71" s="17"/>
      <c r="R71" s="17"/>
    </row>
    <row r="72" spans="13:18" ht="15" customHeight="1">
      <c r="M72" s="170"/>
      <c r="N72" s="16"/>
      <c r="O72" s="16"/>
      <c r="P72" s="16" t="s">
        <v>229</v>
      </c>
      <c r="Q72" s="16"/>
      <c r="R72" s="16"/>
    </row>
    <row r="73" spans="13:18" ht="15" customHeight="1">
      <c r="M73" s="170"/>
      <c r="N73" s="17"/>
      <c r="O73" s="17"/>
      <c r="P73" s="17" t="s">
        <v>230</v>
      </c>
      <c r="Q73" s="17"/>
      <c r="R73" s="17"/>
    </row>
    <row r="74" spans="13:18" ht="15" customHeight="1">
      <c r="M74" s="170"/>
      <c r="N74" s="16"/>
      <c r="O74" s="16"/>
      <c r="P74" s="16" t="s">
        <v>231</v>
      </c>
      <c r="Q74" s="16"/>
      <c r="R74" s="16"/>
    </row>
    <row r="75" spans="13:18" ht="15" customHeight="1">
      <c r="M75" s="170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K442" sqref="K44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244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247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1" t="s">
        <v>248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244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247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1" t="s">
        <v>248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244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247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1" t="s">
        <v>248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244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247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1" t="s">
        <v>248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244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247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1" t="s">
        <v>248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244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247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1" t="s">
        <v>248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244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247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1" t="s">
        <v>248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244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247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1" t="s">
        <v>248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244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247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1" t="s">
        <v>248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244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247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1" t="s">
        <v>248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244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247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1" t="s">
        <v>248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244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247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1" t="s">
        <v>248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244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247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1" t="s">
        <v>248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244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247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1" t="s">
        <v>248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244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247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1" t="s">
        <v>248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244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247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1" t="s">
        <v>248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244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245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243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243</v>
      </c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243</v>
      </c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243</v>
      </c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243</v>
      </c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243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271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243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272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243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273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243</v>
      </c>
      <c r="F455" s="27"/>
      <c r="G455" s="151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243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243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243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247</v>
      </c>
      <c r="B459" s="160"/>
      <c r="C459" s="160"/>
      <c r="D459" s="160"/>
      <c r="E459" s="172">
        <f>SUM(E447:E458)</f>
        <v>0</v>
      </c>
      <c r="F459" s="36">
        <f>SUM(F447:F458)</f>
        <v>50</v>
      </c>
      <c r="G459" s="36">
        <f>SUM(G447:G458)</f>
        <v>250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1" t="s">
        <v>248</v>
      </c>
      <c r="B460" s="162"/>
      <c r="C460" s="162"/>
      <c r="D460" s="162"/>
      <c r="E460" s="173">
        <f>E446+E459</f>
        <v>0</v>
      </c>
      <c r="F460" s="40">
        <f>F446+F459</f>
        <v>218</v>
      </c>
      <c r="G460" s="40">
        <f>G446+G459</f>
        <v>1090</v>
      </c>
      <c r="H460" s="41"/>
      <c r="I460" s="41"/>
      <c r="J460" s="41"/>
      <c r="K460" s="41"/>
      <c r="L460" s="41"/>
      <c r="M460" s="42">
        <f ca="1">IFERROR(M446+M459,"")</f>
        <v>0.12847222222222232</v>
      </c>
      <c r="N460" s="40" t="s">
        <v>249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244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247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1" t="s">
        <v>248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244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247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1" t="s">
        <v>248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244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247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1" t="s">
        <v>248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244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247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1" t="s">
        <v>248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244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247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1" t="s">
        <v>248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244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247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1" t="s">
        <v>248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244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247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1" t="s">
        <v>248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244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247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1" t="s">
        <v>248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244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247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1" t="s">
        <v>248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244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247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1" t="s">
        <v>248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244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247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1" t="s">
        <v>248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244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247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1" t="s">
        <v>248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244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247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5" t="s">
        <v>248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244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247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1" t="s">
        <v>248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48" sqref="G44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276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277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278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279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280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281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282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283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0.74850659722142154</v>
      </c>
      <c r="R53" s="46" t="s">
        <v>284</v>
      </c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0.88739548611031038</v>
      </c>
      <c r="R54" s="36" t="s">
        <v>245</v>
      </c>
      <c r="S54" s="75">
        <v>352430</v>
      </c>
      <c r="T54" s="117"/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0.97211770833253275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276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285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286</v>
      </c>
      <c r="Q96" s="30" t="str">
        <f t="shared" ref="Q96:Q107" ca="1" si="22">IFERROR(IF(O96="","",IF(P96="",MOD(NOW()-O96,1),IF(P96&gt;=O96,P96-O96,P96+1-O96))),"")</f>
        <v/>
      </c>
      <c r="R96" s="46" t="s">
        <v>287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288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289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290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291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292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293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295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296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297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290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285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299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300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244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301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302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303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304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305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297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292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285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306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307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308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309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310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311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245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/>
      <c r="M447" s="33"/>
      <c r="N447" s="33"/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33.6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120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504.00000000000006</v>
      </c>
      <c r="L460" s="41"/>
      <c r="M460" s="41"/>
      <c r="N460" s="41"/>
      <c r="O460" s="41"/>
      <c r="P460" s="41"/>
      <c r="Q460" s="42">
        <f ca="1">IFERROR(Q446+Q459,"")</f>
        <v>6.7361111111111205E-2</v>
      </c>
      <c r="R460" s="40" t="s">
        <v>249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48" sqref="G44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279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244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285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293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244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285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296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325</v>
      </c>
      <c r="Q222" s="30" t="str">
        <f t="shared" ca="1" si="49"/>
        <v/>
      </c>
      <c r="R222" s="27" t="s">
        <v>326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244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303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304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244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285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244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307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245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15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63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100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420.00000000000006</v>
      </c>
      <c r="L460" s="41"/>
      <c r="M460" s="41"/>
      <c r="N460" s="41"/>
      <c r="O460" s="41"/>
      <c r="P460" s="41"/>
      <c r="Q460" s="42">
        <f ca="1">IFERROR(Q446+Q459,"")</f>
        <v>4.5138888888888895E-2</v>
      </c>
      <c r="R460" s="40" t="s">
        <v>249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33" activePane="bottomLeft" state="frozen"/>
      <selection pane="bottomLeft" activeCell="M452" sqref="M45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274</v>
      </c>
      <c r="I1" s="133" t="s">
        <v>20</v>
      </c>
      <c r="J1" s="133" t="s">
        <v>275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275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244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282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247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1" t="s">
        <v>248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244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247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1" t="s">
        <v>248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244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247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1" t="s">
        <v>248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244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247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1" t="s">
        <v>248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244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247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1" t="s">
        <v>248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293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247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1" t="s">
        <v>248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244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247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1" t="s">
        <v>248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244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247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1" t="s">
        <v>248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244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247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1" t="s">
        <v>248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244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247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1" t="s">
        <v>248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244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247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1" t="s">
        <v>248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244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247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248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244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247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248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247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248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307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244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247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248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244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247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248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244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245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259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259</v>
      </c>
      <c r="F448" s="134">
        <f>IFERROR(IF($D448="","",VLOOKUP($D448,Cadastro!$C$4:$E$7,3,FALSE)),"")</f>
        <v>0.35</v>
      </c>
      <c r="G448" s="105"/>
      <c r="H448" s="134" t="str">
        <f>IFERROR(IF($G448="","",$G448*$S$459/$G$459/Cadastro!$E$33),"")</f>
        <v/>
      </c>
      <c r="I448" s="135">
        <f>IFERROR(IF($D448="","",VLOOKUP($D448,Cadastro!$C$4:$G$7,5,FALSE)),"")</f>
        <v>0.6</v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259</v>
      </c>
      <c r="F449" s="134">
        <f>IFERROR(IF($D449="","",VLOOKUP($D449,Cadastro!$C$4:$E$7,3,FALSE)),"")</f>
        <v>0.35</v>
      </c>
      <c r="G449" s="105"/>
      <c r="H449" s="134" t="str">
        <f>IFERROR(IF($G449="","",$G449*$S$459/$G$459/Cadastro!$E$33),"")</f>
        <v/>
      </c>
      <c r="I449" s="135">
        <f>IFERROR(IF($D449="","",VLOOKUP($D449,Cadastro!$C$4:$G$7,5,FALSE)),"")</f>
        <v>0.6</v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259</v>
      </c>
      <c r="F450" s="134">
        <f>IFERROR(IF($D450="","",VLOOKUP($D450,Cadastro!$C$4:$E$7,3,FALSE)),"")</f>
        <v>0.35</v>
      </c>
      <c r="G450" s="105"/>
      <c r="H450" s="134" t="str">
        <f>IFERROR(IF($G450="","",$G450*$S$459/$G$459/Cadastro!$E$33),"")</f>
        <v/>
      </c>
      <c r="I450" s="135">
        <f>IFERROR(IF($D450="","",VLOOKUP($D450,Cadastro!$C$4:$G$7,5,FALSE)),"")</f>
        <v>0.6</v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259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259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259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259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259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259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259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259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247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168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1" t="s">
        <v>248</v>
      </c>
      <c r="B460" s="162"/>
      <c r="C460" s="162"/>
      <c r="D460" s="162"/>
      <c r="E460" s="162">
        <f>E446+E459</f>
        <v>0</v>
      </c>
      <c r="F460" s="112"/>
      <c r="G460" s="91">
        <f>G446+G459</f>
        <v>223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936.60000000000014</v>
      </c>
      <c r="L460" s="41"/>
      <c r="M460" s="41"/>
      <c r="N460" s="41"/>
      <c r="O460" s="63"/>
      <c r="P460" s="63"/>
      <c r="Q460" s="42">
        <f ca="1">IFERROR(Q446+Q459,"")</f>
        <v>3.6111111111111094E-2</v>
      </c>
      <c r="R460" s="40" t="s">
        <v>249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244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247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1" t="s">
        <v>248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244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247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1" t="s">
        <v>248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244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247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1" t="s">
        <v>248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244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247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1" t="s">
        <v>248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244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247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1" t="s">
        <v>248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244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247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1" t="s">
        <v>248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244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247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1" t="s">
        <v>248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244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247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1" t="s">
        <v>248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244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247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1" t="s">
        <v>248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244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247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1" t="s">
        <v>248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244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247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1" t="s">
        <v>248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244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247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1" t="s">
        <v>248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244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247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1" t="s">
        <v>248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244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247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1" t="s">
        <v>248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2026-08-18T00:53:16Z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