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06" documentId="8_{AF585B22-221D-4780-BB9C-493D365A6A02}" xr6:coauthVersionLast="47" xr6:coauthVersionMax="47" xr10:uidLastSave="{3131BD23-A44E-4178-98EA-6D12C132185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<sst xmlns="http://schemas.openxmlformats.org/spreadsheetml/2006/main" count="2003" uniqueCount="216">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</sst>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>
      <c r="H49" s="92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>
      <c r="H51" s="92"/>
      <c r="I51" s="17"/>
      <c r="J51" s="17"/>
      <c r="K51" s="17" t="s">
        <v>178</v>
      </c>
      <c r="L51" s="17"/>
      <c r="M51" s="17"/>
    </row>
    <row r="52" spans="1:13" ht="24" customHeight="1">
      <c r="H52" s="92"/>
      <c r="I52" s="16"/>
      <c r="J52" s="16"/>
      <c r="K52" s="16" t="s">
        <v>179</v>
      </c>
      <c r="L52" s="16"/>
      <c r="M52" s="16"/>
    </row>
    <row r="53" spans="1:13" ht="36" customHeight="1">
      <c r="H53" s="92"/>
      <c r="I53" s="17"/>
      <c r="J53" s="17"/>
      <c r="K53" s="17" t="s">
        <v>180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1" sqref="F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42</v>
      </c>
      <c r="G81" s="36">
        <f>SUM(G69:G80)</f>
        <v>210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411</v>
      </c>
      <c r="G82" s="40">
        <f>G68+G81</f>
        <v>2055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80">
        <v>276360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129</v>
      </c>
      <c r="G82" s="40">
        <f>G68+G81</f>
        <v>541.79999999999995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C55" activePane="bottomLeft" state="frozen"/>
      <selection pane="bottomLeft" activeCell="K73" sqref="K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 t="s">
        <v>20</v>
      </c>
      <c r="I72" s="26" t="s">
        <v>52</v>
      </c>
      <c r="J72" s="26" t="s">
        <v>51</v>
      </c>
      <c r="K72" s="29">
        <v>0.90972222222222221</v>
      </c>
      <c r="L72" s="29"/>
      <c r="M72" s="30">
        <f t="shared" ca="1" si="16"/>
        <v>5.3738426504423842E-4</v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46</v>
      </c>
      <c r="G81" s="36">
        <f>SUM(G69:G80)</f>
        <v>193.2</v>
      </c>
      <c r="H81" s="37"/>
      <c r="I81" s="37"/>
      <c r="J81" s="37"/>
      <c r="K81" s="61"/>
      <c r="L81" s="61"/>
      <c r="M81" s="38">
        <f ca="1">IFERROR(SUM(M69:M80),"")</f>
        <v>3.8731828709488547E-2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241</v>
      </c>
      <c r="G82" s="40">
        <f>G68+G81</f>
        <v>1012.2</v>
      </c>
      <c r="H82" s="41"/>
      <c r="I82" s="41"/>
      <c r="J82" s="41"/>
      <c r="K82" s="63"/>
      <c r="L82" s="63"/>
      <c r="M82" s="42">
        <f ca="1">IFERROR(M68+M81,"")</f>
        <v>9.8454050931710779E-2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2026-07-04T01:51:17Z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