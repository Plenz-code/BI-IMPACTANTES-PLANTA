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92" documentId="8_{AF585B22-221D-4780-BB9C-493D365A6A02}" xr6:coauthVersionLast="47" xr6:coauthVersionMax="47" xr10:uidLastSave="{321E400B-DE72-433D-8D55-E64F9AFB78F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<sst xmlns="http://schemas.openxmlformats.org/spreadsheetml/2006/main" count="5128" uniqueCount="297">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</sst>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4" sqref="K6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J300" sqref="J30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213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217</v>
      </c>
      <c r="O27" s="39">
        <v>1183060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217</v>
      </c>
      <c r="O54" s="39">
        <v>959290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217</v>
      </c>
      <c r="O81" s="39">
        <v>878050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217</v>
      </c>
      <c r="O108" s="39">
        <v>1700000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217</v>
      </c>
      <c r="O135" s="39">
        <v>862330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217</v>
      </c>
      <c r="O162" s="44">
        <v>1546080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217</v>
      </c>
      <c r="O189" s="39">
        <v>2355810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217</v>
      </c>
      <c r="O216" s="45">
        <v>2013260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217</v>
      </c>
      <c r="O243" s="39">
        <v>1545480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217</v>
      </c>
      <c r="O270" s="39">
        <v>1182690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228</v>
      </c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217</v>
      </c>
      <c r="O297" s="39">
        <v>1843460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214</v>
      </c>
      <c r="F300" s="27">
        <v>11</v>
      </c>
      <c r="G300" s="28">
        <f t="shared" si="66"/>
        <v>55</v>
      </c>
      <c r="H300" s="26" t="s">
        <v>16</v>
      </c>
      <c r="I300" s="26" t="s">
        <v>23</v>
      </c>
      <c r="J300" s="26" t="s">
        <v>48</v>
      </c>
      <c r="K300" s="29">
        <v>0.51388888888888884</v>
      </c>
      <c r="L300" s="29"/>
      <c r="M300" s="30">
        <f t="shared" ca="1" si="67"/>
        <v>1.9886574074917007E-2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214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214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214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214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57.5</v>
      </c>
      <c r="G311" s="36">
        <f>SUM(G299:G310)</f>
        <v>287.5</v>
      </c>
      <c r="H311" s="37"/>
      <c r="I311" s="37"/>
      <c r="J311" s="37"/>
      <c r="K311" s="37"/>
      <c r="L311" s="37"/>
      <c r="M311" s="38">
        <f ca="1">IFERROR(SUM(M299:M310),"")</f>
        <v>5.7386574074917041E-2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57.5</v>
      </c>
      <c r="G325" s="40">
        <f>G311+G324</f>
        <v>287.5</v>
      </c>
      <c r="H325" s="41"/>
      <c r="I325" s="41"/>
      <c r="J325" s="41"/>
      <c r="K325" s="41"/>
      <c r="L325" s="41"/>
      <c r="M325" s="42">
        <f ca="1">IFERROR(M311+M324,"")</f>
        <v>5.7386574074917041E-2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3" sqref="F3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217</v>
      </c>
      <c r="O27" s="78">
        <v>393200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85">
        <v>276360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217</v>
      </c>
      <c r="O81" s="54">
        <v>787860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217</v>
      </c>
      <c r="O108" s="54">
        <v>1087080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217</v>
      </c>
      <c r="O135" s="54">
        <v>794480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217</v>
      </c>
      <c r="O162" s="54">
        <v>882280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217</v>
      </c>
      <c r="O189" s="78"/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217</v>
      </c>
      <c r="O216" s="78">
        <v>648410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217</v>
      </c>
      <c r="O243" s="78">
        <v>849060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217</v>
      </c>
      <c r="O270" s="78">
        <v>625070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217</v>
      </c>
      <c r="O297" s="78">
        <v>761660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18</v>
      </c>
      <c r="G302" s="28">
        <f t="shared" si="66"/>
        <v>75.600000000000009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29</v>
      </c>
      <c r="G311" s="36">
        <f>SUM(G299:G310)</f>
        <v>121.80000000000001</v>
      </c>
      <c r="H311" s="37"/>
      <c r="I311" s="37"/>
      <c r="J311" s="37"/>
      <c r="K311" s="37"/>
      <c r="L311" s="37"/>
      <c r="M311" s="38">
        <f ca="1">IFERROR(SUM(M299:M310),"")</f>
        <v>5.5555555555555525E-2</v>
      </c>
      <c r="N311" s="36" t="s">
        <v>217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78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29</v>
      </c>
      <c r="G325" s="40">
        <f>G311+G324</f>
        <v>121.80000000000001</v>
      </c>
      <c r="H325" s="41"/>
      <c r="I325" s="41"/>
      <c r="J325" s="41"/>
      <c r="K325" s="41"/>
      <c r="L325" s="41"/>
      <c r="M325" s="42">
        <f ca="1">IFERROR(M311+M324,"")</f>
        <v>5.5555555555555525E-2</v>
      </c>
      <c r="N325" s="40" t="s">
        <v>220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78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78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78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78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78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78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78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78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78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78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78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78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78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78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78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3" sqref="F3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217</v>
      </c>
      <c r="O27" s="39">
        <v>308500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39">
        <v>124290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217</v>
      </c>
      <c r="O81" s="39">
        <v>396340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217</v>
      </c>
      <c r="O108" s="39">
        <v>41230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217</v>
      </c>
      <c r="O135" s="39">
        <v>381250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217</v>
      </c>
      <c r="O162" s="39">
        <v>337120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264</v>
      </c>
      <c r="N166" s="27" t="s">
        <v>265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217</v>
      </c>
      <c r="O189" s="39">
        <v>747210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217</v>
      </c>
      <c r="O216" s="39">
        <v>468430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217</v>
      </c>
      <c r="O243" s="39">
        <v>575930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217</v>
      </c>
      <c r="O270" s="39">
        <v>483510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217</v>
      </c>
      <c r="O297" s="39">
        <v>487980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11</v>
      </c>
      <c r="G302" s="28">
        <f t="shared" si="66"/>
        <v>46.2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23</v>
      </c>
      <c r="G311" s="36">
        <f>SUM(G299:G310)</f>
        <v>96.600000000000009</v>
      </c>
      <c r="H311" s="37"/>
      <c r="I311" s="37"/>
      <c r="J311" s="37"/>
      <c r="K311" s="37"/>
      <c r="L311" s="37"/>
      <c r="M311" s="38">
        <f ca="1">IFERROR(SUM(M299:M310),"")</f>
        <v>3.4027777777777768E-2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23</v>
      </c>
      <c r="G325" s="40">
        <f>G311+G324</f>
        <v>96.600000000000009</v>
      </c>
      <c r="H325" s="41"/>
      <c r="I325" s="41"/>
      <c r="J325" s="41"/>
      <c r="K325" s="41"/>
      <c r="L325" s="41"/>
      <c r="M325" s="42">
        <f ca="1">IFERROR(M311+M324,"")</f>
        <v>3.4027777777777768E-2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80" activePane="bottomLeft" state="frozen"/>
      <selection pane="bottomLeft" activeCell="F304" sqref="F3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217</v>
      </c>
      <c r="O27" s="39">
        <v>202230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217</v>
      </c>
      <c r="O54" s="39">
        <v>473910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275</v>
      </c>
      <c r="L58" s="29">
        <v>0.54097222222222219</v>
      </c>
      <c r="M58" s="30" t="str">
        <f t="shared" ca="1" si="13"/>
        <v/>
      </c>
      <c r="N58" s="27" t="s">
        <v>276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217</v>
      </c>
      <c r="O81" s="39">
        <v>565120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217</v>
      </c>
      <c r="O108" s="39">
        <v>558590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0.28446990741213085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0.48377546296768648</v>
      </c>
      <c r="N135" s="36" t="s">
        <v>217</v>
      </c>
      <c r="O135" s="39">
        <v>729290</v>
      </c>
    </row>
    <row r="136" spans="1:18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0.8511365740787975</v>
      </c>
      <c r="N136" s="40" t="s">
        <v>220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217</v>
      </c>
      <c r="O162" s="39">
        <v>697320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217</v>
      </c>
      <c r="O189" s="39">
        <v>973580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217</v>
      </c>
      <c r="O216" s="45">
        <v>1060630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217</v>
      </c>
      <c r="O243" s="39">
        <v>982340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217</v>
      </c>
      <c r="O270" s="39">
        <v>1208450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217</v>
      </c>
      <c r="O297" s="39">
        <v>1049090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/>
      <c r="M300" s="30">
        <f t="shared" ca="1" si="67"/>
        <v>7.5442129629664123E-2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0</v>
      </c>
      <c r="G301" s="34">
        <f t="shared" si="66"/>
        <v>0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0.21502546296299746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0.21502546296299746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217</v>
      </c>
      <c r="O432" s="39"/>
    </row>
    <row r="433" spans="1:17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2026-07-12T16:49:13Z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