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74" documentId="13_ncr:1_{A6DBCFB4-28D9-4249-9038-216934055CA6}" xr6:coauthVersionLast="47" xr6:coauthVersionMax="47" xr10:uidLastSave="{6BFDC026-5904-42D4-87B5-F9FCF2B937F2}"/>
  <bookViews>
    <workbookView minimized="1" xWindow="7725" yWindow="0" windowWidth="21600" windowHeight="11295" tabRatio="500" activeTab="2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H546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F546" i="6"/>
  <c r="Q545" i="6"/>
  <c r="K545" i="6"/>
  <c r="I545" i="6"/>
  <c r="H545" i="6"/>
  <c r="J545" i="6" s="1"/>
  <c r="F545" i="6"/>
  <c r="Q544" i="6"/>
  <c r="K544" i="6"/>
  <c r="I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216" i="4" l="1"/>
  <c r="Q217" i="4" s="1"/>
  <c r="M108" i="3"/>
  <c r="M756" i="3"/>
  <c r="Q284" i="6"/>
  <c r="Q419" i="5"/>
  <c r="Q189" i="5"/>
  <c r="Q324" i="5"/>
  <c r="Q297" i="5"/>
  <c r="Q500" i="6"/>
  <c r="M824" i="3"/>
  <c r="Q527" i="5"/>
  <c r="Q284" i="5"/>
  <c r="Q298" i="5" s="1"/>
  <c r="M176" i="3"/>
  <c r="Q473" i="5"/>
  <c r="Q432" i="5"/>
  <c r="Q433" i="5" s="1"/>
  <c r="G568" i="6"/>
  <c r="H544" i="6"/>
  <c r="J544" i="6" s="1"/>
  <c r="H543" i="6"/>
  <c r="J543" i="6" s="1"/>
  <c r="H542" i="6"/>
  <c r="M500" i="3"/>
  <c r="Q648" i="4"/>
  <c r="Q27" i="6"/>
  <c r="M419" i="3"/>
  <c r="M581" i="3"/>
  <c r="Q351" i="5"/>
  <c r="Q446" i="5"/>
  <c r="M378" i="3"/>
  <c r="Q378" i="5"/>
  <c r="Q379" i="5" s="1"/>
  <c r="Q432" i="6"/>
  <c r="Q824" i="4"/>
  <c r="Q743" i="4"/>
  <c r="Q729" i="4"/>
  <c r="Q203" i="6"/>
  <c r="Q729" i="6"/>
  <c r="Q730" i="6" s="1"/>
  <c r="Q324" i="6"/>
  <c r="Q297" i="4"/>
  <c r="Q298" i="4" s="1"/>
  <c r="Q810" i="6"/>
  <c r="Q581" i="6"/>
  <c r="Q41" i="6"/>
  <c r="Q783" i="5"/>
  <c r="Q459" i="6"/>
  <c r="Q257" i="6"/>
  <c r="Q189" i="6"/>
  <c r="M351" i="3"/>
  <c r="Q621" i="6"/>
  <c r="Q230" i="6"/>
  <c r="Q770" i="5"/>
  <c r="Q837" i="5"/>
  <c r="Q473" i="6"/>
  <c r="Q162" i="6"/>
  <c r="Q68" i="6"/>
  <c r="Q702" i="5"/>
  <c r="Q716" i="5"/>
  <c r="Q149" i="6"/>
  <c r="Q163" i="6" s="1"/>
  <c r="Q135" i="6"/>
  <c r="Q824" i="6"/>
  <c r="Q567" i="6"/>
  <c r="Q122" i="6"/>
  <c r="Q136" i="6" s="1"/>
  <c r="Q797" i="5"/>
  <c r="Q405" i="6"/>
  <c r="M203" i="3"/>
  <c r="Q608" i="6"/>
  <c r="Q622" i="6" s="1"/>
  <c r="Q567" i="5"/>
  <c r="Q446" i="6"/>
  <c r="Q460" i="6" s="1"/>
  <c r="Q513" i="6"/>
  <c r="Q514" i="6" s="1"/>
  <c r="M405" i="3"/>
  <c r="M41" i="3"/>
  <c r="Q14" i="6"/>
  <c r="Q28" i="6" s="1"/>
  <c r="Q689" i="5"/>
  <c r="Q703" i="5" s="1"/>
  <c r="Q527" i="6"/>
  <c r="Q486" i="6"/>
  <c r="Q487" i="6" s="1"/>
  <c r="Q81" i="6"/>
  <c r="Q82" i="6" s="1"/>
  <c r="Q27" i="4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09" i="4" s="1"/>
  <c r="Q14" i="4"/>
  <c r="Q635" i="5"/>
  <c r="Q257" i="5"/>
  <c r="Q176" i="5"/>
  <c r="M621" i="3"/>
  <c r="M81" i="3"/>
  <c r="M486" i="3"/>
  <c r="M716" i="3"/>
  <c r="M460" i="3"/>
  <c r="Q716" i="4"/>
  <c r="Q608" i="4"/>
  <c r="Q244" i="4"/>
  <c r="Q176" i="6"/>
  <c r="Q702" i="4"/>
  <c r="Q703" i="4" s="1"/>
  <c r="Q243" i="5"/>
  <c r="Q486" i="4"/>
  <c r="Q487" i="4" s="1"/>
  <c r="Q122" i="4"/>
  <c r="Q122" i="5"/>
  <c r="M608" i="3"/>
  <c r="M473" i="3"/>
  <c r="Q675" i="4"/>
  <c r="M54" i="3"/>
  <c r="M527" i="3"/>
  <c r="Q675" i="6"/>
  <c r="Q540" i="5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95" i="5"/>
  <c r="Q109" i="5" s="1"/>
  <c r="M284" i="3"/>
  <c r="M298" i="3" s="1"/>
  <c r="Q41" i="5"/>
  <c r="Q392" i="5"/>
  <c r="Q406" i="5" s="1"/>
  <c r="Q648" i="6"/>
  <c r="Q729" i="5"/>
  <c r="Q486" i="5"/>
  <c r="Q459" i="5"/>
  <c r="Q27" i="5"/>
  <c r="M837" i="3"/>
  <c r="M324" i="3"/>
  <c r="M325" i="3" s="1"/>
  <c r="Q662" i="4"/>
  <c r="Q513" i="5"/>
  <c r="Q149" i="5"/>
  <c r="Q135" i="5"/>
  <c r="M770" i="3"/>
  <c r="Q270" i="4"/>
  <c r="Q446" i="4"/>
  <c r="Q460" i="4" s="1"/>
  <c r="Q743" i="6"/>
  <c r="Q270" i="6"/>
  <c r="M729" i="3"/>
  <c r="M513" i="3"/>
  <c r="M95" i="3"/>
  <c r="Q554" i="4"/>
  <c r="M392" i="3"/>
  <c r="M122" i="3"/>
  <c r="Q351" i="4"/>
  <c r="Q352" i="4" s="1"/>
  <c r="Q189" i="4"/>
  <c r="Q190" i="4" s="1"/>
  <c r="M797" i="3"/>
  <c r="M594" i="3"/>
  <c r="Q621" i="5"/>
  <c r="Q270" i="5"/>
  <c r="Q216" i="5"/>
  <c r="Q217" i="5" s="1"/>
  <c r="Q68" i="5"/>
  <c r="M783" i="3"/>
  <c r="M338" i="3"/>
  <c r="M243" i="3"/>
  <c r="M230" i="3"/>
  <c r="M244" i="3" s="1"/>
  <c r="M27" i="3"/>
  <c r="Q135" i="4"/>
  <c r="Q648" i="5"/>
  <c r="Q54" i="5"/>
  <c r="Q257" i="4"/>
  <c r="M648" i="3"/>
  <c r="Q756" i="4"/>
  <c r="Q432" i="4"/>
  <c r="Q433" i="4" s="1"/>
  <c r="Q81" i="5"/>
  <c r="M743" i="3"/>
  <c r="M689" i="3"/>
  <c r="Q41" i="4"/>
  <c r="Q392" i="6"/>
  <c r="Q378" i="6"/>
  <c r="Q365" i="6"/>
  <c r="Q379" i="6" s="1"/>
  <c r="Q554" i="5"/>
  <c r="M675" i="3"/>
  <c r="M189" i="3"/>
  <c r="Q783" i="4"/>
  <c r="Q54" i="6"/>
  <c r="Q824" i="5"/>
  <c r="Q513" i="4"/>
  <c r="Q514" i="4" s="1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109" i="6" s="1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J546" i="6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325" i="5" l="1"/>
  <c r="Q190" i="5"/>
  <c r="Q487" i="5"/>
  <c r="M838" i="3"/>
  <c r="M109" i="3"/>
  <c r="M757" i="3"/>
  <c r="M190" i="3"/>
  <c r="Q298" i="6"/>
  <c r="Q784" i="5"/>
  <c r="Q676" i="4"/>
  <c r="Q757" i="6"/>
  <c r="M730" i="3"/>
  <c r="Q136" i="5"/>
  <c r="Q757" i="5"/>
  <c r="Q541" i="5"/>
  <c r="J542" i="6"/>
  <c r="J554" i="6" s="1"/>
  <c r="H554" i="6"/>
  <c r="H568" i="6" s="1"/>
  <c r="Q730" i="4"/>
  <c r="M379" i="3"/>
  <c r="Q649" i="4"/>
  <c r="Q352" i="5"/>
  <c r="Q460" i="5"/>
  <c r="Q271" i="6"/>
  <c r="M514" i="3"/>
  <c r="M595" i="3"/>
  <c r="Q757" i="4"/>
  <c r="Q838" i="4"/>
  <c r="Q433" i="6"/>
  <c r="Q217" i="6"/>
  <c r="M433" i="3"/>
  <c r="Q649" i="6"/>
  <c r="Q568" i="4"/>
  <c r="M406" i="3"/>
  <c r="M136" i="3"/>
  <c r="Q811" i="6"/>
  <c r="Q730" i="5"/>
  <c r="Q325" i="6"/>
  <c r="Q811" i="5"/>
  <c r="M217" i="3"/>
  <c r="Q595" i="6"/>
  <c r="Q244" i="6"/>
  <c r="Q55" i="6"/>
  <c r="Q838" i="5"/>
  <c r="Q838" i="6"/>
  <c r="Q568" i="6"/>
  <c r="Q190" i="6"/>
  <c r="M55" i="3"/>
  <c r="M811" i="3"/>
  <c r="M352" i="3"/>
  <c r="Q406" i="6"/>
  <c r="Q28" i="4"/>
  <c r="Q271" i="5"/>
  <c r="M784" i="3"/>
  <c r="Q649" i="5"/>
  <c r="Q568" i="5"/>
  <c r="Q541" i="6"/>
  <c r="Q784" i="4"/>
  <c r="Q622" i="4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T554" i="6" l="1"/>
  <c r="J568" i="6"/>
  <c r="T568" i="6" s="1"/>
  <c r="H24" i="1" s="1"/>
  <c r="J24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<sst xmlns="http://schemas.openxmlformats.org/spreadsheetml/2006/main" count="9242" uniqueCount="405">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</sst>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  <family val="2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P18" sqref="P18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 x14ac:dyDescent="0.25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 x14ac:dyDescent="0.25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25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 x14ac:dyDescent="0.25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 x14ac:dyDescent="0.25">
      <c r="M2" s="162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2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2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25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25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25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25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25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25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25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25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25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25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25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25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25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25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25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25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 x14ac:dyDescent="0.25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25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25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25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25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25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25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25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25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25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25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25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25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25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25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25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25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25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25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25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25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25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25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25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25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25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25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25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25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25">
      <c r="M59" s="162"/>
      <c r="N59" s="40"/>
      <c r="O59" s="40"/>
      <c r="P59" s="40" t="s">
        <v>222</v>
      </c>
      <c r="Q59" s="40"/>
      <c r="R59" s="40"/>
    </row>
    <row r="60" spans="1:18" ht="15" customHeight="1" x14ac:dyDescent="0.25">
      <c r="M60" s="162"/>
      <c r="N60" s="37"/>
      <c r="O60" s="37"/>
      <c r="P60" s="53" t="s">
        <v>114</v>
      </c>
      <c r="Q60" s="37"/>
      <c r="R60" s="37"/>
    </row>
    <row r="61" spans="1:18" ht="15" customHeight="1" x14ac:dyDescent="0.25">
      <c r="M61" s="162"/>
      <c r="N61" s="40"/>
      <c r="O61" s="40"/>
      <c r="P61" s="40" t="s">
        <v>223</v>
      </c>
      <c r="Q61" s="40"/>
      <c r="R61" s="40"/>
    </row>
    <row r="62" spans="1:18" ht="15" customHeight="1" x14ac:dyDescent="0.25">
      <c r="M62" s="162"/>
      <c r="N62" s="37"/>
      <c r="O62" s="37"/>
      <c r="P62" s="37" t="s">
        <v>224</v>
      </c>
      <c r="Q62" s="37"/>
      <c r="R62" s="37"/>
    </row>
    <row r="63" spans="1:18" ht="15" customHeight="1" x14ac:dyDescent="0.25">
      <c r="M63" s="162"/>
      <c r="N63" s="40"/>
      <c r="O63" s="40"/>
      <c r="P63" s="40" t="s">
        <v>225</v>
      </c>
      <c r="Q63" s="40"/>
      <c r="R63" s="40"/>
    </row>
    <row r="64" spans="1:18" ht="15" customHeight="1" x14ac:dyDescent="0.25">
      <c r="M64" s="162"/>
      <c r="N64" s="37"/>
      <c r="O64" s="37"/>
      <c r="P64" s="37" t="s">
        <v>226</v>
      </c>
      <c r="Q64" s="37"/>
      <c r="R64" s="37"/>
    </row>
    <row r="65" spans="13:18" ht="15" customHeight="1" x14ac:dyDescent="0.25">
      <c r="M65" s="162"/>
      <c r="N65" s="40"/>
      <c r="O65" s="40"/>
      <c r="P65" s="40" t="s">
        <v>227</v>
      </c>
      <c r="Q65" s="40"/>
      <c r="R65" s="40"/>
    </row>
    <row r="66" spans="13:18" ht="15" customHeight="1" x14ac:dyDescent="0.25">
      <c r="M66" s="162"/>
      <c r="N66" s="37"/>
      <c r="O66" s="37"/>
      <c r="P66" s="37" t="s">
        <v>228</v>
      </c>
      <c r="Q66" s="37"/>
      <c r="R66" s="37"/>
    </row>
    <row r="67" spans="13:18" ht="15" customHeight="1" x14ac:dyDescent="0.25">
      <c r="M67" s="162"/>
      <c r="N67" s="40"/>
      <c r="O67" s="40"/>
      <c r="P67" s="40" t="s">
        <v>229</v>
      </c>
      <c r="Q67" s="40"/>
      <c r="R67" s="40"/>
    </row>
    <row r="68" spans="13:18" ht="15" customHeight="1" x14ac:dyDescent="0.25">
      <c r="M68" s="162"/>
      <c r="N68" s="37"/>
      <c r="O68" s="37"/>
      <c r="P68" s="37" t="s">
        <v>230</v>
      </c>
      <c r="Q68" s="37"/>
      <c r="R68" s="37"/>
    </row>
    <row r="69" spans="13:18" ht="15" customHeight="1" x14ac:dyDescent="0.25">
      <c r="M69" s="162"/>
      <c r="N69" s="40"/>
      <c r="O69" s="40"/>
      <c r="P69" s="40" t="s">
        <v>231</v>
      </c>
      <c r="Q69" s="40"/>
      <c r="R69" s="40"/>
    </row>
    <row r="70" spans="13:18" ht="15" customHeight="1" x14ac:dyDescent="0.25">
      <c r="M70" s="162"/>
      <c r="N70" s="37"/>
      <c r="O70" s="37"/>
      <c r="P70" s="37" t="s">
        <v>232</v>
      </c>
      <c r="Q70" s="37"/>
      <c r="R70" s="37"/>
    </row>
    <row r="71" spans="13:18" ht="15" customHeight="1" x14ac:dyDescent="0.25">
      <c r="M71" s="162"/>
      <c r="N71" s="40"/>
      <c r="O71" s="40"/>
      <c r="P71" s="40" t="s">
        <v>233</v>
      </c>
      <c r="Q71" s="40"/>
      <c r="R71" s="40"/>
    </row>
    <row r="72" spans="13:18" ht="15" customHeight="1" x14ac:dyDescent="0.25">
      <c r="M72" s="162"/>
      <c r="N72" s="37"/>
      <c r="O72" s="37"/>
      <c r="P72" s="37" t="s">
        <v>234</v>
      </c>
      <c r="Q72" s="37"/>
      <c r="R72" s="37"/>
    </row>
    <row r="73" spans="13:18" ht="15" customHeight="1" x14ac:dyDescent="0.25">
      <c r="M73" s="162"/>
      <c r="N73" s="40"/>
      <c r="O73" s="40"/>
      <c r="P73" s="40" t="s">
        <v>235</v>
      </c>
      <c r="Q73" s="40"/>
      <c r="R73" s="40"/>
    </row>
    <row r="74" spans="13:18" ht="15" customHeight="1" x14ac:dyDescent="0.25">
      <c r="M74" s="162"/>
      <c r="N74" s="37"/>
      <c r="O74" s="37"/>
      <c r="P74" s="37" t="s">
        <v>236</v>
      </c>
      <c r="Q74" s="37"/>
      <c r="R74" s="37"/>
    </row>
    <row r="75" spans="13:18" ht="15" customHeight="1" x14ac:dyDescent="0.25">
      <c r="M75" s="162"/>
      <c r="N75" s="40"/>
      <c r="O75" s="40"/>
      <c r="P75" s="40" t="s">
        <v>237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tabSelected="1" zoomScaleNormal="100" workbookViewId="0">
      <pane ySplit="1" topLeftCell="A43" activePane="bottomLeft" state="frozen"/>
      <selection pane="bottomLeft" activeCell="G61" sqref="G61:H61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 x14ac:dyDescent="0.25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25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25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25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25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25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25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25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25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25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25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25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25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25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25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25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25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25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25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25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25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25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25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25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25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25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25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25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25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25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25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25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25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25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25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25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25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25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25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25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25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25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25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25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25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25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25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25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25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25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25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25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25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25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25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25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25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25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25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25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25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 x14ac:dyDescent="0.25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 x14ac:dyDescent="0.25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 x14ac:dyDescent="0.25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25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25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25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25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25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25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25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25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25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25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25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25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25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25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25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25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25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25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25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25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25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25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25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25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25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25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25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25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25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F530" sqref="F530"/>
    </sheetView>
  </sheetViews>
  <sheetFormatPr defaultColWidth="8.5703125" defaultRowHeight="15" x14ac:dyDescent="0.2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 x14ac:dyDescent="0.2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25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25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 x14ac:dyDescent="0.25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25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 x14ac:dyDescent="0.2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25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 x14ac:dyDescent="0.25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25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25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 x14ac:dyDescent="0.25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25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25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 x14ac:dyDescent="0.25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25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25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 x14ac:dyDescent="0.25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 x14ac:dyDescent="0.25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25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25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 x14ac:dyDescent="0.25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25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25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 x14ac:dyDescent="0.25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25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25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 x14ac:dyDescent="0.25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25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 x14ac:dyDescent="0.25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2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25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25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25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25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25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25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25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25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25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25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25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 x14ac:dyDescent="0.25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2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25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25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25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25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 x14ac:dyDescent="0.25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25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25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25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25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25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25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2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25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25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25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25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25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25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25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25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25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25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25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 x14ac:dyDescent="0.25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2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2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2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 x14ac:dyDescent="0.2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2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2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2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2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2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2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2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25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2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2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2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2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2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2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2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2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2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2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2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25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 x14ac:dyDescent="0.25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2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2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 x14ac:dyDescent="0.2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2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2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2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2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 x14ac:dyDescent="0.2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2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2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2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25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2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2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2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2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2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2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2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2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2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2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2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25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 x14ac:dyDescent="0.25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2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2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2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2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2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2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2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2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2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2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2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25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2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2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2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2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2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2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2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2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2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2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2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25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 x14ac:dyDescent="0.25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2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2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2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2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2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2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2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2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2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2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2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25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 x14ac:dyDescent="0.2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2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2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2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2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2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2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2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2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2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2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25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 x14ac:dyDescent="0.25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2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2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2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2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2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2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2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2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2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2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2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25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2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 x14ac:dyDescent="0.2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 x14ac:dyDescent="0.2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2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2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2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2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2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2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2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2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25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 x14ac:dyDescent="0.25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2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2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2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2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2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2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2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2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2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2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2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25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 x14ac:dyDescent="0.2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 x14ac:dyDescent="0.2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2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2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2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 x14ac:dyDescent="0.2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 x14ac:dyDescent="0.2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 x14ac:dyDescent="0.2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2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2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2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25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 x14ac:dyDescent="0.25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 x14ac:dyDescent="0.2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2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2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2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2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2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2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2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2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2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2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25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2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2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 x14ac:dyDescent="0.2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2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2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2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2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2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2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2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2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25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 x14ac:dyDescent="0.25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2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 x14ac:dyDescent="0.25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25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25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25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25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25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25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25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25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25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25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25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 x14ac:dyDescent="0.25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25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25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25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25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25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25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25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25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25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25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 x14ac:dyDescent="0.25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25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25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25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25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25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25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25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25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25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25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25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25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 x14ac:dyDescent="0.25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25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25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25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25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25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25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25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25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25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25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25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 x14ac:dyDescent="0.25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 x14ac:dyDescent="0.25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0.26611620370385936</v>
      </c>
      <c r="N542" s="80"/>
      <c r="O542" s="81"/>
    </row>
    <row r="543" spans="1:15" ht="15" customHeight="1" x14ac:dyDescent="0.25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25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25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25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25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25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25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25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25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25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25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25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0.26611620370385936</v>
      </c>
      <c r="N554" s="2" t="s">
        <v>261</v>
      </c>
      <c r="O554" s="74"/>
    </row>
    <row r="555" spans="1:15" ht="15" customHeight="1" x14ac:dyDescent="0.25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 x14ac:dyDescent="0.25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 x14ac:dyDescent="0.25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 x14ac:dyDescent="0.25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 x14ac:dyDescent="0.25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 x14ac:dyDescent="0.25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 x14ac:dyDescent="0.25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 x14ac:dyDescent="0.25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25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25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25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25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25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 x14ac:dyDescent="0.25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0.26611620370385936</v>
      </c>
      <c r="N568" s="1" t="s">
        <v>264</v>
      </c>
      <c r="O568" s="82">
        <f>IFERROR(O554+O567,"")</f>
        <v>0</v>
      </c>
    </row>
    <row r="569" spans="1:15" ht="15" customHeight="1" x14ac:dyDescent="0.25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 x14ac:dyDescent="0.25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 x14ac:dyDescent="0.25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 x14ac:dyDescent="0.25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25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25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25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25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25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25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25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25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25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 x14ac:dyDescent="0.25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25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25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25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25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25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25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25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25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25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25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25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25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 x14ac:dyDescent="0.25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 x14ac:dyDescent="0.25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25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25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25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25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25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25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25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25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25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25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25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25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 x14ac:dyDescent="0.25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25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25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25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25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25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25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25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25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25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25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25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25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 x14ac:dyDescent="0.25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 x14ac:dyDescent="0.25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25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25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25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25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25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25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25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25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25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25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25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25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 x14ac:dyDescent="0.25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25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25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25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25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25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25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25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25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25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25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25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25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 x14ac:dyDescent="0.25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 x14ac:dyDescent="0.25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25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25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25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25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25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25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25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25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25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25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25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25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 x14ac:dyDescent="0.2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25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25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25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25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25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25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25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25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25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25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25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25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 x14ac:dyDescent="0.25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 x14ac:dyDescent="0.2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25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25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25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25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25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25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25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25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25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25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25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25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 x14ac:dyDescent="0.2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25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25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25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25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25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25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25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25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25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25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25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25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 x14ac:dyDescent="0.25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 x14ac:dyDescent="0.2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25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25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25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25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25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25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25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25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25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25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25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25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 x14ac:dyDescent="0.2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25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25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25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25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25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25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25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25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25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25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25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25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 x14ac:dyDescent="0.25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 x14ac:dyDescent="0.2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25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25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25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25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25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25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25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25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25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25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25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25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 x14ac:dyDescent="0.2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25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25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25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25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25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25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25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25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25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25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25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25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 x14ac:dyDescent="0.25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 x14ac:dyDescent="0.2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25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25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25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25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25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25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25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25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25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25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25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25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 x14ac:dyDescent="0.2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25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25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25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25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25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25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25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25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25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25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25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25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 x14ac:dyDescent="0.25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 x14ac:dyDescent="0.2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25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25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25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25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25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25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25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25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25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25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25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25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 x14ac:dyDescent="0.2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25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25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25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25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25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25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25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25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25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25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25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25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 x14ac:dyDescent="0.25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25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25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25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25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25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25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25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25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25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25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25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25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 x14ac:dyDescent="0.2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25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25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25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25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25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25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25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25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25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25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25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25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 x14ac:dyDescent="0.25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11" activePane="bottomLeft" state="frozen"/>
      <selection pane="bottomLeft" activeCell="M544" sqref="M544"/>
    </sheetView>
  </sheetViews>
  <sheetFormatPr defaultColWidth="8.5703125" defaultRowHeight="15" x14ac:dyDescent="0.2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 x14ac:dyDescent="0.25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2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2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2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2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2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2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2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2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2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2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2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0.43625509258708917</v>
      </c>
      <c r="R53" s="80" t="s">
        <v>306</v>
      </c>
      <c r="S53" s="67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0.5751439814759769</v>
      </c>
      <c r="R54" s="2" t="s">
        <v>261</v>
      </c>
      <c r="S54" s="113">
        <v>352430</v>
      </c>
      <c r="T54" s="114"/>
    </row>
    <row r="55" spans="1:20" ht="18" customHeight="1" x14ac:dyDescent="0.25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0.6598662036981997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2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2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2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2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2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2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2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 x14ac:dyDescent="0.2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2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2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2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2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2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2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2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2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2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2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 x14ac:dyDescent="0.2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2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2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2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 x14ac:dyDescent="0.25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 x14ac:dyDescent="0.25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 x14ac:dyDescent="0.25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 x14ac:dyDescent="0.25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 x14ac:dyDescent="0.25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 x14ac:dyDescent="0.25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 x14ac:dyDescent="0.25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 x14ac:dyDescent="0.25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 x14ac:dyDescent="0.2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 x14ac:dyDescent="0.25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 x14ac:dyDescent="0.25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 x14ac:dyDescent="0.2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2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 x14ac:dyDescent="0.2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 x14ac:dyDescent="0.2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2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 x14ac:dyDescent="0.2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 x14ac:dyDescent="0.2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2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2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2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2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 x14ac:dyDescent="0.25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 x14ac:dyDescent="0.25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 x14ac:dyDescent="0.25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25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 x14ac:dyDescent="0.25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2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2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2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2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2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 x14ac:dyDescent="0.2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 x14ac:dyDescent="0.2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2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2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2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2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 x14ac:dyDescent="0.25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 x14ac:dyDescent="0.25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 x14ac:dyDescent="0.2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25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25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25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 x14ac:dyDescent="0.25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25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25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25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25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25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25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25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 x14ac:dyDescent="0.25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 x14ac:dyDescent="0.25">
      <c r="A541" s="156" t="s">
        <v>249</v>
      </c>
      <c r="B541" s="156"/>
      <c r="C541" s="156"/>
      <c r="D541" s="156"/>
      <c r="E541" s="15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48</v>
      </c>
      <c r="N543" s="70" t="s">
        <v>51</v>
      </c>
      <c r="O543" s="65">
        <v>0.4465277777777778</v>
      </c>
      <c r="P543" s="65"/>
      <c r="Q543" s="71">
        <f t="shared" ca="1" si="140"/>
        <v>0.11125509258999955</v>
      </c>
      <c r="R543" s="80"/>
      <c r="S543" s="81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0.12514398147888844</v>
      </c>
      <c r="R554" s="2" t="s">
        <v>261</v>
      </c>
      <c r="S554" s="74"/>
      <c r="T554" s="99">
        <f>IFERROR(J554,"")</f>
        <v>0</v>
      </c>
    </row>
    <row r="555" spans="1:20" ht="15" customHeight="1" x14ac:dyDescent="0.2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 x14ac:dyDescent="0.25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25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25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25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25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25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25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25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25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25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25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25">
      <c r="A568" s="156" t="s">
        <v>249</v>
      </c>
      <c r="B568" s="156"/>
      <c r="C568" s="156"/>
      <c r="D568" s="156"/>
      <c r="E568" s="156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0.12514398147888844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2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2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2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25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25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 x14ac:dyDescent="0.25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phoneticPr fontId="24" type="noConversion"/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2" activePane="bottomLeft" state="frozen"/>
      <selection pane="bottomLeft" activeCell="E543" sqref="E543"/>
    </sheetView>
  </sheetViews>
  <sheetFormatPr defaultColWidth="8.5703125" defaultRowHeight="15" x14ac:dyDescent="0.2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2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 x14ac:dyDescent="0.25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 x14ac:dyDescent="0.25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 x14ac:dyDescent="0.25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 x14ac:dyDescent="0.25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 x14ac:dyDescent="0.25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 x14ac:dyDescent="0.25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 x14ac:dyDescent="0.25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 x14ac:dyDescent="0.25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 x14ac:dyDescent="0.25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2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2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2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2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2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2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2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 x14ac:dyDescent="0.25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2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2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2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2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2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2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2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2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2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2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2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2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2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2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2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2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2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2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2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2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2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2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 x14ac:dyDescent="0.25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2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2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2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2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2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2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2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2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2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2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2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2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2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2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2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2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2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2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2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2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2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2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 x14ac:dyDescent="0.25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 x14ac:dyDescent="0.2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 x14ac:dyDescent="0.2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2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 x14ac:dyDescent="0.2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2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2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2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2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2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2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2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2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2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2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2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2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2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2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2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2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2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2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 x14ac:dyDescent="0.25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2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 x14ac:dyDescent="0.2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2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2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2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2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2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2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2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2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2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2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2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2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2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2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2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2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2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2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 x14ac:dyDescent="0.25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2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2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2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 x14ac:dyDescent="0.2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 x14ac:dyDescent="0.2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2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2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2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2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2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2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2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2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2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2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2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2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2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2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2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2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2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 x14ac:dyDescent="0.25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2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 x14ac:dyDescent="0.2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2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2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2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2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2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2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2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2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2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 x14ac:dyDescent="0.2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2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2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2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2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2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2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2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2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2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2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 x14ac:dyDescent="0.25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 x14ac:dyDescent="0.2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2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 x14ac:dyDescent="0.2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2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2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2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2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2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2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2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2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2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 x14ac:dyDescent="0.2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2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2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2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2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2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2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2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2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 x14ac:dyDescent="0.25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2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2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2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2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2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2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2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2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2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2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2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 x14ac:dyDescent="0.2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2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2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 x14ac:dyDescent="0.2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2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2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2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2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2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2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2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 x14ac:dyDescent="0.25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2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25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25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25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25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25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25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25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25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 x14ac:dyDescent="0.25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25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 x14ac:dyDescent="0.25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25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25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25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 x14ac:dyDescent="0.25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25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25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25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25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25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25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 x14ac:dyDescent="0.25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25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25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 x14ac:dyDescent="0.25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25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25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25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25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25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25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25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25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25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25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25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 x14ac:dyDescent="0.25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25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 x14ac:dyDescent="0.25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25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25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25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25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25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 x14ac:dyDescent="0.25">
      <c r="A541" s="156" t="s">
        <v>249</v>
      </c>
      <c r="B541" s="156"/>
      <c r="C541" s="156"/>
      <c r="D541" s="156"/>
      <c r="E541" s="15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0.26611620370385936</v>
      </c>
      <c r="R542" s="63" t="s">
        <v>367</v>
      </c>
      <c r="S542" s="81"/>
    </row>
    <row r="543" spans="1:20" ht="15" customHeight="1" x14ac:dyDescent="0.25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 x14ac:dyDescent="0.25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 x14ac:dyDescent="0.25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 x14ac:dyDescent="0.25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25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25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25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25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25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25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25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0.26611620370385936</v>
      </c>
      <c r="R554" s="2" t="s">
        <v>261</v>
      </c>
      <c r="S554" s="74"/>
      <c r="T554" s="99">
        <f>IFERROR(J554,"")</f>
        <v>0</v>
      </c>
    </row>
    <row r="555" spans="1:20" ht="15" customHeight="1" x14ac:dyDescent="0.2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 x14ac:dyDescent="0.25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 x14ac:dyDescent="0.25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 x14ac:dyDescent="0.25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 x14ac:dyDescent="0.25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 x14ac:dyDescent="0.25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 x14ac:dyDescent="0.25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 x14ac:dyDescent="0.25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 x14ac:dyDescent="0.25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 x14ac:dyDescent="0.25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 x14ac:dyDescent="0.25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 x14ac:dyDescent="0.25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25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0.26611620370385936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2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 x14ac:dyDescent="0.25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25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25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25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25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25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25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25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25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25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25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25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25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25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25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25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25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25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25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25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25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25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25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25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25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25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25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25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25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25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25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25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25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25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25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25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25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25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25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25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25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25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25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25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25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25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25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25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25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25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25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25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25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25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25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25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25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25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25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25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25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25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25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25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25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25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25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25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25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25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25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25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25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25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25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25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25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25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25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2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2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2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2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2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2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2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2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2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2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2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2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2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2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2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2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2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2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2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2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2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2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2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2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2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2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2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2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2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2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2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2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2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2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2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2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2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2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2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2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2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2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2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2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2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2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2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2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2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2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2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2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2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2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2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2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2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2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2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2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2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2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2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2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2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2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2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2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2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2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2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2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2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2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2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2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2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2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2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2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2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2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2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2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2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2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2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2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2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2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2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2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2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2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2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2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2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2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2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2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2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2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2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2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2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2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2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2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2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2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2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2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2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2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2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2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2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2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2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2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2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2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2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2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2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2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2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2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2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2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2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2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2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2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2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2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2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2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2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2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2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2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2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25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opLeftCell="B1" zoomScale="85" zoomScaleNormal="85" workbookViewId="0">
      <pane ySplit="1" topLeftCell="A514" activePane="bottomLeft" state="frozen"/>
      <selection pane="bottomLeft" activeCell="L528" sqref="L528:L536"/>
    </sheetView>
  </sheetViews>
  <sheetFormatPr defaultColWidth="8.5703125" defaultRowHeight="15" x14ac:dyDescent="0.2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 x14ac:dyDescent="0.25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 x14ac:dyDescent="0.25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 x14ac:dyDescent="0.25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 x14ac:dyDescent="0.25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2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 x14ac:dyDescent="0.2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2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2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2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2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 x14ac:dyDescent="0.2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2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2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2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2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 x14ac:dyDescent="0.25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 x14ac:dyDescent="0.25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 x14ac:dyDescent="0.25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 x14ac:dyDescent="0.25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 x14ac:dyDescent="0.25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 x14ac:dyDescent="0.25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 x14ac:dyDescent="0.25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 x14ac:dyDescent="0.25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2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2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2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2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2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2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2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2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2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2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2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 x14ac:dyDescent="0.25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25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 x14ac:dyDescent="0.25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 x14ac:dyDescent="0.25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 x14ac:dyDescent="0.25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 x14ac:dyDescent="0.2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2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2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2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 x14ac:dyDescent="0.2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2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2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2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2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2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2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 x14ac:dyDescent="0.25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 x14ac:dyDescent="0.25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2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2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2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2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2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2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2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2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2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2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2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 x14ac:dyDescent="0.25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 x14ac:dyDescent="0.25">
      <c r="A541" s="156" t="s">
        <v>249</v>
      </c>
      <c r="B541" s="156"/>
      <c r="C541" s="156"/>
      <c r="D541" s="156"/>
      <c r="E541" s="15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404</v>
      </c>
      <c r="S547" s="133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2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8.4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/>
      <c r="Q551" s="71">
        <f t="shared" ca="1" si="140"/>
        <v>8.3842592721339315E-4</v>
      </c>
      <c r="R551" s="63"/>
      <c r="S551" s="133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5"/>
      <c r="G554" s="96">
        <f>SUM(G542:G553)</f>
        <v>71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298.2</v>
      </c>
      <c r="L554" s="72"/>
      <c r="M554" s="72"/>
      <c r="N554" s="72"/>
      <c r="O554" s="134"/>
      <c r="P554" s="134"/>
      <c r="Q554" s="73">
        <f ca="1">IFERROR(SUM(Q542:Q553),"")</f>
        <v>9.4588425927213449E-2</v>
      </c>
      <c r="R554" s="2" t="s">
        <v>261</v>
      </c>
      <c r="S554" s="74"/>
      <c r="T554" s="99">
        <f>IFERROR(J554,"")</f>
        <v>0</v>
      </c>
    </row>
    <row r="555" spans="1:20" ht="15" customHeight="1" x14ac:dyDescent="0.2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 x14ac:dyDescent="0.25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 x14ac:dyDescent="0.25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 x14ac:dyDescent="0.25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 x14ac:dyDescent="0.25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 x14ac:dyDescent="0.25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 x14ac:dyDescent="0.25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 x14ac:dyDescent="0.25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 x14ac:dyDescent="0.25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 x14ac:dyDescent="0.25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 x14ac:dyDescent="0.25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 x14ac:dyDescent="0.25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25">
      <c r="A568" s="156" t="s">
        <v>249</v>
      </c>
      <c r="B568" s="156"/>
      <c r="C568" s="156"/>
      <c r="D568" s="156"/>
      <c r="E568" s="156"/>
      <c r="F568" s="108"/>
      <c r="G568" s="109">
        <f>G554+G567</f>
        <v>71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298.2</v>
      </c>
      <c r="L568" s="76"/>
      <c r="M568" s="76"/>
      <c r="N568" s="76"/>
      <c r="O568" s="135"/>
      <c r="P568" s="135"/>
      <c r="Q568" s="77">
        <f ca="1">IFERROR(Q554+Q567,"")</f>
        <v>9.4588425927213449E-2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2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2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2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25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25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25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2026-08-21T17:25:34Z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