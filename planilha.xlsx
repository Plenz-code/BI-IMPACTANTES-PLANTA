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82" documentId="8_{AF585B22-221D-4780-BB9C-493D365A6A02}" xr6:coauthVersionLast="47" xr6:coauthVersionMax="47" xr10:uidLastSave="{BC6371F9-FBA1-42A3-83F1-732B1C468B5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<sst xmlns="http://schemas.openxmlformats.org/spreadsheetml/2006/main" count="6079" uniqueCount="315">
  <si>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</si>
  <si>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</si>
  <si>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</si>
  <si>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</si>
  <si>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</si>
  <si>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</si>
  <si>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</si>
  <si>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</si>
  <si>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</si>
  <si>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</si>
  <si>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</si>
  <si>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</si>
  <si>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</si>
  <si>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</si>
  <si>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</si>
  <si>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</si>
  <si>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</si>
  <si>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</si>
  <si>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</si>
  <si>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</si>
  <si>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</si>
  <si>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</si>
  <si>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</si>
  <si>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</si>
  <si>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</si>
  <si>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</si>
  <si>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</si>
  <si>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</si>
  <si>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</si>
  <si>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</si>
  <si>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</si>
  <si>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</si>
  <si>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</si>
  <si>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</si>
  <si>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</si>
  <si>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</si>
  <si>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</si>
  <si>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</si>
  <si>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</si>
  <si>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</si>
  <si>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</si>
  <si>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</si>
  <si>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</si>
  <si>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</si>
  <si>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</si>
  <si>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</si>
  <si>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</si>
  <si>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</si>
  <si>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</si>
  <si>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</si>
  <si>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</si>
  <si>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</si>
  <si>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</si>
  <si>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</si>
  <si>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</si>
  <si>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</si>
  <si>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</si>
  <si>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</si>
  <si>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</si>
  <si>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</si>
  <si>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</si>
  <si>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</si>
  <si>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</si>
  <si>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</si>
  <si>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</si>
  <si>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</si>
  <si>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</si>
  <si>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</si>
  <si>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</si>
  <si>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</si>
  <si>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</si>
  <si>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</si>
  <si>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</si>
  <si>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</si>
  <si>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</si>
  <si>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</si>
  <si>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</si>
  <si>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</si>
  <si>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</si>
  <si>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</si>
  <si>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</si>
  <si>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</si>
  <si>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</si>
  <si>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</si>
  <si>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</si>
  <si>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</si>
  <si>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</si>
  <si>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</si>
  <si>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</si>
  <si>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</si>
  <si>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</si>
  <si>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</si>
  <si>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</si>
  <si>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</si>
  <si>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</si>
  <si>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</si>
  <si>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</si>
  <si>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</si>
  <si>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</si>
  <si>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</si>
  <si>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</si>
  <si>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</si>
  <si>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</si>
  <si>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</si>
  <si>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</si>
  <si>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</si>
  <si>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</si>
  <si>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</si>
  <si>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</si>
  <si>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</si>
  <si>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</si>
  <si>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</si>
  <si>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</si>
  <si>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</si>
  <si>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</si>
  <si>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</si>
  <si>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</si>
  <si>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</si>
  <si>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</si>
  <si>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</si>
  <si>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</si>
  <si>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</si>
  <si>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</si>
  <si>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</si>
  <si>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</si>
  <si>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</si>
  <si>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</si>
  <si>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</si>
  <si>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</si>
  <si>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</si>
  <si>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</si>
  <si>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</si>
  <si>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</si>
  <si>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</si>
  <si>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</si>
  <si>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</si>
  <si>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</si>
  <si>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</si>
  <si>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</si>
  <si>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</si>
  <si>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</si>
  <si>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</si>
  <si>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</si>
  <si>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</si>
  <si>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</si>
  <si>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</si>
  <si>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</si>
  <si>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</si>
  <si>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</si>
  <si>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</si>
  <si>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</si>
  <si>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</si>
  <si>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</si>
  <si>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</si>
  <si>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</si>
  <si>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</si>
  <si>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</si>
  <si>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</si>
  <si>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</si>
  <si>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</si>
  <si>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</si>
  <si>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</si>
  <si>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</si>
  <si>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</si>
  <si>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</si>
  <si>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</si>
  <si>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</si>
  <si>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</si>
  <si>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</si>
  <si>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</si>
  <si>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</si>
  <si>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</si>
  <si>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</si>
  <si>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</si>
  <si>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</si>
  <si>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</si>
  <si>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</si>
  <si>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</si>
  <si>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</si>
  <si>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</si>
  <si>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</si>
  <si>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</si>
  <si>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</si>
  <si>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</si>
  <si>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</si>
  <si>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</si>
  <si>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</si>
  <si>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</si>
  <si>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</si>
  <si>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</si>
  <si>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</si>
  <si>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</si>
  <si>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</si>
  <si>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</si>
  <si>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</si>
  <si>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</si>
  <si>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</si>
  <si>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</si>
  <si>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</si>
  <si>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</si>
  <si>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</si>
  <si>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</si>
  <si>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</si>
  <si>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</si>
  <si>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</si>
  <si>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</si>
  <si>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</si>
  <si>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</si>
  <si>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</si>
  <si>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</si>
  <si>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</si>
  <si>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</si>
  <si>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</si>
  <si>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</si>
  <si>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</si>
  <si>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</si>
  <si>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</si>
  <si>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</si>
  <si>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</si>
  <si>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</si>
  <si>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</si>
  <si>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</si>
  <si>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</si>
  <si>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</si>
  <si>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</si>
  <si>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</si>
  <si>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</si>
  <si>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</si>
  <si>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</si>
  <si>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</si>
  <si>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</si>
  <si>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</si>
  <si>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</si>
  <si>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</si>
  <si>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</si>
  <si>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</si>
  <si>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</si>
  <si>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</si>
  <si>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</si>
  <si>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</si>
  <si>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</si>
  <si>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</si>
  <si>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</si>
  <si>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</si>
  <si>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</si>
  <si>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</si>
  <si>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</si>
  <si>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</si>
  <si>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</si>
  <si>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</si>
  <si>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</si>
  <si>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</si>
  <si>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</si>
  <si>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</si>
  <si>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</si>
  <si>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</si>
  <si>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</si>
  <si>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</si>
  <si>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</si>
  <si>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</si>
  <si>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</si>
  <si>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</si>
  <si>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</si>
  <si>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</si>
  <si>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</si>
  <si>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</si>
  <si>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</si>
  <si>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20;58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</si>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</sst>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6.3012152779265307E-2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6.3012152779265307E-2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0.15398437500148743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K368" sqref="K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 t="s">
        <v>20</v>
      </c>
      <c r="I367" s="33" t="s">
        <v>39</v>
      </c>
      <c r="J367" s="33" t="s">
        <v>127</v>
      </c>
      <c r="K367" s="29" t="s">
        <v>267</v>
      </c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16</v>
      </c>
      <c r="G378" s="36">
        <f>SUM(G366:G377)</f>
        <v>67.2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174</v>
      </c>
      <c r="G379" s="40">
        <f>G365+G378</f>
        <v>730.80000000000007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E377" sqref="E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</v>
      </c>
      <c r="G378" s="36">
        <f>SUM(G366:G377)</f>
        <v>50.400000000000006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</v>
      </c>
      <c r="G379" s="40">
        <f>G365+G378</f>
        <v>88.200000000000017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L368" sqref="L3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0.62620659722597338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0.82551215278152901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1.19287326389264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/>
      <c r="G367" s="34" t="str">
        <f t="shared" si="81"/>
        <v/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20</v>
      </c>
      <c r="G378" s="36">
        <f>SUM(G366:G377)</f>
        <v>84</v>
      </c>
      <c r="H378" s="37"/>
      <c r="I378" s="37"/>
      <c r="J378" s="37"/>
      <c r="K378" s="61"/>
      <c r="L378" s="61"/>
      <c r="M378" s="38">
        <f ca="1">IFERROR(SUM(M366:M377),"")</f>
        <v>1.7361111111111049E-2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145</v>
      </c>
      <c r="G379" s="40">
        <f>G365+G378</f>
        <v>609</v>
      </c>
      <c r="H379" s="41"/>
      <c r="I379" s="41"/>
      <c r="J379" s="41"/>
      <c r="K379" s="63"/>
      <c r="L379" s="63"/>
      <c r="M379" s="42">
        <f ca="1">IFERROR(M365+M378,"")</f>
        <v>0.12222222222222223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2026-07-15T01:01:00Z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