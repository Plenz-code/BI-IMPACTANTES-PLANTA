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48" documentId="8_{AF585B22-221D-4780-BB9C-493D365A6A02}" xr6:coauthVersionLast="47" xr6:coauthVersionMax="47" xr10:uidLastSave="{BD4B8ABF-28A2-497D-8B7E-520C2721A71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<sst xmlns="http://schemas.openxmlformats.org/spreadsheetml/2006/main" count="10017" uniqueCount="391">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</sst>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1447290</v>
      </c>
      <c r="E28" s="8">
        <f>IFERROR('Linha 2'!O676,"")</f>
        <v>580830</v>
      </c>
      <c r="F28" s="8">
        <f>IFERROR('Linha 3'!O676,"")</f>
        <v>0</v>
      </c>
      <c r="G28" s="9">
        <f t="shared" si="0"/>
        <v>2028120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30928980</v>
      </c>
      <c r="E35" s="13">
        <f>IFERROR(SUM(E4:E34),"")</f>
        <v>17644600</v>
      </c>
      <c r="F35" s="13">
        <f>IFERROR(SUM(F4:F34),"")</f>
        <v>31043010</v>
      </c>
      <c r="G35" s="13">
        <f>IFERROR(SUM(G4:G34),"")</f>
        <v>79616590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O663" sqref="O6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328</v>
      </c>
      <c r="G676" s="40">
        <f>G662+G675</f>
        <v>1640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O663" sqref="O6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0.5351901620379067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0.69282905092679559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0.80255127314901775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0.51366238426271593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0.68449571759604932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0.82963460648493825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4.3523495376575738E-2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0.17616238426546477</v>
      </c>
      <c r="N662" s="36" t="s">
        <v>233</v>
      </c>
      <c r="O662" s="77">
        <v>1447290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125</v>
      </c>
      <c r="G676" s="40">
        <f>G662+G675</f>
        <v>533</v>
      </c>
      <c r="H676" s="41"/>
      <c r="I676" s="41"/>
      <c r="J676" s="41"/>
      <c r="K676" s="41"/>
      <c r="L676" s="41"/>
      <c r="M676" s="42">
        <f ca="1">IFERROR(M662+M675,"")</f>
        <v>0.17616238426546477</v>
      </c>
      <c r="N676" s="40" t="s">
        <v>236</v>
      </c>
      <c r="O676" s="83">
        <f>IFERROR(O662+O675,"")</f>
        <v>1447290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8" zoomScale="50" zoomScaleNormal="50" workbookViewId="0">
      <selection activeCell="O663" sqref="O6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580830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95</v>
      </c>
      <c r="G676" s="40">
        <f>G662+G675</f>
        <v>406.99999999999994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580830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L651" sqref="L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0.52546793982037343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0.72477349537592906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1.0921346064870401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0.49999999999999994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2026-07-25T22:36:15Z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