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29" documentId="8_{AF585B22-221D-4780-BB9C-493D365A6A02}" xr6:coauthVersionLast="47" xr6:coauthVersionMax="47" xr10:uidLastSave="{35587531-121C-4FF3-B038-16FAC987C28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<sst xmlns="http://schemas.openxmlformats.org/spreadsheetml/2006/main" count="8728" uniqueCount="370">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</sst>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650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E566" sqref="E5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0.56579745370254386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0.72343634259143275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0.83315856481365491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0.54426967592735309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0.71510300926068648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0.86024189814957541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255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255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8.4722222222222254E-2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5" sqref="F5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33</v>
      </c>
      <c r="G568" s="40">
        <f>G554+G567</f>
        <v>138.60000000000002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55" sqref="F55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0.55607523148501059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0.75538078704056622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1.1227418981516772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/>
      <c r="E555" s="62" t="s">
        <v>228</v>
      </c>
      <c r="F555" s="27"/>
      <c r="G555" s="34" t="str">
        <f t="shared" ref="G555:G566" si="123">IF(F555="","",IF(E555="PC 17",F555*4.2,IF(E555="PC 19",F555*5,"")))</f>
        <v/>
      </c>
      <c r="H555" s="33" t="s">
        <v>18</v>
      </c>
      <c r="I555" s="33" t="s">
        <v>57</v>
      </c>
      <c r="J555" s="33" t="s">
        <v>34</v>
      </c>
      <c r="K555" s="29">
        <v>0.29166666666666669</v>
      </c>
      <c r="L555" s="29"/>
      <c r="M555" s="35">
        <f t="shared" ref="M555:M566" ca="1" si="124">IFERROR(IF(K555="","",IF(L555="",MOD(NOW()-K555,1),IF(L555&gt;=K555,L555-K555,L555+1-K555))),"")</f>
        <v>0.51371412037406117</v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/>
      <c r="E556" s="62" t="s">
        <v>228</v>
      </c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/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/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/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/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/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/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/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/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/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/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0.51371412037406117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0.69288078704072775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2026-07-21T23:19:46Z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