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68" documentId="13_ncr:1_{0A10D8D4-8450-4366-8075-B53B08E6B7EA}" xr6:coauthVersionLast="47" xr6:coauthVersionMax="47" xr10:uidLastSave="{0D8B1BCB-C233-4211-9968-567EC3728EF2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403" i="6" s="1"/>
  <c r="J403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403" i="5" s="1"/>
  <c r="J403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403" i="4" s="1"/>
  <c r="J403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1" i="6" l="1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<sst xmlns="http://schemas.openxmlformats.org/spreadsheetml/2006/main" count="6951" uniqueCount="353">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</sst>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J398" sqref="J39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380</v>
      </c>
      <c r="G405" s="36">
        <f>SUM(G393:G404)</f>
        <v>1900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660</v>
      </c>
      <c r="G406" s="40">
        <f>G392+G405</f>
        <v>3315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P400" sqref="P40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0.13515358795848442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0.27404247684737332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0.35876469906959563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/>
      <c r="Q400" s="30">
        <f t="shared" ca="1" si="96"/>
        <v>3.2091435205074959E-3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4"/>
        <v>0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0</v>
      </c>
      <c r="I403" s="135">
        <f>IFERROR(IF($D403="","",VLOOKUP($D403,Cadastro!$C$4:$G$7,5,FALSE)),"")</f>
        <v>0.6</v>
      </c>
      <c r="J403" s="136">
        <f t="shared" si="94"/>
        <v>0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764.40000000000009</v>
      </c>
      <c r="L405" s="37"/>
      <c r="M405" s="37"/>
      <c r="N405" s="37"/>
      <c r="O405" s="37"/>
      <c r="P405" s="37"/>
      <c r="Q405" s="38">
        <f ca="1">IFERROR(SUM(Q393:Q404),"")</f>
        <v>0.11779247685384091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348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1461.6000000000004</v>
      </c>
      <c r="L406" s="41"/>
      <c r="M406" s="41"/>
      <c r="N406" s="41"/>
      <c r="O406" s="41"/>
      <c r="P406" s="41"/>
      <c r="Q406" s="42">
        <f ca="1">IFERROR(Q392+Q405,"")</f>
        <v>0.19001469907606311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82" activePane="bottomLeft" state="frozen"/>
      <selection pane="bottomLeft" activeCell="M395" sqref="M39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/>
      <c r="Q396" s="30">
        <f t="shared" ca="1" si="94"/>
        <v>3.2091435205074959E-3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2"/>
        <v>0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2"/>
        <v>0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0</v>
      </c>
      <c r="I403" s="135">
        <f>IFERROR(IF($D403="","",VLOOKUP($D403,Cadastro!$C$4:$G$7,5,FALSE)),"")</f>
        <v>0.6</v>
      </c>
      <c r="J403" s="136">
        <f t="shared" si="92"/>
        <v>0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3.5848032409396324E-2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0.10945914352050751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2" activePane="bottomLeft" state="frozen"/>
      <selection pane="bottomLeft" activeCell="G404" sqref="G40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0.62890358795993961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0.69348692129327283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4"/>
        <v>0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0</v>
      </c>
      <c r="I403" s="135">
        <f>IFERROR(IF($D403="","",VLOOKUP($D403,Cadastro!$C$4:$G$7,5,FALSE)),"")</f>
        <v>0.6</v>
      </c>
      <c r="J403" s="136">
        <f t="shared" si="94"/>
        <v>0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217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911.40000000000009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357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1499.4</v>
      </c>
      <c r="L406" s="41"/>
      <c r="M406" s="41"/>
      <c r="N406" s="41"/>
      <c r="O406" s="63"/>
      <c r="P406" s="63"/>
      <c r="Q406" s="42">
        <f ca="1">IFERROR(Q392+Q405,"")</f>
        <v>0.75320914351549506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2026-08-16T10:09:55Z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