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53" documentId="13_ncr:1_{A6DBCFB4-28D9-4249-9038-216934055CA6}" xr6:coauthVersionLast="47" xr6:coauthVersionMax="47" xr10:uidLastSave="{42951CC3-B116-4F3B-9688-F0A8CDDB4A62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<sst xmlns="http://schemas.openxmlformats.org/spreadsheetml/2006/main" count="10850" uniqueCount="442">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</sst>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88225050</v>
      </c>
      <c r="D35" s="30">
        <f t="shared" si="2"/>
        <v>27924670</v>
      </c>
      <c r="E35" s="30">
        <f t="shared" si="2"/>
        <v>15888570</v>
      </c>
      <c r="F35" s="30">
        <f t="shared" si="2"/>
        <v>37613570</v>
      </c>
      <c r="G35" s="30">
        <f t="shared" si="2"/>
        <v>81426810</v>
      </c>
      <c r="H35" s="31">
        <f t="shared" si="2"/>
        <v>8678.4145946384142</v>
      </c>
      <c r="I35" s="31">
        <f t="shared" si="2"/>
        <v>4967.05</v>
      </c>
      <c r="J35" s="32">
        <f>I35/H35</f>
        <v>0.5723453225049514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 t="s">
        <v>226</v>
      </c>
    </row>
    <row r="61" spans="1:18" ht="15" customHeight="1">
      <c r="M61" s="165"/>
      <c r="N61" s="40"/>
      <c r="O61" s="40"/>
      <c r="P61" s="40" t="s">
        <v>227</v>
      </c>
      <c r="Q61" s="40"/>
      <c r="R61" s="40"/>
    </row>
    <row r="62" spans="1:18" ht="15" customHeight="1">
      <c r="M62" s="165"/>
      <c r="N62" s="37"/>
      <c r="O62" s="37"/>
      <c r="P62" s="37" t="s">
        <v>228</v>
      </c>
      <c r="Q62" s="37"/>
      <c r="R62" s="37"/>
    </row>
    <row r="63" spans="1:18" ht="15" customHeight="1">
      <c r="M63" s="165"/>
      <c r="N63" s="40"/>
      <c r="O63" s="40"/>
      <c r="P63" s="40" t="s">
        <v>229</v>
      </c>
      <c r="Q63" s="40"/>
      <c r="R63" s="40"/>
    </row>
    <row r="64" spans="1:18" ht="15" customHeight="1">
      <c r="M64" s="165"/>
      <c r="N64" s="37"/>
      <c r="O64" s="37"/>
      <c r="P64" s="37" t="s">
        <v>230</v>
      </c>
      <c r="Q64" s="37"/>
      <c r="R64" s="37"/>
    </row>
    <row r="65" spans="13:18" ht="15" customHeight="1">
      <c r="M65" s="165"/>
      <c r="N65" s="40"/>
      <c r="O65" s="40"/>
      <c r="P65" s="40" t="s">
        <v>231</v>
      </c>
      <c r="Q65" s="40"/>
      <c r="R65" s="40"/>
    </row>
    <row r="66" spans="13:18" ht="15" customHeight="1">
      <c r="M66" s="165"/>
      <c r="N66" s="37"/>
      <c r="O66" s="37"/>
      <c r="P66" s="37" t="s">
        <v>232</v>
      </c>
      <c r="Q66" s="37"/>
      <c r="R66" s="37"/>
    </row>
    <row r="67" spans="13:18" ht="15" customHeight="1">
      <c r="M67" s="165"/>
      <c r="N67" s="40"/>
      <c r="O67" s="40"/>
      <c r="P67" s="40" t="s">
        <v>233</v>
      </c>
      <c r="Q67" s="40"/>
      <c r="R67" s="40"/>
    </row>
    <row r="68" spans="13:18" ht="15" customHeight="1">
      <c r="M68" s="165"/>
      <c r="N68" s="37"/>
      <c r="O68" s="37"/>
      <c r="P68" s="37" t="s">
        <v>234</v>
      </c>
      <c r="Q68" s="37"/>
      <c r="R68" s="37"/>
    </row>
    <row r="69" spans="13:18" ht="15" customHeight="1">
      <c r="M69" s="165"/>
      <c r="N69" s="40"/>
      <c r="O69" s="40"/>
      <c r="P69" s="40" t="s">
        <v>235</v>
      </c>
      <c r="Q69" s="40"/>
      <c r="R69" s="40"/>
    </row>
    <row r="70" spans="13:18" ht="15" customHeight="1">
      <c r="M70" s="165"/>
      <c r="N70" s="37"/>
      <c r="O70" s="37"/>
      <c r="P70" s="37" t="s">
        <v>236</v>
      </c>
      <c r="Q70" s="37"/>
      <c r="R70" s="37"/>
    </row>
    <row r="71" spans="13:18" ht="15" customHeight="1">
      <c r="M71" s="165"/>
      <c r="N71" s="40"/>
      <c r="O71" s="40"/>
      <c r="P71" s="40" t="s">
        <v>237</v>
      </c>
      <c r="Q71" s="40"/>
      <c r="R71" s="40"/>
    </row>
    <row r="72" spans="13:18" ht="15" customHeight="1">
      <c r="M72" s="165"/>
      <c r="N72" s="37"/>
      <c r="O72" s="37"/>
      <c r="P72" s="37" t="s">
        <v>238</v>
      </c>
      <c r="Q72" s="37"/>
      <c r="R72" s="37"/>
    </row>
    <row r="73" spans="13:18" ht="15" customHeight="1">
      <c r="M73" s="165"/>
      <c r="N73" s="40"/>
      <c r="O73" s="40"/>
      <c r="P73" s="40" t="s">
        <v>239</v>
      </c>
      <c r="Q73" s="40"/>
      <c r="R73" s="40"/>
    </row>
    <row r="74" spans="13:18" ht="15" customHeight="1">
      <c r="M74" s="165"/>
      <c r="N74" s="37"/>
      <c r="O74" s="37"/>
      <c r="P74" s="37" t="s">
        <v>240</v>
      </c>
      <c r="Q74" s="37"/>
      <c r="R74" s="37"/>
    </row>
    <row r="75" spans="13:18" ht="15" customHeight="1">
      <c r="M75" s="165"/>
      <c r="N75" s="40"/>
      <c r="O75" s="40"/>
      <c r="P75" s="40" t="s">
        <v>241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242</v>
      </c>
      <c r="C1" s="138" t="s">
        <v>243</v>
      </c>
      <c r="D1" s="138" t="s">
        <v>19</v>
      </c>
      <c r="E1" s="138" t="s">
        <v>244</v>
      </c>
      <c r="F1" s="138" t="s">
        <v>245</v>
      </c>
      <c r="G1" s="138" t="s">
        <v>246</v>
      </c>
      <c r="H1" s="138" t="s">
        <v>247</v>
      </c>
      <c r="I1" s="138" t="s">
        <v>248</v>
      </c>
      <c r="J1" s="138" t="s">
        <v>249</v>
      </c>
      <c r="K1" s="138" t="s">
        <v>250</v>
      </c>
    </row>
    <row r="2" spans="1:11" ht="15.75" customHeight="1">
      <c r="A2" s="139">
        <v>46235</v>
      </c>
      <c r="B2" s="140" t="s">
        <v>251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252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253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251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252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253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251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252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253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251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252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253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251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252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253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251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252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253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251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252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253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251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252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253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251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252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253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251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252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253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251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252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253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251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252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253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251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252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253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251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252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253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251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252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253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251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252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253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251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252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253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251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252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253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251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252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253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251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252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253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251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252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253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251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252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253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251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252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253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251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252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253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251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252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253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251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252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253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251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252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253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251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252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253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251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252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253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251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252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253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251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252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253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F655" sqref="F655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57" t="s">
        <v>256</v>
      </c>
      <c r="G1" s="57" t="s">
        <v>257</v>
      </c>
      <c r="H1" s="57" t="s">
        <v>23</v>
      </c>
      <c r="I1" s="57" t="s">
        <v>24</v>
      </c>
      <c r="J1" s="57" t="s">
        <v>258</v>
      </c>
      <c r="K1" s="57" t="s">
        <v>259</v>
      </c>
      <c r="L1" s="57" t="s">
        <v>260</v>
      </c>
      <c r="M1" s="58" t="s">
        <v>261</v>
      </c>
      <c r="N1" s="57" t="s">
        <v>250</v>
      </c>
      <c r="O1" s="57" t="s">
        <v>262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263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263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263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263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263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263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263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263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263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263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263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263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264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265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263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263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263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266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263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263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263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263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263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263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263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263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263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267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265</v>
      </c>
      <c r="O27" s="74">
        <v>997910</v>
      </c>
    </row>
    <row r="28" spans="1:15" ht="18" customHeight="1">
      <c r="A28" s="169" t="s">
        <v>253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263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263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269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263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266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263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263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263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263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263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263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263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263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263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264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265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263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270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263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263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263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263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263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263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263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263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263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263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267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265</v>
      </c>
      <c r="O54" s="74">
        <v>981310</v>
      </c>
    </row>
    <row r="55" spans="1:15" ht="18" customHeight="1">
      <c r="A55" s="169" t="s">
        <v>253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263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263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263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263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263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263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263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263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263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263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263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263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264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265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263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263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271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263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263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263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263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263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263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263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263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263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263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267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265</v>
      </c>
      <c r="O81" s="74">
        <v>1547910</v>
      </c>
    </row>
    <row r="82" spans="1:15" ht="18" customHeight="1">
      <c r="A82" s="169" t="s">
        <v>253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263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263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263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272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263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263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263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263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263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263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263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263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263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264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265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263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263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263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263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263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263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273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263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263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263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263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263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263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267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265</v>
      </c>
      <c r="O108" s="74">
        <v>3156240</v>
      </c>
    </row>
    <row r="109" spans="1:15" ht="18" customHeight="1">
      <c r="A109" s="169" t="s">
        <v>253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263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263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263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263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263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263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263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263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263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263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263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263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264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265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263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263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263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263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263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263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263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263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263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263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263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263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267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265</v>
      </c>
      <c r="O135" s="74">
        <v>2875180</v>
      </c>
    </row>
    <row r="136" spans="1:15" ht="18" customHeight="1">
      <c r="A136" s="169" t="s">
        <v>253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263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274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263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263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263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263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263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263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263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263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263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263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263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264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265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263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263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275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263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263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263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263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263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263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263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263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263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263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267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265</v>
      </c>
      <c r="O162" s="79">
        <v>842000</v>
      </c>
    </row>
    <row r="163" spans="1:15" ht="18" customHeight="1">
      <c r="A163" s="169" t="s">
        <v>253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263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240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276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263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263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263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263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263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263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263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263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263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263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263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264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265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263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277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263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263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263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263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263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263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263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278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263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263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263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267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265</v>
      </c>
      <c r="O189" s="74">
        <v>1901630</v>
      </c>
    </row>
    <row r="190" spans="1:15" ht="18" customHeight="1">
      <c r="A190" s="169" t="s">
        <v>253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263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263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263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279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263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263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263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263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263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263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263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263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263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264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265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263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263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263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263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263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263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263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263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263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263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263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263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267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265</v>
      </c>
      <c r="O216" s="74">
        <v>1852295</v>
      </c>
    </row>
    <row r="217" spans="1:15" ht="18" customHeight="1">
      <c r="A217" s="169" t="s">
        <v>253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268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263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263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263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280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263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263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263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263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263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263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263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263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263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264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265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263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263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263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281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281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281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281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281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281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281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281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281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267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265</v>
      </c>
      <c r="O243" s="74">
        <v>991010</v>
      </c>
    </row>
    <row r="244" spans="1:15" ht="18" customHeight="1">
      <c r="A244" s="169" t="s">
        <v>253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268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263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263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263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263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263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282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263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263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263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263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263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263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263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264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265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283</v>
      </c>
      <c r="E258" s="75" t="s">
        <v>263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283</v>
      </c>
      <c r="E259" s="75" t="s">
        <v>263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283</v>
      </c>
      <c r="E260" s="75" t="s">
        <v>263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283</v>
      </c>
      <c r="E261" s="75" t="s">
        <v>263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283</v>
      </c>
      <c r="E262" s="75" t="s">
        <v>263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283</v>
      </c>
      <c r="E263" s="75" t="s">
        <v>263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283</v>
      </c>
      <c r="E264" s="75" t="s">
        <v>263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283</v>
      </c>
      <c r="E265" s="75" t="s">
        <v>263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283</v>
      </c>
      <c r="E266" s="75" t="s">
        <v>263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283</v>
      </c>
      <c r="E267" s="75" t="s">
        <v>263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283</v>
      </c>
      <c r="E268" s="75" t="s">
        <v>263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283</v>
      </c>
      <c r="E269" s="75" t="s">
        <v>263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267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265</v>
      </c>
      <c r="O270" s="74">
        <v>1544700</v>
      </c>
    </row>
    <row r="271" spans="1:15" ht="18" customHeight="1">
      <c r="A271" s="169" t="s">
        <v>253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268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283</v>
      </c>
      <c r="E272" s="62" t="s">
        <v>263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283</v>
      </c>
      <c r="E273" s="62" t="s">
        <v>263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283</v>
      </c>
      <c r="E274" s="62" t="s">
        <v>263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283</v>
      </c>
      <c r="E275" s="62" t="s">
        <v>263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283</v>
      </c>
      <c r="E276" s="62" t="s">
        <v>263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283</v>
      </c>
      <c r="E277" s="62" t="s">
        <v>263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284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283</v>
      </c>
      <c r="E278" s="62" t="s">
        <v>263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283</v>
      </c>
      <c r="E279" s="62" t="s">
        <v>263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283</v>
      </c>
      <c r="E280" s="62" t="s">
        <v>263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283</v>
      </c>
      <c r="E281" s="62" t="s">
        <v>263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283</v>
      </c>
      <c r="E282" s="62" t="s">
        <v>263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283</v>
      </c>
      <c r="E283" s="62" t="s">
        <v>263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264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265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283</v>
      </c>
      <c r="E285" s="75" t="s">
        <v>278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283</v>
      </c>
      <c r="E286" s="75" t="s">
        <v>278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283</v>
      </c>
      <c r="E287" s="75" t="s">
        <v>278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283</v>
      </c>
      <c r="E288" s="75" t="s">
        <v>278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283</v>
      </c>
      <c r="E289" s="75" t="s">
        <v>278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283</v>
      </c>
      <c r="E290" s="75" t="s">
        <v>278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283</v>
      </c>
      <c r="E291" s="75" t="s">
        <v>278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283</v>
      </c>
      <c r="E292" s="75" t="s">
        <v>278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283</v>
      </c>
      <c r="E293" s="75" t="s">
        <v>278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283</v>
      </c>
      <c r="E294" s="75" t="s">
        <v>278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283</v>
      </c>
      <c r="E295" s="75" t="s">
        <v>278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283</v>
      </c>
      <c r="E296" s="75" t="s">
        <v>278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267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265</v>
      </c>
      <c r="O297" s="74">
        <v>1715230</v>
      </c>
    </row>
    <row r="298" spans="1:15" ht="18" customHeight="1">
      <c r="A298" s="169" t="s">
        <v>253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268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263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240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263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263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263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285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263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263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263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263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263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263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263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263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264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265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263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263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263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263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263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263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263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263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263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263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263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263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267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265</v>
      </c>
      <c r="O324" s="74">
        <v>2216340</v>
      </c>
    </row>
    <row r="325" spans="1:15" ht="18" customHeight="1">
      <c r="A325" s="169" t="s">
        <v>253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268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286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263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263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263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287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263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263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263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263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264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265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263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263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263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263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263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263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263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263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263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263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263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263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267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265</v>
      </c>
      <c r="O351" s="74">
        <v>2154990</v>
      </c>
    </row>
    <row r="352" spans="1:15" ht="18" customHeight="1">
      <c r="A352" s="169" t="s">
        <v>253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268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263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263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263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263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263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263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278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263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263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263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263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263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264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265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263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263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263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263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263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263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263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263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263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263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263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263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267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265</v>
      </c>
      <c r="O378" s="74">
        <v>2614830</v>
      </c>
    </row>
    <row r="379" spans="1:15" ht="18" customHeight="1">
      <c r="A379" s="169" t="s">
        <v>253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268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263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263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263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263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263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263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263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263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263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263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263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263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264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265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263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288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263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263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263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263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263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263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263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263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263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263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263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267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265</v>
      </c>
      <c r="O405" s="74">
        <v>2612000</v>
      </c>
    </row>
    <row r="406" spans="1:15" ht="18" customHeight="1">
      <c r="A406" s="169" t="s">
        <v>253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268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263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263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263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263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263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263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263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263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263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263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263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263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264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265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263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234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263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289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263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289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263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263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263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263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263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263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263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263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263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267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265</v>
      </c>
      <c r="O432" s="74">
        <v>2266710</v>
      </c>
    </row>
    <row r="433" spans="1:15" ht="18" customHeight="1">
      <c r="A433" s="169" t="s">
        <v>253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268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263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263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263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263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263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263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263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263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263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263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263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263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264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265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263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290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263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291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263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263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263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263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292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263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293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263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294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263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263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263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263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267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265</v>
      </c>
      <c r="O459" s="74">
        <v>2361680</v>
      </c>
    </row>
    <row r="460" spans="1:15" ht="18" customHeight="1">
      <c r="A460" s="169" t="s">
        <v>253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268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263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295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263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263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263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263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263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263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263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263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263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263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263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264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265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263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263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263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296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263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263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263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263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263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263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263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263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263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267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265</v>
      </c>
      <c r="O486" s="74">
        <v>1798670</v>
      </c>
    </row>
    <row r="487" spans="1:15" ht="18" customHeight="1">
      <c r="A487" s="169" t="s">
        <v>253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268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263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263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297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263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263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263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263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263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263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263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263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263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263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264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265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263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263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298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263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263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263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263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263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263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263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263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263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278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267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265</v>
      </c>
      <c r="O513" s="74">
        <v>2435830</v>
      </c>
    </row>
    <row r="514" spans="1:15" ht="18" customHeight="1">
      <c r="A514" s="169" t="s">
        <v>253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268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263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263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263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263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263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278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278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278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278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278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278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278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264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265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263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299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263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263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263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263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263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263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263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263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263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263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263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267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265</v>
      </c>
      <c r="O540" s="74">
        <v>667100</v>
      </c>
    </row>
    <row r="541" spans="1:15" ht="18" customHeight="1">
      <c r="A541" s="169" t="s">
        <v>253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268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300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264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265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263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300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263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266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263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301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263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263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302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263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263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303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263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263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263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263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263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267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265</v>
      </c>
      <c r="O567" s="74">
        <v>1031030</v>
      </c>
    </row>
    <row r="568" spans="1:15" ht="18" customHeight="1">
      <c r="A568" s="169" t="s">
        <v>253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268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263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263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263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304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263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263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263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263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263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263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263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263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263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264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265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263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305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263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306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263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263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263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263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263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263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263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263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263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263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267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265</v>
      </c>
      <c r="O594" s="74">
        <v>2100270</v>
      </c>
    </row>
    <row r="595" spans="1:15" ht="18" customHeight="1">
      <c r="A595" s="169" t="s">
        <v>253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268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263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263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263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263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263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263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263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263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263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263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263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263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264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265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263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263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307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263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263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263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263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263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263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263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263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263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263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267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265</v>
      </c>
      <c r="O621" s="74">
        <v>2354670</v>
      </c>
    </row>
    <row r="622" spans="1:15" ht="18" customHeight="1">
      <c r="A622" s="169" t="s">
        <v>253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268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263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263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263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263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263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263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263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263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263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263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263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263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264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265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263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 t="s">
        <v>29</v>
      </c>
      <c r="I636" s="61" t="s">
        <v>32</v>
      </c>
      <c r="J636" s="61" t="s">
        <v>145</v>
      </c>
      <c r="K636" s="65">
        <v>0.99930555555555556</v>
      </c>
      <c r="L636" s="65">
        <v>7.013888888888889E-2</v>
      </c>
      <c r="M636" s="66">
        <f t="shared" ref="M636:M647" ca="1" si="138">IFERROR(IF(K636="","",IF(L636="",MOD(NOW()-K636,1),IF(L636&gt;=K636,L636-K636,L636+1-K636))),"")</f>
        <v>7.0833333333333415E-2</v>
      </c>
      <c r="N636" s="80" t="s">
        <v>308</v>
      </c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263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263</v>
      </c>
      <c r="F638" s="63">
        <v>34</v>
      </c>
      <c r="G638" s="64">
        <f t="shared" si="137"/>
        <v>170</v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263</v>
      </c>
      <c r="F639" s="63">
        <v>50</v>
      </c>
      <c r="G639" s="69">
        <f t="shared" si="137"/>
        <v>250</v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263</v>
      </c>
      <c r="F640" s="63">
        <v>50</v>
      </c>
      <c r="G640" s="64">
        <f t="shared" si="137"/>
        <v>250</v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263</v>
      </c>
      <c r="F641" s="63">
        <v>20</v>
      </c>
      <c r="G641" s="69">
        <v>100</v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263</v>
      </c>
      <c r="F642" s="63">
        <v>0</v>
      </c>
      <c r="G642" s="64">
        <f t="shared" si="137"/>
        <v>0</v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263</v>
      </c>
      <c r="F643" s="63">
        <v>30</v>
      </c>
      <c r="G643" s="69">
        <f t="shared" si="137"/>
        <v>150</v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263</v>
      </c>
      <c r="F644" s="63">
        <v>50</v>
      </c>
      <c r="G644" s="64">
        <f t="shared" si="137"/>
        <v>250</v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263</v>
      </c>
      <c r="F645" s="63">
        <v>60</v>
      </c>
      <c r="G645" s="69">
        <f t="shared" si="137"/>
        <v>300</v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263</v>
      </c>
      <c r="F646" s="63">
        <v>50</v>
      </c>
      <c r="G646" s="64">
        <f t="shared" si="137"/>
        <v>250</v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263</v>
      </c>
      <c r="F647" s="63">
        <v>20</v>
      </c>
      <c r="G647" s="69">
        <f t="shared" si="137"/>
        <v>100</v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267</v>
      </c>
      <c r="B648" s="168"/>
      <c r="C648" s="168"/>
      <c r="D648" s="168"/>
      <c r="E648" s="168"/>
      <c r="F648" s="2">
        <f>SUM(F636:F647)</f>
        <v>441</v>
      </c>
      <c r="G648" s="2">
        <f>SUM(G636:G647)</f>
        <v>2205</v>
      </c>
      <c r="H648" s="72"/>
      <c r="I648" s="72"/>
      <c r="J648" s="72"/>
      <c r="K648" s="72"/>
      <c r="L648" s="72"/>
      <c r="M648" s="73">
        <f ca="1">IFERROR(SUM(M636:M647),"")</f>
        <v>7.0833333333333415E-2</v>
      </c>
      <c r="N648" s="2" t="s">
        <v>265</v>
      </c>
      <c r="O648" s="74">
        <v>2128400</v>
      </c>
    </row>
    <row r="649" spans="1:15" ht="18" customHeight="1">
      <c r="A649" s="169" t="s">
        <v>253</v>
      </c>
      <c r="B649" s="169"/>
      <c r="C649" s="169"/>
      <c r="D649" s="169"/>
      <c r="E649" s="169"/>
      <c r="F649" s="1">
        <f>F635+F648</f>
        <v>847</v>
      </c>
      <c r="G649" s="1">
        <f>G635+G648</f>
        <v>4235</v>
      </c>
      <c r="H649" s="76"/>
      <c r="I649" s="76"/>
      <c r="J649" s="76"/>
      <c r="K649" s="76"/>
      <c r="L649" s="76"/>
      <c r="M649" s="77">
        <f ca="1">IFERROR(M635+M648,"")</f>
        <v>9.3055555555555614E-2</v>
      </c>
      <c r="N649" s="1" t="s">
        <v>268</v>
      </c>
      <c r="O649" s="82">
        <f>IFERROR(O635+O648,"")</f>
        <v>4902940</v>
      </c>
    </row>
    <row r="650" spans="1:15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62" t="s">
        <v>263</v>
      </c>
      <c r="F650" s="63">
        <v>52</v>
      </c>
      <c r="G650" s="64">
        <f t="shared" ref="G650:G661" si="140">IF(F650="","",IF(E650="PC 17",F650*4.2,IF(E650="PC 19",F650*5,IF(E650="CB",F650*35,""))))</f>
        <v>260</v>
      </c>
      <c r="H650" s="61" t="s">
        <v>29</v>
      </c>
      <c r="I650" s="61" t="s">
        <v>32</v>
      </c>
      <c r="J650" s="61" t="s">
        <v>145</v>
      </c>
      <c r="K650" s="65">
        <v>0.51736111111111116</v>
      </c>
      <c r="L650" s="65"/>
      <c r="M650" s="66">
        <f t="shared" ref="M650:M661" ca="1" si="141">IFERROR(IF(K650="","",IF(L650="",MOD(NOW()-K650,1),IF(L650&gt;=K650,L650-K650,L650+1-K650))),"")</f>
        <v>4.3804050925245974E-2</v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 t="s">
        <v>30</v>
      </c>
      <c r="D651" s="62" t="s">
        <v>31</v>
      </c>
      <c r="E651" s="62" t="s">
        <v>263</v>
      </c>
      <c r="F651" s="63">
        <v>37</v>
      </c>
      <c r="G651" s="69">
        <f t="shared" si="140"/>
        <v>185</v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 t="s">
        <v>30</v>
      </c>
      <c r="D652" s="62" t="s">
        <v>31</v>
      </c>
      <c r="E652" s="62" t="s">
        <v>263</v>
      </c>
      <c r="F652" s="63">
        <v>36</v>
      </c>
      <c r="G652" s="69">
        <f t="shared" si="140"/>
        <v>180</v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 t="s">
        <v>30</v>
      </c>
      <c r="D653" s="62" t="s">
        <v>31</v>
      </c>
      <c r="E653" s="62" t="s">
        <v>263</v>
      </c>
      <c r="F653" s="63">
        <v>33</v>
      </c>
      <c r="G653" s="69">
        <f t="shared" si="140"/>
        <v>165</v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 t="s">
        <v>30</v>
      </c>
      <c r="D654" s="62" t="s">
        <v>31</v>
      </c>
      <c r="E654" s="62" t="s">
        <v>263</v>
      </c>
      <c r="F654" s="63">
        <v>40</v>
      </c>
      <c r="G654" s="64">
        <f t="shared" si="140"/>
        <v>200</v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 t="s">
        <v>30</v>
      </c>
      <c r="D655" s="62" t="s">
        <v>31</v>
      </c>
      <c r="E655" s="62" t="s">
        <v>263</v>
      </c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 t="s">
        <v>30</v>
      </c>
      <c r="D656" s="62" t="s">
        <v>31</v>
      </c>
      <c r="E656" s="62" t="s">
        <v>263</v>
      </c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 t="s">
        <v>30</v>
      </c>
      <c r="D657" s="62" t="s">
        <v>31</v>
      </c>
      <c r="E657" s="62" t="s">
        <v>263</v>
      </c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 t="s">
        <v>30</v>
      </c>
      <c r="D658" s="62" t="s">
        <v>31</v>
      </c>
      <c r="E658" s="62" t="s">
        <v>263</v>
      </c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 t="s">
        <v>30</v>
      </c>
      <c r="D659" s="62" t="s">
        <v>31</v>
      </c>
      <c r="E659" s="62" t="s">
        <v>263</v>
      </c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 t="s">
        <v>30</v>
      </c>
      <c r="D660" s="62" t="s">
        <v>31</v>
      </c>
      <c r="E660" s="62" t="s">
        <v>263</v>
      </c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 t="s">
        <v>30</v>
      </c>
      <c r="D661" s="62" t="s">
        <v>31</v>
      </c>
      <c r="E661" s="62" t="s">
        <v>263</v>
      </c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264</v>
      </c>
      <c r="B662" s="168"/>
      <c r="C662" s="168"/>
      <c r="D662" s="168"/>
      <c r="E662" s="168"/>
      <c r="F662" s="2">
        <f>SUM(F650:F661)</f>
        <v>198</v>
      </c>
      <c r="G662" s="2">
        <f>SUM(G650:G661)</f>
        <v>990</v>
      </c>
      <c r="H662" s="72"/>
      <c r="I662" s="72"/>
      <c r="J662" s="72"/>
      <c r="K662" s="72"/>
      <c r="L662" s="72"/>
      <c r="M662" s="73">
        <f ca="1">IFERROR(SUM(M650:M661),"")</f>
        <v>4.3804050925245974E-2</v>
      </c>
      <c r="N662" s="2" t="s">
        <v>265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267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265</v>
      </c>
      <c r="O675" s="74"/>
    </row>
    <row r="676" spans="1:15" ht="18" customHeight="1">
      <c r="A676" s="169" t="s">
        <v>253</v>
      </c>
      <c r="B676" s="169"/>
      <c r="C676" s="169"/>
      <c r="D676" s="169"/>
      <c r="E676" s="169"/>
      <c r="F676" s="1">
        <f>F662+F675</f>
        <v>198</v>
      </c>
      <c r="G676" s="1">
        <f>G662+G675</f>
        <v>990</v>
      </c>
      <c r="H676" s="76"/>
      <c r="I676" s="76"/>
      <c r="J676" s="76"/>
      <c r="K676" s="76"/>
      <c r="L676" s="76"/>
      <c r="M676" s="77">
        <f ca="1">IFERROR(M662+M675,"")</f>
        <v>4.3804050925245974E-2</v>
      </c>
      <c r="N676" s="1" t="s">
        <v>268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264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265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267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265</v>
      </c>
      <c r="O702" s="74"/>
    </row>
    <row r="703" spans="1:15" ht="18" customHeight="1">
      <c r="A703" s="169" t="s">
        <v>253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268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264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265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267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265</v>
      </c>
      <c r="O729" s="74"/>
    </row>
    <row r="730" spans="1:15" ht="18" customHeight="1">
      <c r="A730" s="169" t="s">
        <v>253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268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264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265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267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265</v>
      </c>
      <c r="O756" s="74"/>
    </row>
    <row r="757" spans="1:15" ht="18" customHeight="1">
      <c r="A757" s="169" t="s">
        <v>253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268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264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265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267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265</v>
      </c>
      <c r="O783" s="74"/>
    </row>
    <row r="784" spans="1:15" ht="18" customHeight="1">
      <c r="A784" s="169" t="s">
        <v>253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268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264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265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267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265</v>
      </c>
      <c r="O810" s="74"/>
    </row>
    <row r="811" spans="1:15" ht="18" customHeight="1">
      <c r="A811" s="169" t="s">
        <v>253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264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265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267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265</v>
      </c>
      <c r="O837" s="74"/>
    </row>
    <row r="838" spans="1:15" ht="18" customHeight="1">
      <c r="A838" s="169" t="s">
        <v>253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47" activePane="bottomLeft" state="frozen"/>
      <selection pane="bottomLeft" activeCell="N650" sqref="N650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311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265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278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278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278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278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278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278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278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278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278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278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278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278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265</v>
      </c>
      <c r="S27" s="74">
        <v>549860</v>
      </c>
      <c r="T27" s="99"/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278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278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278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278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278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278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278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278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278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278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278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278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265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0.43963738425372867</v>
      </c>
      <c r="R53" s="80" t="s">
        <v>319</v>
      </c>
      <c r="S53" s="67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0.5785262731426164</v>
      </c>
      <c r="R54" s="2" t="s">
        <v>265</v>
      </c>
      <c r="S54" s="113">
        <v>352430</v>
      </c>
      <c r="T54" s="114"/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0.66324849536483921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278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278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278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278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278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278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311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278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278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278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278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265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320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278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278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265</v>
      </c>
      <c r="S81" s="115">
        <v>634210</v>
      </c>
      <c r="T81" s="116"/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278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227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265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321</v>
      </c>
      <c r="Q96" s="66" t="str">
        <f t="shared" ref="Q96:Q107" ca="1" si="22">IFERROR(IF(O96="","",IF(P96="",MOD(NOW()-O96,1),IF(P96&gt;=O96,P96-O96,P96+1-O96))),"")</f>
        <v/>
      </c>
      <c r="R96" s="80" t="s">
        <v>322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266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265</v>
      </c>
      <c r="S108" s="115">
        <v>456830</v>
      </c>
      <c r="T108" s="116"/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265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265</v>
      </c>
      <c r="S135" s="115">
        <v>756720</v>
      </c>
      <c r="T135" s="116"/>
    </row>
    <row r="136" spans="1:20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0" t="s">
        <v>264</v>
      </c>
      <c r="B149" s="160"/>
      <c r="C149" s="160"/>
      <c r="D149" s="160"/>
      <c r="E149" s="160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265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265</v>
      </c>
      <c r="S162" s="115">
        <v>501750</v>
      </c>
      <c r="T162" s="116"/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278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278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278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278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278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278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278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278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278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278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278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265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278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278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330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278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331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278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278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278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265</v>
      </c>
      <c r="S189" s="74">
        <v>362530</v>
      </c>
      <c r="T189" s="99"/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265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265</v>
      </c>
      <c r="S216" s="74">
        <v>609740</v>
      </c>
      <c r="T216" s="99"/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268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320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266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265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266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265</v>
      </c>
      <c r="S243" s="74">
        <v>825930</v>
      </c>
      <c r="T243" s="99"/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268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278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278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265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278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278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278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278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278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278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278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278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278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278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278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278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265</v>
      </c>
      <c r="S270" s="74">
        <v>732130</v>
      </c>
      <c r="T270" s="99"/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268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278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278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278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278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263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278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265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263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263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278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278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263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263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263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263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263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263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263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263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265</v>
      </c>
      <c r="S297" s="74">
        <v>990260</v>
      </c>
      <c r="T297" s="99"/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268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278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278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278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278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278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278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278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278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278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278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278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278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265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278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278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278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278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278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278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278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278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278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278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278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278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265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268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263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263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340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265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265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268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320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0" t="s">
        <v>264</v>
      </c>
      <c r="B365" s="160"/>
      <c r="C365" s="160"/>
      <c r="D365" s="160"/>
      <c r="E365" s="160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265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341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265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268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278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278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265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265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268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265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267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265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253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268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278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278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265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263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265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268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265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350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265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268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295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278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265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278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267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265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253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268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265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278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263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351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265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268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265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278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278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278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265</v>
      </c>
      <c r="S567" s="74">
        <v>0</v>
      </c>
      <c r="T567" s="99">
        <f>IFERROR(J567,"")</f>
        <v>0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268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278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265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354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263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278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265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268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265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355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278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265</v>
      </c>
      <c r="S621" s="74">
        <v>508500</v>
      </c>
      <c r="T621" s="99">
        <f>IFERROR(J621,"")</f>
        <v>106.785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268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229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327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265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73.371125827814566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15.407936423841058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>
        <v>0.88749999999999996</v>
      </c>
      <c r="Q636" s="66">
        <f t="shared" ref="Q636:Q647" ca="1" si="168">IFERROR(IF(O636="","",IF(P636="",MOD(NOW()-O636,1),IF(P636&gt;=O636,P636-O636,P636+1-O636))),"")</f>
        <v>2.1527777777777701E-2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50.442649006622517</v>
      </c>
      <c r="I637" s="90">
        <f>IFERROR(IF($D637="","",VLOOKUP($D637,Cadastro!$C$4:$G$7,5,FALSE())),"")</f>
        <v>0.6</v>
      </c>
      <c r="J637" s="91">
        <f t="shared" si="166"/>
        <v>10.592956291390726</v>
      </c>
      <c r="K637" s="69">
        <f t="shared" si="167"/>
        <v>55</v>
      </c>
      <c r="L637" s="70" t="s">
        <v>28</v>
      </c>
      <c r="M637" s="70" t="s">
        <v>171</v>
      </c>
      <c r="N637" s="70" t="s">
        <v>36</v>
      </c>
      <c r="O637" s="65">
        <v>0.92083333333333328</v>
      </c>
      <c r="P637" s="65">
        <v>0.9375</v>
      </c>
      <c r="Q637" s="71">
        <f t="shared" ca="1" si="168"/>
        <v>1.6666666666666718E-2</v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10</v>
      </c>
      <c r="H638" s="88">
        <f>IFERROR(IF($G638="","",$G638*$S$648/$G$648/Cadastro!$E$33),"")</f>
        <v>45.856953642384106</v>
      </c>
      <c r="I638" s="90">
        <f>IFERROR(IF($D638="","",VLOOKUP($D638,Cadastro!$C$4:$G$7,5,FALSE())),"")</f>
        <v>0.6</v>
      </c>
      <c r="J638" s="91">
        <f t="shared" si="166"/>
        <v>9.6299602649006619</v>
      </c>
      <c r="K638" s="64">
        <f t="shared" si="167"/>
        <v>42</v>
      </c>
      <c r="L638" s="61" t="s">
        <v>29</v>
      </c>
      <c r="M638" s="61" t="s">
        <v>48</v>
      </c>
      <c r="N638" s="61" t="s">
        <v>45</v>
      </c>
      <c r="O638" s="65">
        <v>6.9444444444444441E-3</v>
      </c>
      <c r="P638" s="65">
        <v>2.361111111111111E-2</v>
      </c>
      <c r="Q638" s="66">
        <f t="shared" ca="1" si="168"/>
        <v>1.6666666666666666E-2</v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10</v>
      </c>
      <c r="H639" s="88">
        <f>IFERROR(IF($G639="","",$G639*$S$648/$G$648/Cadastro!$E$33),"")</f>
        <v>45.856953642384106</v>
      </c>
      <c r="I639" s="90">
        <f>IFERROR(IF($D639="","",VLOOKUP($D639,Cadastro!$C$4:$G$7,5,FALSE())),"")</f>
        <v>0.6</v>
      </c>
      <c r="J639" s="91">
        <f t="shared" si="166"/>
        <v>9.6299602649006619</v>
      </c>
      <c r="K639" s="69">
        <f t="shared" si="167"/>
        <v>42</v>
      </c>
      <c r="L639" s="70" t="s">
        <v>29</v>
      </c>
      <c r="M639" s="70" t="s">
        <v>48</v>
      </c>
      <c r="N639" s="70" t="s">
        <v>45</v>
      </c>
      <c r="O639" s="65">
        <v>0.19930555555555557</v>
      </c>
      <c r="P639" s="65">
        <v>0.20833333333333334</v>
      </c>
      <c r="Q639" s="71">
        <f t="shared" ca="1" si="168"/>
        <v>9.0277777777777735E-3</v>
      </c>
      <c r="R639" s="80" t="s">
        <v>356</v>
      </c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20</v>
      </c>
      <c r="H640" s="88">
        <f>IFERROR(IF($G640="","",$G640*$S$648/$G$648/Cadastro!$E$33),"")</f>
        <v>91.713907284768212</v>
      </c>
      <c r="I640" s="90">
        <f>IFERROR(IF($D640="","",VLOOKUP($D640,Cadastro!$C$4:$G$7,5,FALSE())),"")</f>
        <v>0.6</v>
      </c>
      <c r="J640" s="91">
        <f t="shared" si="166"/>
        <v>19.259920529801324</v>
      </c>
      <c r="K640" s="64">
        <f t="shared" si="167"/>
        <v>84</v>
      </c>
      <c r="L640" s="61" t="s">
        <v>29</v>
      </c>
      <c r="M640" s="61"/>
      <c r="N640" s="61" t="s">
        <v>226</v>
      </c>
      <c r="O640" s="65">
        <v>0.25</v>
      </c>
      <c r="P640" s="65">
        <v>0.29166666666666669</v>
      </c>
      <c r="Q640" s="66">
        <f t="shared" ca="1" si="168"/>
        <v>4.1666666666666685E-2</v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15</v>
      </c>
      <c r="H641" s="88">
        <f>IFERROR(IF($G641="","",$G641*$S$648/$G$648/Cadastro!$E$33),"")</f>
        <v>68.785430463576162</v>
      </c>
      <c r="I641" s="90">
        <f>IFERROR(IF($D641="","",VLOOKUP($D641,Cadastro!$C$4:$G$7,5,FALSE())),"")</f>
        <v>0.6</v>
      </c>
      <c r="J641" s="91">
        <f t="shared" si="166"/>
        <v>14.444940397350992</v>
      </c>
      <c r="K641" s="69">
        <f t="shared" si="167"/>
        <v>63</v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13</v>
      </c>
      <c r="H642" s="88">
        <f>IFERROR(IF($G642="","",$G642*$S$648/$G$648/Cadastro!$E$33),"")</f>
        <v>59.61403973509934</v>
      </c>
      <c r="I642" s="90">
        <f>IFERROR(IF($D642="","",VLOOKUP($D642,Cadastro!$C$4:$G$7,5,FALSE())),"")</f>
        <v>0.6</v>
      </c>
      <c r="J642" s="91">
        <f t="shared" si="166"/>
        <v>12.518948344370859</v>
      </c>
      <c r="K642" s="64">
        <f t="shared" si="167"/>
        <v>54.6</v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17</v>
      </c>
      <c r="H643" s="88">
        <f>IFERROR(IF($G643="","",$G643*$S$648/$G$648/Cadastro!$E$33),"")</f>
        <v>77.956821192052985</v>
      </c>
      <c r="I643" s="90">
        <f>IFERROR(IF($D643="","",VLOOKUP($D643,Cadastro!$C$4:$G$7,5,FALSE())),"")</f>
        <v>0.6</v>
      </c>
      <c r="J643" s="91">
        <f t="shared" si="166"/>
        <v>16.370932450331125</v>
      </c>
      <c r="K643" s="69">
        <f t="shared" si="167"/>
        <v>71.400000000000006</v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15</v>
      </c>
      <c r="H644" s="88">
        <f>IFERROR(IF($G644="","",$G644*$S$648/$G$648/Cadastro!$E$33),"")</f>
        <v>68.785430463576162</v>
      </c>
      <c r="I644" s="90">
        <f>IFERROR(IF($D644="","",VLOOKUP($D644,Cadastro!$C$4:$G$7,5,FALSE())),"")</f>
        <v>0.6</v>
      </c>
      <c r="J644" s="91">
        <f t="shared" si="166"/>
        <v>14.444940397350992</v>
      </c>
      <c r="K644" s="64">
        <f t="shared" si="167"/>
        <v>63</v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19</v>
      </c>
      <c r="H645" s="88">
        <f>IFERROR(IF($G645="","",$G645*$S$648/$G$648/Cadastro!$E$33),"")</f>
        <v>87.128211920529807</v>
      </c>
      <c r="I645" s="90">
        <f>IFERROR(IF($D645="","",VLOOKUP($D645,Cadastro!$C$4:$G$7,5,FALSE())),"")</f>
        <v>0.6</v>
      </c>
      <c r="J645" s="91">
        <f t="shared" si="166"/>
        <v>18.296924503311256</v>
      </c>
      <c r="K645" s="69">
        <f t="shared" si="167"/>
        <v>79.8</v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5</v>
      </c>
      <c r="H646" s="88">
        <f>IFERROR(IF($G646="","",$G646*$S$648/$G$648/Cadastro!$E$33),"")</f>
        <v>22.928476821192053</v>
      </c>
      <c r="I646" s="90">
        <f>IFERROR(IF($D646="","",VLOOKUP($D646,Cadastro!$C$4:$G$7,5,FALSE())),"")</f>
        <v>0.6</v>
      </c>
      <c r="J646" s="91">
        <f t="shared" si="166"/>
        <v>4.814980132450331</v>
      </c>
      <c r="K646" s="64">
        <f t="shared" si="167"/>
        <v>21</v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6"/>
        <v>0</v>
      </c>
      <c r="K647" s="69">
        <f t="shared" si="167"/>
        <v>0</v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151</v>
      </c>
      <c r="H648" s="105">
        <f>IFERROR(SUM(H636:H647),"")</f>
        <v>692.43999999999994</v>
      </c>
      <c r="I648" s="106"/>
      <c r="J648" s="107">
        <f>IFERROR(SUM(J636:J647),"")</f>
        <v>145.41239999999996</v>
      </c>
      <c r="K648" s="2">
        <f>SUM(K636:K647)</f>
        <v>643</v>
      </c>
      <c r="L648" s="72"/>
      <c r="M648" s="72"/>
      <c r="N648" s="72"/>
      <c r="O648" s="72"/>
      <c r="P648" s="72"/>
      <c r="Q648" s="73">
        <f ca="1">IFERROR(SUM(Q636:Q647),"")</f>
        <v>0.10555555555555554</v>
      </c>
      <c r="R648" s="2" t="s">
        <v>265</v>
      </c>
      <c r="S648" s="74">
        <v>692440</v>
      </c>
      <c r="T648" s="99">
        <f>IFERROR(J648,"")</f>
        <v>145.41239999999996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313</v>
      </c>
      <c r="H649" s="108">
        <f>IFERROR(H635+H648,"")</f>
        <v>1324.22</v>
      </c>
      <c r="I649" s="110"/>
      <c r="J649" s="111">
        <f>IFERROR(J635+J648,"")</f>
        <v>278.08619999999996</v>
      </c>
      <c r="K649" s="1">
        <f>K635+K648</f>
        <v>1323.4</v>
      </c>
      <c r="L649" s="76"/>
      <c r="M649" s="76"/>
      <c r="N649" s="76"/>
      <c r="O649" s="76"/>
      <c r="P649" s="76"/>
      <c r="Q649" s="77">
        <f ca="1">IFERROR(Q635+Q648,"")</f>
        <v>0.17638888888888901</v>
      </c>
      <c r="R649" s="1" t="s">
        <v>268</v>
      </c>
      <c r="S649" s="82">
        <f>S635+S648</f>
        <v>1324220</v>
      </c>
      <c r="T649" s="118">
        <f>IFERROR(J649,"")</f>
        <v>278.08619999999996</v>
      </c>
    </row>
    <row r="650" spans="1:20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87" t="s">
        <v>278</v>
      </c>
      <c r="F650" s="101">
        <f>IFERROR(IF($D650="","",VLOOKUP($D650,Cadastro!$C$4:$E$7,3,FALSE())),"")</f>
        <v>0.35</v>
      </c>
      <c r="G650" s="89"/>
      <c r="H650" s="101" t="str">
        <f>IFERROR(IF($G650="","",$G650*$S$662/$G$662/Cadastro!$E$33),"")</f>
        <v/>
      </c>
      <c r="I650" s="102">
        <f>IFERROR(IF($D650="","",VLOOKUP($D650,Cadastro!$C$4:$G$7,5,FALSE())),"")</f>
        <v>0.6</v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 t="s">
        <v>29</v>
      </c>
      <c r="M650" s="61"/>
      <c r="N650" s="61" t="s">
        <v>226</v>
      </c>
      <c r="O650" s="65">
        <v>0.29166666666666669</v>
      </c>
      <c r="P650" s="65"/>
      <c r="Q650" s="66">
        <f t="shared" ref="Q650:Q661" ca="1" si="172">IFERROR(IF(O650="","",IF(P650="",MOD(NOW()-O650,1),IF(P650&gt;=O650,P650-O650,P650+1-O650))),"")</f>
        <v>0.26949849537049886</v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 t="s">
        <v>30</v>
      </c>
      <c r="D651" s="62" t="s">
        <v>31</v>
      </c>
      <c r="E651" s="87" t="s">
        <v>278</v>
      </c>
      <c r="F651" s="88">
        <f>IFERROR(IF($D651="","",VLOOKUP($D651,Cadastro!$C$4:$E$7,3,FALSE())),"")</f>
        <v>0.35</v>
      </c>
      <c r="G651" s="89"/>
      <c r="H651" s="88" t="str">
        <f>IFERROR(IF($G651="","",$G651*$S$662/$G$662/Cadastro!$E$33),"")</f>
        <v/>
      </c>
      <c r="I651" s="90">
        <f>IFERROR(IF($D651="","",VLOOKUP($D651,Cadastro!$C$4:$G$7,5,FALSE())),"")</f>
        <v>0.6</v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 t="s">
        <v>30</v>
      </c>
      <c r="D652" s="62" t="s">
        <v>31</v>
      </c>
      <c r="E652" s="87" t="s">
        <v>278</v>
      </c>
      <c r="F652" s="88">
        <f>IFERROR(IF($D652="","",VLOOKUP($D652,Cadastro!$C$4:$E$7,3,FALSE())),"")</f>
        <v>0.35</v>
      </c>
      <c r="G652" s="89"/>
      <c r="H652" s="88" t="str">
        <f>IFERROR(IF($G652="","",$G652*$S$662/$G$662/Cadastro!$E$33),"")</f>
        <v/>
      </c>
      <c r="I652" s="90">
        <f>IFERROR(IF($D652="","",VLOOKUP($D652,Cadastro!$C$4:$G$7,5,FALSE())),"")</f>
        <v>0.6</v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 t="s">
        <v>30</v>
      </c>
      <c r="D653" s="62" t="s">
        <v>31</v>
      </c>
      <c r="E653" s="87" t="s">
        <v>278</v>
      </c>
      <c r="F653" s="88">
        <f>IFERROR(IF($D653="","",VLOOKUP($D653,Cadastro!$C$4:$E$7,3,FALSE())),"")</f>
        <v>0.35</v>
      </c>
      <c r="G653" s="89"/>
      <c r="H653" s="88" t="str">
        <f>IFERROR(IF($G653="","",$G653*$S$662/$G$662/Cadastro!$E$33),"")</f>
        <v/>
      </c>
      <c r="I653" s="90">
        <f>IFERROR(IF($D653="","",VLOOKUP($D653,Cadastro!$C$4:$G$7,5,FALSE())),"")</f>
        <v>0.6</v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 t="s">
        <v>30</v>
      </c>
      <c r="D654" s="62" t="s">
        <v>31</v>
      </c>
      <c r="E654" s="87" t="s">
        <v>278</v>
      </c>
      <c r="F654" s="88">
        <f>IFERROR(IF($D654="","",VLOOKUP($D654,Cadastro!$C$4:$E$7,3,FALSE())),"")</f>
        <v>0.35</v>
      </c>
      <c r="G654" s="89"/>
      <c r="H654" s="88" t="str">
        <f>IFERROR(IF($G654="","",$G654*$S$662/$G$662/Cadastro!$E$33),"")</f>
        <v/>
      </c>
      <c r="I654" s="90">
        <f>IFERROR(IF($D654="","",VLOOKUP($D654,Cadastro!$C$4:$G$7,5,FALSE())),"")</f>
        <v>0.6</v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 t="s">
        <v>30</v>
      </c>
      <c r="D655" s="62" t="s">
        <v>31</v>
      </c>
      <c r="E655" s="87" t="s">
        <v>278</v>
      </c>
      <c r="F655" s="88">
        <f>IFERROR(IF($D655="","",VLOOKUP($D655,Cadastro!$C$4:$E$7,3,FALSE())),"")</f>
        <v>0.35</v>
      </c>
      <c r="G655" s="89"/>
      <c r="H655" s="88" t="str">
        <f>IFERROR(IF($G655="","",$G655*$S$662/$G$662/Cadastro!$E$33),"")</f>
        <v/>
      </c>
      <c r="I655" s="90">
        <f>IFERROR(IF($D655="","",VLOOKUP($D655,Cadastro!$C$4:$G$7,5,FALSE())),"")</f>
        <v>0.6</v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 t="s">
        <v>30</v>
      </c>
      <c r="D656" s="62" t="s">
        <v>31</v>
      </c>
      <c r="E656" s="87" t="s">
        <v>278</v>
      </c>
      <c r="F656" s="88">
        <f>IFERROR(IF($D656="","",VLOOKUP($D656,Cadastro!$C$4:$E$7,3,FALSE())),"")</f>
        <v>0.35</v>
      </c>
      <c r="G656" s="89"/>
      <c r="H656" s="88" t="str">
        <f>IFERROR(IF($G656="","",$G656*$S$662/$G$662/Cadastro!$E$33),"")</f>
        <v/>
      </c>
      <c r="I656" s="90">
        <f>IFERROR(IF($D656="","",VLOOKUP($D656,Cadastro!$C$4:$G$7,5,FALSE())),"")</f>
        <v>0.6</v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 t="s">
        <v>30</v>
      </c>
      <c r="D657" s="62" t="s">
        <v>31</v>
      </c>
      <c r="E657" s="87" t="s">
        <v>278</v>
      </c>
      <c r="F657" s="88">
        <f>IFERROR(IF($D657="","",VLOOKUP($D657,Cadastro!$C$4:$E$7,3,FALSE())),"")</f>
        <v>0.35</v>
      </c>
      <c r="G657" s="89"/>
      <c r="H657" s="88" t="str">
        <f>IFERROR(IF($G657="","",$G657*$S$662/$G$662/Cadastro!$E$33),"")</f>
        <v/>
      </c>
      <c r="I657" s="90">
        <f>IFERROR(IF($D657="","",VLOOKUP($D657,Cadastro!$C$4:$G$7,5,FALSE())),"")</f>
        <v>0.6</v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 t="s">
        <v>30</v>
      </c>
      <c r="D658" s="62" t="s">
        <v>31</v>
      </c>
      <c r="E658" s="87" t="s">
        <v>278</v>
      </c>
      <c r="F658" s="88">
        <f>IFERROR(IF($D658="","",VLOOKUP($D658,Cadastro!$C$4:$E$7,3,FALSE())),"")</f>
        <v>0.35</v>
      </c>
      <c r="G658" s="89"/>
      <c r="H658" s="88" t="str">
        <f>IFERROR(IF($G658="","",$G658*$S$662/$G$662/Cadastro!$E$33),"")</f>
        <v/>
      </c>
      <c r="I658" s="90">
        <f>IFERROR(IF($D658="","",VLOOKUP($D658,Cadastro!$C$4:$G$7,5,FALSE())),"")</f>
        <v>0.6</v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 t="s">
        <v>30</v>
      </c>
      <c r="D659" s="62" t="s">
        <v>31</v>
      </c>
      <c r="E659" s="87" t="s">
        <v>278</v>
      </c>
      <c r="F659" s="88">
        <f>IFERROR(IF($D659="","",VLOOKUP($D659,Cadastro!$C$4:$E$7,3,FALSE())),"")</f>
        <v>0.35</v>
      </c>
      <c r="G659" s="89"/>
      <c r="H659" s="88" t="str">
        <f>IFERROR(IF($G659="","",$G659*$S$662/$G$662/Cadastro!$E$33),"")</f>
        <v/>
      </c>
      <c r="I659" s="90">
        <f>IFERROR(IF($D659="","",VLOOKUP($D659,Cadastro!$C$4:$G$7,5,FALSE())),"")</f>
        <v>0.6</v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 t="s">
        <v>30</v>
      </c>
      <c r="D660" s="62" t="s">
        <v>31</v>
      </c>
      <c r="E660" s="87" t="s">
        <v>278</v>
      </c>
      <c r="F660" s="88">
        <f>IFERROR(IF($D660="","",VLOOKUP($D660,Cadastro!$C$4:$E$7,3,FALSE())),"")</f>
        <v>0.35</v>
      </c>
      <c r="G660" s="89"/>
      <c r="H660" s="88" t="str">
        <f>IFERROR(IF($G660="","",$G660*$S$662/$G$662/Cadastro!$E$33),"")</f>
        <v/>
      </c>
      <c r="I660" s="90">
        <f>IFERROR(IF($D660="","",VLOOKUP($D660,Cadastro!$C$4:$G$7,5,FALSE())),"")</f>
        <v>0.6</v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 t="s">
        <v>30</v>
      </c>
      <c r="D661" s="62" t="s">
        <v>31</v>
      </c>
      <c r="E661" s="87" t="s">
        <v>278</v>
      </c>
      <c r="F661" s="92">
        <f>IFERROR(IF($D661="","",VLOOKUP($D661,Cadastro!$C$4:$E$7,3,FALSE())),"")</f>
        <v>0.35</v>
      </c>
      <c r="G661" s="89"/>
      <c r="H661" s="92" t="str">
        <f>IFERROR(IF($G661="","",$G661*$S$662/$G$662/Cadastro!$E$33),"")</f>
        <v/>
      </c>
      <c r="I661" s="93">
        <f>IFERROR(IF($D661="","",VLOOKUP($D661,Cadastro!$C$4:$G$7,5,FALSE())),"")</f>
        <v>0.6</v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0.26949849537049886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0.26949849537049886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265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265</v>
      </c>
      <c r="S837" s="113"/>
      <c r="T837" s="114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7" activePane="bottomLeft" state="frozen"/>
      <selection pane="bottomLeft" activeCell="O651" sqref="O651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265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278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278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278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278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278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278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278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278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278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278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278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278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265</v>
      </c>
      <c r="S27" s="74">
        <v>358000</v>
      </c>
      <c r="T27" s="99">
        <f>IFERROR(J27,"")</f>
        <v>0</v>
      </c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278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278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278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278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278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278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278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278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278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278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278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278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265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320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265</v>
      </c>
      <c r="S54" s="74">
        <v>279980</v>
      </c>
      <c r="T54" s="99">
        <f>IFERROR(J54,"")</f>
        <v>0</v>
      </c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278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278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278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278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278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278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278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278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278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278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265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360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265</v>
      </c>
      <c r="S81" s="74">
        <v>185920</v>
      </c>
      <c r="T81" s="99">
        <f>IFERROR(J81,"")</f>
        <v>0</v>
      </c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278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361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362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265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265</v>
      </c>
      <c r="S108" s="74">
        <v>434370</v>
      </c>
      <c r="T108" s="99">
        <f>IFERROR(J108,"")</f>
        <v>0</v>
      </c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265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265</v>
      </c>
      <c r="S135" s="74">
        <v>416350</v>
      </c>
      <c r="T135" s="99">
        <f>IFERROR(J135,"")</f>
        <v>0</v>
      </c>
    </row>
    <row r="136" spans="1:20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0" t="s">
        <v>264</v>
      </c>
      <c r="B149" s="160"/>
      <c r="C149" s="160"/>
      <c r="D149" s="160"/>
      <c r="E149" s="160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265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320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265</v>
      </c>
      <c r="S162" s="74">
        <v>169760</v>
      </c>
      <c r="T162" s="99">
        <f>IFERROR(J162,"")</f>
        <v>0</v>
      </c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278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278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278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278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278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278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278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278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278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278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278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265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278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278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278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331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278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331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278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278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265</v>
      </c>
      <c r="S189" s="74">
        <v>72220</v>
      </c>
      <c r="T189" s="99">
        <f>IFERROR(J189,"")</f>
        <v>0</v>
      </c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265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265</v>
      </c>
      <c r="S216" s="74">
        <v>148720</v>
      </c>
      <c r="T216" s="99">
        <f>IFERROR(J216,"")</f>
        <v>0</v>
      </c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268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370</v>
      </c>
      <c r="Q222" s="66" t="str">
        <f t="shared" ca="1" si="49"/>
        <v/>
      </c>
      <c r="R222" s="63" t="s">
        <v>371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265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265</v>
      </c>
      <c r="S243" s="74">
        <v>352720</v>
      </c>
      <c r="T243" s="99">
        <f>IFERROR(J243,"")</f>
        <v>0</v>
      </c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268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372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263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263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265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278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278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278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278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278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278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278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278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278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278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278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278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265</v>
      </c>
      <c r="S270" s="74">
        <v>327900</v>
      </c>
      <c r="T270" s="99">
        <f>IFERROR(J270,"")</f>
        <v>0</v>
      </c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268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278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278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278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278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263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278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265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263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263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278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263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263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263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263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263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263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263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263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263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265</v>
      </c>
      <c r="S297" s="74">
        <v>462190</v>
      </c>
      <c r="T297" s="99">
        <f>IFERROR(J297,"")</f>
        <v>0</v>
      </c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268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278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278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278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278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278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278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278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278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278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278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278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278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265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278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278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278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278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278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278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278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278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278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278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278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278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265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268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263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278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265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265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268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320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0" t="s">
        <v>264</v>
      </c>
      <c r="B365" s="160"/>
      <c r="C365" s="160"/>
      <c r="D365" s="160"/>
      <c r="E365" s="160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265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265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268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278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265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265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268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265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0" t="s">
        <v>267</v>
      </c>
      <c r="B432" s="160"/>
      <c r="C432" s="160"/>
      <c r="D432" s="160"/>
      <c r="E432" s="160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265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253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268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278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278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265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278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265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268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265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320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265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268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278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265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380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381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278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0" t="s">
        <v>267</v>
      </c>
      <c r="B513" s="160"/>
      <c r="C513" s="160"/>
      <c r="D513" s="160"/>
      <c r="E513" s="160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265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253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268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382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265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278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263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320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265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268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265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263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320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263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263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265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268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320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263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265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380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278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263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265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268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320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265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377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386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386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386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263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265</v>
      </c>
      <c r="S621" s="74">
        <v>399510</v>
      </c>
      <c r="T621" s="99">
        <f>IFERROR(J621,"")</f>
        <v>83.897099999999995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268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229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362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265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46.211846153846153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9.7044876923076906</v>
      </c>
      <c r="K636" s="64">
        <f t="shared" ref="K636:K647" si="164">IF(G636="","",IF(E636="PC 17",G636*4.2,IF(E636="PC 19",G636*5,IF(E636="CB",G636*24,""))))</f>
        <v>46.2</v>
      </c>
      <c r="L636" s="61" t="s">
        <v>28</v>
      </c>
      <c r="M636" s="61" t="s">
        <v>56</v>
      </c>
      <c r="N636" s="61" t="s">
        <v>36</v>
      </c>
      <c r="O636" s="65">
        <v>0.94027777777777777</v>
      </c>
      <c r="P636" s="65">
        <v>0.95138888888888884</v>
      </c>
      <c r="Q636" s="66">
        <f t="shared" ref="Q636:Q647" ca="1" si="165">IFERROR(IF(O636="","",IF(P636="",MOD(NOW()-O636,1),IF(P636&gt;=O636,P636-O636,P636+1-O636))),"")</f>
        <v>1.1111111111111072E-2</v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50.412923076923079</v>
      </c>
      <c r="I637" s="90">
        <f>IFERROR(IF($D637="","",VLOOKUP($D637,Cadastro!$C$4:$G$7,5,FALSE())),"")</f>
        <v>0.6</v>
      </c>
      <c r="J637" s="91">
        <f t="shared" si="163"/>
        <v>10.586713846153845</v>
      </c>
      <c r="K637" s="69">
        <f t="shared" si="164"/>
        <v>60</v>
      </c>
      <c r="L637" s="70" t="s">
        <v>29</v>
      </c>
      <c r="M637" s="70" t="s">
        <v>56</v>
      </c>
      <c r="N637" s="70" t="s">
        <v>45</v>
      </c>
      <c r="O637" s="65">
        <v>0.99305555555555558</v>
      </c>
      <c r="P637" s="65">
        <v>1.0416666666666666E-2</v>
      </c>
      <c r="Q637" s="71">
        <f t="shared" ca="1" si="165"/>
        <v>1.736111111111116E-2</v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3</v>
      </c>
      <c r="H638" s="88">
        <f>IFERROR(IF($G638="","",$G638*$S$648/$G$648/Cadastro!$E$33),"")</f>
        <v>12.60323076923077</v>
      </c>
      <c r="I638" s="90">
        <f>IFERROR(IF($D638="","",VLOOKUP($D638,Cadastro!$C$4:$G$7,5,FALSE())),"")</f>
        <v>0.6</v>
      </c>
      <c r="J638" s="91">
        <f t="shared" si="163"/>
        <v>2.6466784615384613</v>
      </c>
      <c r="K638" s="64">
        <f t="shared" si="164"/>
        <v>12.600000000000001</v>
      </c>
      <c r="L638" s="61" t="s">
        <v>29</v>
      </c>
      <c r="M638" s="61" t="s">
        <v>56</v>
      </c>
      <c r="N638" s="61" t="s">
        <v>45</v>
      </c>
      <c r="O638" s="65">
        <v>4.583333333333333E-2</v>
      </c>
      <c r="P638" s="65">
        <v>5.2083333333333336E-2</v>
      </c>
      <c r="Q638" s="66">
        <f t="shared" ca="1" si="165"/>
        <v>6.2500000000000056E-3</v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14</v>
      </c>
      <c r="H639" s="88">
        <f>IFERROR(IF($G639="","",$G639*$S$648/$G$648/Cadastro!$E$33),"")</f>
        <v>58.815076923076923</v>
      </c>
      <c r="I639" s="90">
        <f>IFERROR(IF($D639="","",VLOOKUP($D639,Cadastro!$C$4:$G$7,5,FALSE())),"")</f>
        <v>0.6</v>
      </c>
      <c r="J639" s="91">
        <f t="shared" si="163"/>
        <v>12.351166153846153</v>
      </c>
      <c r="K639" s="69">
        <f t="shared" si="164"/>
        <v>58.800000000000004</v>
      </c>
      <c r="L639" s="70" t="s">
        <v>29</v>
      </c>
      <c r="M639" s="70" t="s">
        <v>56</v>
      </c>
      <c r="N639" s="70" t="s">
        <v>65</v>
      </c>
      <c r="O639" s="65">
        <v>8.5416666666666669E-2</v>
      </c>
      <c r="P639" s="65">
        <v>0.10416666666666667</v>
      </c>
      <c r="Q639" s="71">
        <f t="shared" ca="1" si="165"/>
        <v>1.8750000000000003E-2</v>
      </c>
      <c r="R639" s="63" t="s">
        <v>387</v>
      </c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6</v>
      </c>
      <c r="H640" s="88">
        <f>IFERROR(IF($G640="","",$G640*$S$648/$G$648/Cadastro!$E$33),"")</f>
        <v>25.206461538461539</v>
      </c>
      <c r="I640" s="90">
        <f>IFERROR(IF($D640="","",VLOOKUP($D640,Cadastro!$C$4:$G$7,5,FALSE())),"")</f>
        <v>0.6</v>
      </c>
      <c r="J640" s="91">
        <f t="shared" si="163"/>
        <v>5.2933569230769226</v>
      </c>
      <c r="K640" s="64">
        <f t="shared" si="164"/>
        <v>25.200000000000003</v>
      </c>
      <c r="L640" s="61" t="s">
        <v>26</v>
      </c>
      <c r="M640" s="61" t="s">
        <v>56</v>
      </c>
      <c r="N640" s="61" t="s">
        <v>58</v>
      </c>
      <c r="O640" s="65">
        <v>0.10625</v>
      </c>
      <c r="P640" s="65">
        <v>0.1125</v>
      </c>
      <c r="Q640" s="66">
        <f t="shared" ca="1" si="165"/>
        <v>6.2500000000000056E-3</v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5</v>
      </c>
      <c r="H641" s="88">
        <f>IFERROR(IF($G641="","",$G641*$S$648/$G$648/Cadastro!$E$33),"")</f>
        <v>21.005384615384617</v>
      </c>
      <c r="I641" s="90">
        <f>IFERROR(IF($D641="","",VLOOKUP($D641,Cadastro!$C$4:$G$7,5,FALSE())),"")</f>
        <v>0.6</v>
      </c>
      <c r="J641" s="91">
        <f t="shared" si="163"/>
        <v>4.4111307692307689</v>
      </c>
      <c r="K641" s="69">
        <f t="shared" si="164"/>
        <v>21</v>
      </c>
      <c r="L641" s="70" t="s">
        <v>29</v>
      </c>
      <c r="M641" s="70" t="s">
        <v>56</v>
      </c>
      <c r="N641" s="70" t="s">
        <v>210</v>
      </c>
      <c r="O641" s="65">
        <v>0.1111111111111111</v>
      </c>
      <c r="P641" s="65">
        <v>0.125</v>
      </c>
      <c r="Q641" s="71">
        <f t="shared" ca="1" si="165"/>
        <v>1.3888888888888895E-2</v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0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3"/>
        <v>0</v>
      </c>
      <c r="K642" s="64">
        <f t="shared" si="164"/>
        <v>0</v>
      </c>
      <c r="L642" s="61" t="s">
        <v>29</v>
      </c>
      <c r="M642" s="61" t="s">
        <v>56</v>
      </c>
      <c r="N642" s="61" t="s">
        <v>37</v>
      </c>
      <c r="O642" s="65">
        <v>0.1875</v>
      </c>
      <c r="P642" s="65">
        <v>0.20833333333333334</v>
      </c>
      <c r="Q642" s="66">
        <f t="shared" ca="1" si="165"/>
        <v>2.0833333333333343E-2</v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21.005384615384617</v>
      </c>
      <c r="I643" s="90">
        <f>IFERROR(IF($D643="","",VLOOKUP($D643,Cadastro!$C$4:$G$7,5,FALSE())),"")</f>
        <v>0.6</v>
      </c>
      <c r="J643" s="91">
        <f t="shared" si="163"/>
        <v>4.4111307692307689</v>
      </c>
      <c r="K643" s="69">
        <f t="shared" si="164"/>
        <v>21</v>
      </c>
      <c r="L643" s="70" t="s">
        <v>27</v>
      </c>
      <c r="M643" s="70" t="s">
        <v>56</v>
      </c>
      <c r="N643" s="70" t="s">
        <v>43</v>
      </c>
      <c r="O643" s="65">
        <v>0.19791666666666666</v>
      </c>
      <c r="P643" s="65">
        <v>0.29166666666666669</v>
      </c>
      <c r="Q643" s="71">
        <f t="shared" ca="1" si="165"/>
        <v>9.3750000000000028E-2</v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3</v>
      </c>
      <c r="H644" s="88">
        <f>IFERROR(IF($G644="","",$G644*$S$648/$G$648/Cadastro!$E$33),"")</f>
        <v>12.60323076923077</v>
      </c>
      <c r="I644" s="90">
        <f>IFERROR(IF($D644="","",VLOOKUP($D644,Cadastro!$C$4:$G$7,5,FALSE())),"")</f>
        <v>0.6</v>
      </c>
      <c r="J644" s="91">
        <f t="shared" si="163"/>
        <v>2.6466784615384613</v>
      </c>
      <c r="K644" s="64">
        <f t="shared" si="164"/>
        <v>12.600000000000001</v>
      </c>
      <c r="L644" s="61" t="s">
        <v>29</v>
      </c>
      <c r="M644" s="61"/>
      <c r="N644" s="61" t="s">
        <v>226</v>
      </c>
      <c r="O644" s="65">
        <v>0.25</v>
      </c>
      <c r="P644" s="65">
        <v>0.29166666666666669</v>
      </c>
      <c r="Q644" s="66">
        <f t="shared" ca="1" si="165"/>
        <v>4.1666666666666685E-2</v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6</v>
      </c>
      <c r="H645" s="88">
        <f>IFERROR(IF($G645="","",$G645*$S$648/$G$648/Cadastro!$E$33),"")</f>
        <v>25.206461538461539</v>
      </c>
      <c r="I645" s="90">
        <f>IFERROR(IF($D645="","",VLOOKUP($D645,Cadastro!$C$4:$G$7,5,FALSE())),"")</f>
        <v>0.6</v>
      </c>
      <c r="J645" s="91">
        <f t="shared" si="163"/>
        <v>5.2933569230769226</v>
      </c>
      <c r="K645" s="69">
        <f t="shared" si="164"/>
        <v>25.200000000000003</v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0</v>
      </c>
      <c r="H646" s="88">
        <f>IFERROR(IF($G646="","",$G646*$S$648/$G$648/Cadastro!$E$33),"")</f>
        <v>0</v>
      </c>
      <c r="I646" s="90">
        <f>IFERROR(IF($D646="","",VLOOKUP($D646,Cadastro!$C$4:$G$7,5,FALSE())),"")</f>
        <v>0.6</v>
      </c>
      <c r="J646" s="91">
        <f t="shared" si="163"/>
        <v>0</v>
      </c>
      <c r="K646" s="64">
        <f t="shared" si="164"/>
        <v>0</v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3"/>
        <v>0</v>
      </c>
      <c r="K647" s="69">
        <f t="shared" si="164"/>
        <v>0</v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65</v>
      </c>
      <c r="H648" s="105">
        <f>IFERROR(SUM(H636:H647),"")</f>
        <v>273.07000000000005</v>
      </c>
      <c r="I648" s="106"/>
      <c r="J648" s="107">
        <f>IFERROR(SUM(J636:J647),"")</f>
        <v>57.344699999999989</v>
      </c>
      <c r="K648" s="2">
        <f>SUM(K636:K647)</f>
        <v>282.60000000000002</v>
      </c>
      <c r="L648" s="72"/>
      <c r="M648" s="72"/>
      <c r="N648" s="72"/>
      <c r="O648" s="72"/>
      <c r="P648" s="72"/>
      <c r="Q648" s="73">
        <f ca="1">IFERROR(SUM(Q636:Q647),"")</f>
        <v>0.22986111111111118</v>
      </c>
      <c r="R648" s="2" t="s">
        <v>265</v>
      </c>
      <c r="S648" s="74">
        <v>273070</v>
      </c>
      <c r="T648" s="99">
        <f>IFERROR(J648,"")</f>
        <v>57.344699999999989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137</v>
      </c>
      <c r="H649" s="108">
        <f>IFERROR(H635+H648,"")</f>
        <v>563.95000000000005</v>
      </c>
      <c r="I649" s="110"/>
      <c r="J649" s="111">
        <f>IFERROR(J635+J648,"")</f>
        <v>118.42949999999998</v>
      </c>
      <c r="K649" s="1">
        <f>K635+K648</f>
        <v>585</v>
      </c>
      <c r="L649" s="76"/>
      <c r="M649" s="76"/>
      <c r="N649" s="76"/>
      <c r="O649" s="76"/>
      <c r="P649" s="76"/>
      <c r="Q649" s="77">
        <f ca="1">IFERROR(Q635+Q648,"")</f>
        <v>0.28333333333333338</v>
      </c>
      <c r="R649" s="1" t="s">
        <v>268</v>
      </c>
      <c r="S649" s="82">
        <f>IFERROR(S635+S648,"")</f>
        <v>563950</v>
      </c>
      <c r="T649" s="118">
        <f>IFERROR(J649,"")</f>
        <v>118.42949999999998</v>
      </c>
    </row>
    <row r="650" spans="1:20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87" t="s">
        <v>278</v>
      </c>
      <c r="F650" s="101">
        <f>IFERROR(IF($D650="","",VLOOKUP($D650,Cadastro!$C$4:$E$7,3,FALSE())),"")</f>
        <v>0.35</v>
      </c>
      <c r="G650" s="89"/>
      <c r="H650" s="101" t="str">
        <f>IFERROR(IF($G650="","",$G650*$S$662/$G$662/Cadastro!$E$33),"")</f>
        <v/>
      </c>
      <c r="I650" s="102">
        <f>IFERROR(IF($D650="","",VLOOKUP($D650,Cadastro!$C$4:$G$7,5,FALSE())),"")</f>
        <v>0.6</v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 t="s">
        <v>29</v>
      </c>
      <c r="M650" s="61"/>
      <c r="N650" s="61" t="s">
        <v>226</v>
      </c>
      <c r="O650" s="65">
        <v>0.29166666666666669</v>
      </c>
      <c r="P650" s="65"/>
      <c r="Q650" s="66">
        <f t="shared" ref="Q650:Q661" ca="1" si="169">IFERROR(IF(O650="","",IF(P650="",MOD(NOW()-O650,1),IF(P650&gt;=O650,P650-O650,P650+1-O650))),"")</f>
        <v>0.26949849537049886</v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 t="s">
        <v>30</v>
      </c>
      <c r="D651" s="62" t="s">
        <v>31</v>
      </c>
      <c r="E651" s="87" t="s">
        <v>278</v>
      </c>
      <c r="F651" s="88">
        <f>IFERROR(IF($D651="","",VLOOKUP($D651,Cadastro!$C$4:$E$7,3,FALSE())),"")</f>
        <v>0.35</v>
      </c>
      <c r="G651" s="89"/>
      <c r="H651" s="88" t="str">
        <f>IFERROR(IF($G651="","",$G651*$S$662/$G$662/Cadastro!$E$33),"")</f>
        <v/>
      </c>
      <c r="I651" s="90">
        <f>IFERROR(IF($D651="","",VLOOKUP($D651,Cadastro!$C$4:$G$7,5,FALSE())),"")</f>
        <v>0.6</v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 t="s">
        <v>30</v>
      </c>
      <c r="D652" s="62" t="s">
        <v>31</v>
      </c>
      <c r="E652" s="87" t="s">
        <v>278</v>
      </c>
      <c r="F652" s="88">
        <f>IFERROR(IF($D652="","",VLOOKUP($D652,Cadastro!$C$4:$E$7,3,FALSE())),"")</f>
        <v>0.35</v>
      </c>
      <c r="G652" s="89"/>
      <c r="H652" s="88" t="str">
        <f>IFERROR(IF($G652="","",$G652*$S$662/$G$662/Cadastro!$E$33),"")</f>
        <v/>
      </c>
      <c r="I652" s="90">
        <f>IFERROR(IF($D652="","",VLOOKUP($D652,Cadastro!$C$4:$G$7,5,FALSE())),"")</f>
        <v>0.6</v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 t="s">
        <v>30</v>
      </c>
      <c r="D653" s="62" t="s">
        <v>31</v>
      </c>
      <c r="E653" s="87" t="s">
        <v>278</v>
      </c>
      <c r="F653" s="88">
        <f>IFERROR(IF($D653="","",VLOOKUP($D653,Cadastro!$C$4:$E$7,3,FALSE())),"")</f>
        <v>0.35</v>
      </c>
      <c r="G653" s="89"/>
      <c r="H653" s="88" t="str">
        <f>IFERROR(IF($G653="","",$G653*$S$662/$G$662/Cadastro!$E$33),"")</f>
        <v/>
      </c>
      <c r="I653" s="90">
        <f>IFERROR(IF($D653="","",VLOOKUP($D653,Cadastro!$C$4:$G$7,5,FALSE())),"")</f>
        <v>0.6</v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 t="s">
        <v>30</v>
      </c>
      <c r="D654" s="62" t="s">
        <v>31</v>
      </c>
      <c r="E654" s="87" t="s">
        <v>278</v>
      </c>
      <c r="F654" s="88">
        <f>IFERROR(IF($D654="","",VLOOKUP($D654,Cadastro!$C$4:$E$7,3,FALSE())),"")</f>
        <v>0.35</v>
      </c>
      <c r="G654" s="89"/>
      <c r="H654" s="88" t="str">
        <f>IFERROR(IF($G654="","",$G654*$S$662/$G$662/Cadastro!$E$33),"")</f>
        <v/>
      </c>
      <c r="I654" s="90">
        <f>IFERROR(IF($D654="","",VLOOKUP($D654,Cadastro!$C$4:$G$7,5,FALSE())),"")</f>
        <v>0.6</v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 t="s">
        <v>30</v>
      </c>
      <c r="D655" s="62" t="s">
        <v>31</v>
      </c>
      <c r="E655" s="87" t="s">
        <v>278</v>
      </c>
      <c r="F655" s="88">
        <f>IFERROR(IF($D655="","",VLOOKUP($D655,Cadastro!$C$4:$E$7,3,FALSE())),"")</f>
        <v>0.35</v>
      </c>
      <c r="G655" s="89"/>
      <c r="H655" s="88" t="str">
        <f>IFERROR(IF($G655="","",$G655*$S$662/$G$662/Cadastro!$E$33),"")</f>
        <v/>
      </c>
      <c r="I655" s="90">
        <f>IFERROR(IF($D655="","",VLOOKUP($D655,Cadastro!$C$4:$G$7,5,FALSE())),"")</f>
        <v>0.6</v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 t="s">
        <v>30</v>
      </c>
      <c r="D656" s="62" t="s">
        <v>31</v>
      </c>
      <c r="E656" s="87" t="s">
        <v>278</v>
      </c>
      <c r="F656" s="88">
        <f>IFERROR(IF($D656="","",VLOOKUP($D656,Cadastro!$C$4:$E$7,3,FALSE())),"")</f>
        <v>0.35</v>
      </c>
      <c r="G656" s="89"/>
      <c r="H656" s="88" t="str">
        <f>IFERROR(IF($G656="","",$G656*$S$662/$G$662/Cadastro!$E$33),"")</f>
        <v/>
      </c>
      <c r="I656" s="90">
        <f>IFERROR(IF($D656="","",VLOOKUP($D656,Cadastro!$C$4:$G$7,5,FALSE())),"")</f>
        <v>0.6</v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 t="s">
        <v>30</v>
      </c>
      <c r="D657" s="62" t="s">
        <v>31</v>
      </c>
      <c r="E657" s="87" t="s">
        <v>278</v>
      </c>
      <c r="F657" s="88">
        <f>IFERROR(IF($D657="","",VLOOKUP($D657,Cadastro!$C$4:$E$7,3,FALSE())),"")</f>
        <v>0.35</v>
      </c>
      <c r="G657" s="89"/>
      <c r="H657" s="88" t="str">
        <f>IFERROR(IF($G657="","",$G657*$S$662/$G$662/Cadastro!$E$33),"")</f>
        <v/>
      </c>
      <c r="I657" s="90">
        <f>IFERROR(IF($D657="","",VLOOKUP($D657,Cadastro!$C$4:$G$7,5,FALSE())),"")</f>
        <v>0.6</v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 t="s">
        <v>30</v>
      </c>
      <c r="D658" s="62" t="s">
        <v>31</v>
      </c>
      <c r="E658" s="87" t="s">
        <v>278</v>
      </c>
      <c r="F658" s="88">
        <f>IFERROR(IF($D658="","",VLOOKUP($D658,Cadastro!$C$4:$E$7,3,FALSE())),"")</f>
        <v>0.35</v>
      </c>
      <c r="G658" s="89"/>
      <c r="H658" s="88" t="str">
        <f>IFERROR(IF($G658="","",$G658*$S$662/$G$662/Cadastro!$E$33),"")</f>
        <v/>
      </c>
      <c r="I658" s="90">
        <f>IFERROR(IF($D658="","",VLOOKUP($D658,Cadastro!$C$4:$G$7,5,FALSE())),"")</f>
        <v>0.6</v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 t="s">
        <v>30</v>
      </c>
      <c r="D659" s="62" t="s">
        <v>31</v>
      </c>
      <c r="E659" s="87" t="s">
        <v>278</v>
      </c>
      <c r="F659" s="88">
        <f>IFERROR(IF($D659="","",VLOOKUP($D659,Cadastro!$C$4:$E$7,3,FALSE())),"")</f>
        <v>0.35</v>
      </c>
      <c r="G659" s="89"/>
      <c r="H659" s="88" t="str">
        <f>IFERROR(IF($G659="","",$G659*$S$662/$G$662/Cadastro!$E$33),"")</f>
        <v/>
      </c>
      <c r="I659" s="90">
        <f>IFERROR(IF($D659="","",VLOOKUP($D659,Cadastro!$C$4:$G$7,5,FALSE())),"")</f>
        <v>0.6</v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 t="s">
        <v>30</v>
      </c>
      <c r="D660" s="62" t="s">
        <v>31</v>
      </c>
      <c r="E660" s="87" t="s">
        <v>278</v>
      </c>
      <c r="F660" s="88">
        <f>IFERROR(IF($D660="","",VLOOKUP($D660,Cadastro!$C$4:$E$7,3,FALSE())),"")</f>
        <v>0.35</v>
      </c>
      <c r="G660" s="89"/>
      <c r="H660" s="88" t="str">
        <f>IFERROR(IF($G660="","",$G660*$S$662/$G$662/Cadastro!$E$33),"")</f>
        <v/>
      </c>
      <c r="I660" s="90">
        <f>IFERROR(IF($D660="","",VLOOKUP($D660,Cadastro!$C$4:$G$7,5,FALSE())),"")</f>
        <v>0.6</v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 t="s">
        <v>30</v>
      </c>
      <c r="D661" s="62" t="s">
        <v>31</v>
      </c>
      <c r="E661" s="87" t="s">
        <v>278</v>
      </c>
      <c r="F661" s="92">
        <f>IFERROR(IF($D661="","",VLOOKUP($D661,Cadastro!$C$4:$E$7,3,FALSE())),"")</f>
        <v>0.35</v>
      </c>
      <c r="G661" s="89"/>
      <c r="H661" s="92" t="str">
        <f>IFERROR(IF($G661="","",$G661*$S$662/$G$662/Cadastro!$E$33),"")</f>
        <v/>
      </c>
      <c r="I661" s="93">
        <f>IFERROR(IF($D661="","",VLOOKUP($D661,Cadastro!$C$4:$G$7,5,FALSE())),"")</f>
        <v>0.6</v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0.26949849537049886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0.26949849537049886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265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265</v>
      </c>
      <c r="S837" s="74"/>
      <c r="T837" s="99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45" activePane="bottomLeft" state="frozen"/>
      <selection pane="bottomLeft" activeCell="N651" sqref="N651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265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278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278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278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278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278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278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278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278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390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278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278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278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278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265</v>
      </c>
      <c r="S27" s="74">
        <v>491520</v>
      </c>
      <c r="T27" s="99">
        <f>IFERROR(J27,"")</f>
        <v>0</v>
      </c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268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278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278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278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278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278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278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278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278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278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278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278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278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265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391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265</v>
      </c>
      <c r="S54" s="74">
        <v>352430</v>
      </c>
      <c r="T54" s="99">
        <f>IFERROR(J54,"")</f>
        <v>0</v>
      </c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268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278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278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392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278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393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278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278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278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278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278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278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278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265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234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278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265</v>
      </c>
      <c r="S81" s="74">
        <v>612410</v>
      </c>
      <c r="T81" s="99">
        <f>IFERROR(J81,"")</f>
        <v>0</v>
      </c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268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278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265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265</v>
      </c>
      <c r="S108" s="74">
        <v>956070</v>
      </c>
      <c r="T108" s="99">
        <f>IFERROR(J108,"")</f>
        <v>0</v>
      </c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268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234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239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239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265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320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265</v>
      </c>
      <c r="S135" s="74">
        <v>912240</v>
      </c>
      <c r="T135" s="99">
        <f>IFERROR(J135,"")</f>
        <v>0</v>
      </c>
    </row>
    <row r="136" spans="1:22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268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264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265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400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265</v>
      </c>
      <c r="S162" s="74">
        <v>573230</v>
      </c>
      <c r="T162" s="99">
        <f>IFERROR(J162,"")</f>
        <v>0</v>
      </c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278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278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278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278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278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278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401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278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278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278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278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278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265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402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278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278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278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278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278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278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265</v>
      </c>
      <c r="S189" s="74">
        <v>692750</v>
      </c>
      <c r="T189" s="99">
        <f>IFERROR(J189,"")</f>
        <v>0</v>
      </c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403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265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265</v>
      </c>
      <c r="S216" s="74">
        <v>607180</v>
      </c>
      <c r="T216" s="99">
        <f>IFERROR(J216,"")</f>
        <v>0</v>
      </c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268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265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410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265</v>
      </c>
      <c r="S243" s="74">
        <v>795250</v>
      </c>
      <c r="T243" s="99">
        <f>IFERROR(J243,"")</f>
        <v>0</v>
      </c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268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 t="s">
        <v>288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411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278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278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265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278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278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278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278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278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278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278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278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278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278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278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278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265</v>
      </c>
      <c r="S270" s="74">
        <v>683360</v>
      </c>
      <c r="T270" s="99">
        <f>IFERROR(J270,"")</f>
        <v>0</v>
      </c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268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278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278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278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278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278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278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265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263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263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278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263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263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263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263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263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263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263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263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263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265</v>
      </c>
      <c r="S297" s="74">
        <v>904710</v>
      </c>
      <c r="T297" s="99">
        <f>IFERROR(J297,"")</f>
        <v>0</v>
      </c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268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278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278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278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278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278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278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278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278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278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278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278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278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265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278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278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278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278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278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278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278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278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278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278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278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278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265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268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278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263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265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412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413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265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268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264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265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265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268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278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278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265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234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265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268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241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265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420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0" t="s">
        <v>267</v>
      </c>
      <c r="B432" s="160"/>
      <c r="C432" s="160"/>
      <c r="D432" s="160"/>
      <c r="E432" s="160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265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253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268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278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278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265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421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278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265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268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265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422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265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268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278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265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423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278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0" t="s">
        <v>267</v>
      </c>
      <c r="B513" s="160"/>
      <c r="C513" s="160"/>
      <c r="D513" s="160"/>
      <c r="E513" s="160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265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253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268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265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263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278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265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268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424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425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265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426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263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427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428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429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430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431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278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414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278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265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268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415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263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432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265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433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434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379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278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278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265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268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435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265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379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414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436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431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263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265</v>
      </c>
      <c r="S621" s="74">
        <v>715660</v>
      </c>
      <c r="T621" s="99">
        <f>IFERROR(J621,"")</f>
        <v>143.63866194690266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268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437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265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60.023797468354431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12.604997468354428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69.258227848101257</v>
      </c>
      <c r="I637" s="90">
        <f>IFERROR(IF($D637="","",VLOOKUP($D637,Cadastro!$C$4:$G$7,5,FALSE())),"")</f>
        <v>0.6</v>
      </c>
      <c r="J637" s="91">
        <f t="shared" si="166"/>
        <v>14.544227848101261</v>
      </c>
      <c r="K637" s="69">
        <f t="shared" si="167"/>
        <v>75</v>
      </c>
      <c r="L637" s="70" t="s">
        <v>27</v>
      </c>
      <c r="M637" s="70" t="s">
        <v>66</v>
      </c>
      <c r="N637" s="70" t="s">
        <v>240</v>
      </c>
      <c r="O637" s="65">
        <v>0.95277777777777772</v>
      </c>
      <c r="P637" s="65">
        <v>0.98124999999999996</v>
      </c>
      <c r="Q637" s="71">
        <f t="shared" ca="1" si="168"/>
        <v>2.8472222222222232E-2</v>
      </c>
      <c r="R637" s="63" t="s">
        <v>438</v>
      </c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18</v>
      </c>
      <c r="H638" s="88">
        <f>IFERROR(IF($G638="","",$G638*$S$648/$G$648/Cadastro!$E$33),"")</f>
        <v>83.109873417721516</v>
      </c>
      <c r="I638" s="90">
        <f>IFERROR(IF($D638="","",VLOOKUP($D638,Cadastro!$C$4:$G$7,5,FALSE())),"")</f>
        <v>0.6</v>
      </c>
      <c r="J638" s="91">
        <f t="shared" si="166"/>
        <v>17.453073417721516</v>
      </c>
      <c r="K638" s="64">
        <f t="shared" si="167"/>
        <v>75.600000000000009</v>
      </c>
      <c r="L638" s="61" t="s">
        <v>29</v>
      </c>
      <c r="M638" s="61" t="s">
        <v>174</v>
      </c>
      <c r="N638" s="61" t="s">
        <v>65</v>
      </c>
      <c r="O638" s="65">
        <v>0.98124999999999996</v>
      </c>
      <c r="P638" s="65">
        <v>2.7777777777777776E-2</v>
      </c>
      <c r="Q638" s="66">
        <f t="shared" ca="1" si="168"/>
        <v>4.6527777777777724E-2</v>
      </c>
      <c r="R638" s="63" t="s">
        <v>439</v>
      </c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28</v>
      </c>
      <c r="H639" s="88">
        <f>IFERROR(IF($G639="","",$G639*$S$648/$G$648/Cadastro!$E$33),"")</f>
        <v>129.2820253164557</v>
      </c>
      <c r="I639" s="90">
        <f>IFERROR(IF($D639="","",VLOOKUP($D639,Cadastro!$C$4:$G$7,5,FALSE())),"")</f>
        <v>0.6</v>
      </c>
      <c r="J639" s="91">
        <f t="shared" si="166"/>
        <v>27.149225316455695</v>
      </c>
      <c r="K639" s="69">
        <f t="shared" si="167"/>
        <v>117.60000000000001</v>
      </c>
      <c r="L639" s="70" t="s">
        <v>28</v>
      </c>
      <c r="M639" s="70" t="s">
        <v>174</v>
      </c>
      <c r="N639" s="70" t="s">
        <v>36</v>
      </c>
      <c r="O639" s="65">
        <v>9.5138888888888884E-2</v>
      </c>
      <c r="P639" s="65">
        <v>0.11805555555555555</v>
      </c>
      <c r="Q639" s="71">
        <f t="shared" ca="1" si="168"/>
        <v>2.2916666666666669E-2</v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26</v>
      </c>
      <c r="H640" s="88">
        <f>IFERROR(IF($G640="","",$G640*$S$648/$G$648/Cadastro!$E$33),"")</f>
        <v>120.04759493670886</v>
      </c>
      <c r="I640" s="90">
        <f>IFERROR(IF($D640="","",VLOOKUP($D640,Cadastro!$C$4:$G$7,5,FALSE())),"")</f>
        <v>0.6</v>
      </c>
      <c r="J640" s="91">
        <f t="shared" si="166"/>
        <v>25.209994936708856</v>
      </c>
      <c r="K640" s="64">
        <f t="shared" si="167"/>
        <v>109.2</v>
      </c>
      <c r="L640" s="61" t="s">
        <v>29</v>
      </c>
      <c r="M640" s="61" t="s">
        <v>66</v>
      </c>
      <c r="N640" s="61" t="s">
        <v>60</v>
      </c>
      <c r="O640" s="65">
        <v>0.11944444444444445</v>
      </c>
      <c r="P640" s="65">
        <v>0.19930555555555557</v>
      </c>
      <c r="Q640" s="66">
        <f t="shared" ca="1" si="168"/>
        <v>7.9861111111111119E-2</v>
      </c>
      <c r="R640" s="63" t="s">
        <v>440</v>
      </c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20</v>
      </c>
      <c r="H641" s="88">
        <f>IFERROR(IF($G641="","",$G641*$S$648/$G$648/Cadastro!$E$33),"")</f>
        <v>92.344303797468356</v>
      </c>
      <c r="I641" s="90">
        <f>IFERROR(IF($D641="","",VLOOKUP($D641,Cadastro!$C$4:$G$7,5,FALSE())),"")</f>
        <v>0.6</v>
      </c>
      <c r="J641" s="91">
        <f t="shared" si="166"/>
        <v>19.392303797468355</v>
      </c>
      <c r="K641" s="69">
        <f t="shared" si="167"/>
        <v>84</v>
      </c>
      <c r="L641" s="70" t="s">
        <v>29</v>
      </c>
      <c r="M641" s="70"/>
      <c r="N641" s="70" t="s">
        <v>226</v>
      </c>
      <c r="O641" s="65">
        <v>0.25</v>
      </c>
      <c r="P641" s="65">
        <v>0.29166666666666669</v>
      </c>
      <c r="Q641" s="71">
        <f t="shared" ca="1" si="168"/>
        <v>4.1666666666666685E-2</v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3</v>
      </c>
      <c r="H642" s="88">
        <f>IFERROR(IF($G642="","",$G642*$S$648/$G$648/Cadastro!$E$33),"")</f>
        <v>13.851645569620255</v>
      </c>
      <c r="I642" s="90">
        <f>IFERROR(IF($D642="","",VLOOKUP($D642,Cadastro!$C$4:$G$7,5,FALSE())),"")</f>
        <v>0.6</v>
      </c>
      <c r="J642" s="91">
        <f t="shared" si="166"/>
        <v>2.9088455696202531</v>
      </c>
      <c r="K642" s="64">
        <f t="shared" si="167"/>
        <v>12.600000000000001</v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23.086075949367089</v>
      </c>
      <c r="I643" s="90">
        <f>IFERROR(IF($D643="","",VLOOKUP($D643,Cadastro!$C$4:$G$7,5,FALSE())),"")</f>
        <v>0.6</v>
      </c>
      <c r="J643" s="91">
        <f t="shared" si="166"/>
        <v>4.8480759493670886</v>
      </c>
      <c r="K643" s="69">
        <f t="shared" si="167"/>
        <v>21</v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5</v>
      </c>
      <c r="H644" s="88">
        <f>IFERROR(IF($G644="","",$G644*$S$648/$G$648/Cadastro!$E$33),"")</f>
        <v>23.086075949367089</v>
      </c>
      <c r="I644" s="90">
        <f>IFERROR(IF($D644="","",VLOOKUP($D644,Cadastro!$C$4:$G$7,5,FALSE())),"")</f>
        <v>0.6</v>
      </c>
      <c r="J644" s="91">
        <f t="shared" si="166"/>
        <v>4.8480759493670886</v>
      </c>
      <c r="K644" s="64">
        <f t="shared" si="167"/>
        <v>21</v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0</v>
      </c>
      <c r="H645" s="88">
        <f>IFERROR(IF($G645="","",$G645*$S$648/$G$648/Cadastro!$E$33),"")</f>
        <v>0</v>
      </c>
      <c r="I645" s="90">
        <f>IFERROR(IF($D645="","",VLOOKUP($D645,Cadastro!$C$4:$G$7,5,FALSE())),"")</f>
        <v>0.6</v>
      </c>
      <c r="J645" s="91">
        <f t="shared" si="166"/>
        <v>0</v>
      </c>
      <c r="K645" s="69">
        <f t="shared" si="167"/>
        <v>0</v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25</v>
      </c>
      <c r="H646" s="88">
        <f>IFERROR(IF($G646="","",$G646*$S$648/$G$648/Cadastro!$E$33),"")</f>
        <v>115.43037974683544</v>
      </c>
      <c r="I646" s="90">
        <f>IFERROR(IF($D646="","",VLOOKUP($D646,Cadastro!$C$4:$G$7,5,FALSE())),"")</f>
        <v>0.6</v>
      </c>
      <c r="J646" s="91">
        <f t="shared" si="166"/>
        <v>24.24037974683544</v>
      </c>
      <c r="K646" s="64">
        <f t="shared" si="167"/>
        <v>105</v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6"/>
        <v>0</v>
      </c>
      <c r="K647" s="69">
        <f t="shared" si="167"/>
        <v>0</v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158</v>
      </c>
      <c r="H648" s="105">
        <f>IFERROR(SUM(H636:H647),"")</f>
        <v>729.5200000000001</v>
      </c>
      <c r="I648" s="106"/>
      <c r="J648" s="107">
        <f>IFERROR(SUM(J636:J647),"")</f>
        <v>153.19919999999999</v>
      </c>
      <c r="K648" s="2">
        <f>SUM(K636:K647)</f>
        <v>675.6</v>
      </c>
      <c r="L648" s="72"/>
      <c r="M648" s="72"/>
      <c r="N648" s="72"/>
      <c r="O648" s="134"/>
      <c r="P648" s="134"/>
      <c r="Q648" s="73">
        <f ca="1">IFERROR(SUM(Q636:Q647),"")</f>
        <v>0.24305555555555558</v>
      </c>
      <c r="R648" s="2" t="s">
        <v>265</v>
      </c>
      <c r="S648" s="74">
        <v>729520</v>
      </c>
      <c r="T648" s="99">
        <f>IFERROR(J648,"")</f>
        <v>153.19919999999999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399</v>
      </c>
      <c r="H649" s="108">
        <f>IFERROR(H635+H648,"")</f>
        <v>1773.62</v>
      </c>
      <c r="I649" s="110"/>
      <c r="J649" s="111">
        <f>IFERROR(J635+J648,"")</f>
        <v>372.46019999999999</v>
      </c>
      <c r="K649" s="1">
        <f>K635+K648</f>
        <v>1687.8000000000002</v>
      </c>
      <c r="L649" s="76"/>
      <c r="M649" s="76"/>
      <c r="N649" s="76"/>
      <c r="O649" s="135"/>
      <c r="P649" s="135"/>
      <c r="Q649" s="77">
        <f ca="1">IFERROR(Q635+Q648,"")</f>
        <v>0.3125</v>
      </c>
      <c r="R649" s="1" t="s">
        <v>268</v>
      </c>
      <c r="S649" s="82">
        <f>IFERROR(S635+S648,"")</f>
        <v>1773620</v>
      </c>
      <c r="T649" s="118">
        <f>IFERROR(J649,"")</f>
        <v>372.46019999999999</v>
      </c>
    </row>
    <row r="650" spans="1:20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87" t="s">
        <v>278</v>
      </c>
      <c r="F650" s="101">
        <f>IFERROR(IF($D650="","",VLOOKUP($D650,Cadastro!$C$4:$E$7,3,FALSE())),"")</f>
        <v>0.35</v>
      </c>
      <c r="G650" s="89"/>
      <c r="H650" s="101" t="str">
        <f>IFERROR(IF($G650="","",$G650*$S$662/$G$662/Cadastro!$E$33),"")</f>
        <v/>
      </c>
      <c r="I650" s="102">
        <f>IFERROR(IF($D650="","",VLOOKUP($D650,Cadastro!$C$4:$G$7,5,FALSE())),"")</f>
        <v>0.6</v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 t="s">
        <v>29</v>
      </c>
      <c r="M650" s="61"/>
      <c r="N650" s="61" t="s">
        <v>226</v>
      </c>
      <c r="O650" s="65">
        <v>0.29166666666666669</v>
      </c>
      <c r="P650" s="65">
        <v>0.5</v>
      </c>
      <c r="Q650" s="66">
        <f t="shared" ref="Q650:Q661" ca="1" si="172">IFERROR(IF(O650="","",IF(P650="",MOD(NOW()-O650,1),IF(P650&gt;=O650,P650-O650,P650+1-O650))),"")</f>
        <v>0.20833333333333331</v>
      </c>
      <c r="R650" s="63" t="s">
        <v>441</v>
      </c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 t="s">
        <v>30</v>
      </c>
      <c r="D651" s="62" t="s">
        <v>31</v>
      </c>
      <c r="E651" s="87" t="s">
        <v>278</v>
      </c>
      <c r="F651" s="88">
        <f>IFERROR(IF($D651="","",VLOOKUP($D651,Cadastro!$C$4:$E$7,3,FALSE())),"")</f>
        <v>0.35</v>
      </c>
      <c r="G651" s="89"/>
      <c r="H651" s="88" t="str">
        <f>IFERROR(IF($G651="","",$G651*$S$662/$G$662/Cadastro!$E$33),"")</f>
        <v/>
      </c>
      <c r="I651" s="90">
        <f>IFERROR(IF($D651="","",VLOOKUP($D651,Cadastro!$C$4:$G$7,5,FALSE())),"")</f>
        <v>0.6</v>
      </c>
      <c r="J651" s="91" t="str">
        <f t="shared" si="170"/>
        <v/>
      </c>
      <c r="K651" s="69" t="str">
        <f t="shared" si="171"/>
        <v/>
      </c>
      <c r="L651" s="70" t="s">
        <v>29</v>
      </c>
      <c r="M651" s="70" t="s">
        <v>169</v>
      </c>
      <c r="N651" s="70" t="s">
        <v>83</v>
      </c>
      <c r="O651" s="65">
        <v>0.56041666666666667</v>
      </c>
      <c r="P651" s="65"/>
      <c r="Q651" s="71">
        <f t="shared" ca="1" si="172"/>
        <v>7.4849536758847535E-4</v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 t="s">
        <v>30</v>
      </c>
      <c r="D652" s="62" t="s">
        <v>31</v>
      </c>
      <c r="E652" s="87" t="s">
        <v>278</v>
      </c>
      <c r="F652" s="88">
        <f>IFERROR(IF($D652="","",VLOOKUP($D652,Cadastro!$C$4:$E$7,3,FALSE())),"")</f>
        <v>0.35</v>
      </c>
      <c r="G652" s="89"/>
      <c r="H652" s="88" t="str">
        <f>IFERROR(IF($G652="","",$G652*$S$662/$G$662/Cadastro!$E$33),"")</f>
        <v/>
      </c>
      <c r="I652" s="90">
        <f>IFERROR(IF($D652="","",VLOOKUP($D652,Cadastro!$C$4:$G$7,5,FALSE())),"")</f>
        <v>0.6</v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 t="s">
        <v>30</v>
      </c>
      <c r="D653" s="62" t="s">
        <v>31</v>
      </c>
      <c r="E653" s="87" t="s">
        <v>278</v>
      </c>
      <c r="F653" s="88">
        <f>IFERROR(IF($D653="","",VLOOKUP($D653,Cadastro!$C$4:$E$7,3,FALSE())),"")</f>
        <v>0.35</v>
      </c>
      <c r="G653" s="89"/>
      <c r="H653" s="88" t="str">
        <f>IFERROR(IF($G653="","",$G653*$S$662/$G$662/Cadastro!$E$33),"")</f>
        <v/>
      </c>
      <c r="I653" s="90">
        <f>IFERROR(IF($D653="","",VLOOKUP($D653,Cadastro!$C$4:$G$7,5,FALSE())),"")</f>
        <v>0.6</v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 t="s">
        <v>30</v>
      </c>
      <c r="D654" s="62" t="s">
        <v>31</v>
      </c>
      <c r="E654" s="87" t="s">
        <v>278</v>
      </c>
      <c r="F654" s="88">
        <f>IFERROR(IF($D654="","",VLOOKUP($D654,Cadastro!$C$4:$E$7,3,FALSE())),"")</f>
        <v>0.35</v>
      </c>
      <c r="G654" s="89"/>
      <c r="H654" s="88" t="str">
        <f>IFERROR(IF($G654="","",$G654*$S$662/$G$662/Cadastro!$E$33),"")</f>
        <v/>
      </c>
      <c r="I654" s="90">
        <f>IFERROR(IF($D654="","",VLOOKUP($D654,Cadastro!$C$4:$G$7,5,FALSE())),"")</f>
        <v>0.6</v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 t="s">
        <v>30</v>
      </c>
      <c r="D655" s="62" t="s">
        <v>31</v>
      </c>
      <c r="E655" s="87" t="s">
        <v>278</v>
      </c>
      <c r="F655" s="88">
        <f>IFERROR(IF($D655="","",VLOOKUP($D655,Cadastro!$C$4:$E$7,3,FALSE())),"")</f>
        <v>0.35</v>
      </c>
      <c r="G655" s="89">
        <v>24</v>
      </c>
      <c r="H655" s="88">
        <f>IFERROR(IF($G655="","",$G655*$S$662/$G$662/Cadastro!$E$33),"")</f>
        <v>0</v>
      </c>
      <c r="I655" s="90">
        <f>IFERROR(IF($D655="","",VLOOKUP($D655,Cadastro!$C$4:$G$7,5,FALSE())),"")</f>
        <v>0.6</v>
      </c>
      <c r="J655" s="91">
        <f t="shared" si="170"/>
        <v>0</v>
      </c>
      <c r="K655" s="69">
        <f t="shared" si="171"/>
        <v>100.80000000000001</v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 t="s">
        <v>30</v>
      </c>
      <c r="D656" s="62" t="s">
        <v>31</v>
      </c>
      <c r="E656" s="87" t="s">
        <v>278</v>
      </c>
      <c r="F656" s="88">
        <f>IFERROR(IF($D656="","",VLOOKUP($D656,Cadastro!$C$4:$E$7,3,FALSE())),"")</f>
        <v>0.35</v>
      </c>
      <c r="G656" s="89"/>
      <c r="H656" s="88" t="str">
        <f>IFERROR(IF($G656="","",$G656*$S$662/$G$662/Cadastro!$E$33),"")</f>
        <v/>
      </c>
      <c r="I656" s="90">
        <f>IFERROR(IF($D656="","",VLOOKUP($D656,Cadastro!$C$4:$G$7,5,FALSE())),"")</f>
        <v>0.6</v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 t="s">
        <v>30</v>
      </c>
      <c r="D657" s="62" t="s">
        <v>31</v>
      </c>
      <c r="E657" s="87" t="s">
        <v>278</v>
      </c>
      <c r="F657" s="88">
        <f>IFERROR(IF($D657="","",VLOOKUP($D657,Cadastro!$C$4:$E$7,3,FALSE())),"")</f>
        <v>0.35</v>
      </c>
      <c r="G657" s="89"/>
      <c r="H657" s="88" t="str">
        <f>IFERROR(IF($G657="","",$G657*$S$662/$G$662/Cadastro!$E$33),"")</f>
        <v/>
      </c>
      <c r="I657" s="90">
        <f>IFERROR(IF($D657="","",VLOOKUP($D657,Cadastro!$C$4:$G$7,5,FALSE())),"")</f>
        <v>0.6</v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 t="s">
        <v>30</v>
      </c>
      <c r="D658" s="62" t="s">
        <v>31</v>
      </c>
      <c r="E658" s="87" t="s">
        <v>278</v>
      </c>
      <c r="F658" s="88">
        <f>IFERROR(IF($D658="","",VLOOKUP($D658,Cadastro!$C$4:$E$7,3,FALSE())),"")</f>
        <v>0.35</v>
      </c>
      <c r="G658" s="89"/>
      <c r="H658" s="88" t="str">
        <f>IFERROR(IF($G658="","",$G658*$S$662/$G$662/Cadastro!$E$33),"")</f>
        <v/>
      </c>
      <c r="I658" s="90">
        <f>IFERROR(IF($D658="","",VLOOKUP($D658,Cadastro!$C$4:$G$7,5,FALSE())),"")</f>
        <v>0.6</v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 t="s">
        <v>30</v>
      </c>
      <c r="D659" s="62" t="s">
        <v>31</v>
      </c>
      <c r="E659" s="87" t="s">
        <v>278</v>
      </c>
      <c r="F659" s="88">
        <f>IFERROR(IF($D659="","",VLOOKUP($D659,Cadastro!$C$4:$E$7,3,FALSE())),"")</f>
        <v>0.35</v>
      </c>
      <c r="G659" s="89"/>
      <c r="H659" s="88" t="str">
        <f>IFERROR(IF($G659="","",$G659*$S$662/$G$662/Cadastro!$E$33),"")</f>
        <v/>
      </c>
      <c r="I659" s="90">
        <f>IFERROR(IF($D659="","",VLOOKUP($D659,Cadastro!$C$4:$G$7,5,FALSE())),"")</f>
        <v>0.6</v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 t="s">
        <v>30</v>
      </c>
      <c r="D660" s="62" t="s">
        <v>31</v>
      </c>
      <c r="E660" s="87" t="s">
        <v>278</v>
      </c>
      <c r="F660" s="88">
        <f>IFERROR(IF($D660="","",VLOOKUP($D660,Cadastro!$C$4:$E$7,3,FALSE())),"")</f>
        <v>0.35</v>
      </c>
      <c r="G660" s="89"/>
      <c r="H660" s="88" t="str">
        <f>IFERROR(IF($G660="","",$G660*$S$662/$G$662/Cadastro!$E$33),"")</f>
        <v/>
      </c>
      <c r="I660" s="90">
        <f>IFERROR(IF($D660="","",VLOOKUP($D660,Cadastro!$C$4:$G$7,5,FALSE())),"")</f>
        <v>0.6</v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 t="s">
        <v>30</v>
      </c>
      <c r="D661" s="62" t="s">
        <v>31</v>
      </c>
      <c r="E661" s="87" t="s">
        <v>278</v>
      </c>
      <c r="F661" s="92">
        <f>IFERROR(IF($D661="","",VLOOKUP($D661,Cadastro!$C$4:$E$7,3,FALSE())),"")</f>
        <v>0.35</v>
      </c>
      <c r="G661" s="89"/>
      <c r="H661" s="92" t="str">
        <f>IFERROR(IF($G661="","",$G661*$S$662/$G$662/Cadastro!$E$33),"")</f>
        <v/>
      </c>
      <c r="I661" s="93">
        <f>IFERROR(IF($D661="","",VLOOKUP($D661,Cadastro!$C$4:$G$7,5,FALSE())),"")</f>
        <v>0.6</v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24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100.80000000000001</v>
      </c>
      <c r="L662" s="72"/>
      <c r="M662" s="72"/>
      <c r="N662" s="72"/>
      <c r="O662" s="134"/>
      <c r="P662" s="134"/>
      <c r="Q662" s="73">
        <f ca="1">IFERROR(SUM(Q650:Q661),"")</f>
        <v>0.20908182870092179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24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100.80000000000001</v>
      </c>
      <c r="L676" s="76"/>
      <c r="M676" s="76"/>
      <c r="N676" s="76"/>
      <c r="O676" s="135"/>
      <c r="P676" s="135"/>
      <c r="Q676" s="77">
        <f ca="1">IFERROR(Q662+Q675,"")</f>
        <v>0.20908182870092179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265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265</v>
      </c>
      <c r="S837" s="74"/>
      <c r="T837" s="99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268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2026-08-25T17:29:35Z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