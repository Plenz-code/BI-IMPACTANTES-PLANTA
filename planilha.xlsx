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448" documentId="8_{AF585B22-221D-4780-BB9C-493D365A6A02}" xr6:coauthVersionLast="47" xr6:coauthVersionMax="47" xr10:uidLastSave="{F93E40A9-DF65-40C7-B065-EBD85C3DD84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<sst xmlns="http://schemas.openxmlformats.org/spreadsheetml/2006/main" count="9105" uniqueCount="376">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</sst>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5" sqref="G25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1630000</v>
      </c>
      <c r="D25" s="11">
        <f>IFERROR('Linha 1'!O595,"")</f>
        <v>966000</v>
      </c>
      <c r="E25" s="11">
        <f>IFERROR('Linha 2'!O595,"")</f>
        <v>222600</v>
      </c>
      <c r="F25" s="11">
        <f>IFERROR('Linha 3'!O595,"")</f>
        <v>0</v>
      </c>
      <c r="G25" s="12">
        <f t="shared" si="0"/>
        <v>1188600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66223351</v>
      </c>
      <c r="D35" s="13">
        <f>IFERROR(SUM(D4:D34),"")</f>
        <v>26460250</v>
      </c>
      <c r="E35" s="13">
        <f>IFERROR(SUM(E4:E34),"")</f>
        <v>14550490</v>
      </c>
      <c r="F35" s="13">
        <f>IFERROR(SUM(F4:F34),"")</f>
        <v>28724440</v>
      </c>
      <c r="G35" s="13">
        <f>IFERROR(SUM(G4:G34),"")</f>
        <v>69735180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62" activePane="bottomLeft" state="frozen"/>
      <selection pane="bottomLeft" activeCell="E582" sqref="E5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228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228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228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228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228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228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228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228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228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228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228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228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231</v>
      </c>
      <c r="O567" s="39">
        <v>1482110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234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228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228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228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228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228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228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231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186</v>
      </c>
      <c r="G595" s="40">
        <f>G581+G594</f>
        <v>930</v>
      </c>
      <c r="H595" s="41"/>
      <c r="I595" s="41"/>
      <c r="J595" s="41"/>
      <c r="K595" s="41"/>
      <c r="L595" s="41"/>
      <c r="M595" s="42">
        <f ca="1">IFERROR(M581+M594,"")</f>
        <v>5.8333333333333293E-2</v>
      </c>
      <c r="N595" s="40" t="s">
        <v>234</v>
      </c>
      <c r="O595" s="48">
        <f>IFERROR(O581+O594,"")</f>
        <v>1630000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55" activePane="bottomLeft" state="frozen"/>
      <selection pane="bottomLeft" activeCell="J582" sqref="J5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0.58118229166575475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0.73882118055464363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0.8485434027768658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0.55965451389056398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0.73048784722389737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0.8756267361127863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231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231</v>
      </c>
      <c r="O567" s="77">
        <v>722660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234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231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/>
      <c r="M582" s="30">
        <f t="shared" ref="M582:M593" ca="1" si="130">IFERROR(IF(K582="","",IF(L582="",MOD(NOW()-K582,1),IF(L582&gt;=K582,L582-K582,L582+1-K582))),"")</f>
        <v>1.321180556260515E-3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1.321180556260515E-3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230</v>
      </c>
      <c r="G595" s="40">
        <f>G581+G594</f>
        <v>966.00000000000011</v>
      </c>
      <c r="H595" s="41"/>
      <c r="I595" s="41"/>
      <c r="J595" s="41"/>
      <c r="K595" s="41"/>
      <c r="L595" s="41"/>
      <c r="M595" s="42">
        <f ca="1">IFERROR(M581+M594,"")</f>
        <v>2.4237847222927211E-2</v>
      </c>
      <c r="N595" s="40" t="s">
        <v>234</v>
      </c>
      <c r="O595" s="83">
        <f>IFERROR(O581+O594,"")</f>
        <v>966000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49" zoomScale="50" zoomScaleNormal="50" workbookViewId="0">
      <selection activeCell="I582" sqref="I5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313</v>
      </c>
      <c r="N166" s="27" t="s">
        <v>314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231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255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255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255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255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255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255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255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255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231</v>
      </c>
      <c r="O567" s="39">
        <v>315860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234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231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/>
      <c r="M582" s="30">
        <f t="shared" ref="M582:M593" ca="1" si="130">IFERROR(IF(K582="","",IF(L582="",MOD(NOW()-K582,1),IF(L582&gt;=K582,L582-K582,L582+1-K582))),"")</f>
        <v>1.321180556260515E-3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255</v>
      </c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1.321180556260515E-3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53</v>
      </c>
      <c r="G595" s="40">
        <f>G581+G594</f>
        <v>222.60000000000002</v>
      </c>
      <c r="H595" s="41"/>
      <c r="I595" s="41"/>
      <c r="J595" s="41"/>
      <c r="K595" s="41"/>
      <c r="L595" s="41"/>
      <c r="M595" s="42">
        <f ca="1">IFERROR(M581+M594,"")</f>
        <v>4.4376736111816084E-2</v>
      </c>
      <c r="N595" s="40" t="s">
        <v>234</v>
      </c>
      <c r="O595" s="48">
        <f>IFERROR(O581+O594,"")</f>
        <v>222600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2" activePane="bottomLeft" state="frozen"/>
      <selection pane="bottomLeft" activeCell="J582" sqref="J58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336</v>
      </c>
      <c r="L58" s="29">
        <v>0.54097222222222219</v>
      </c>
      <c r="M58" s="30" t="str">
        <f t="shared" ca="1" si="13"/>
        <v/>
      </c>
      <c r="N58" s="27" t="s">
        <v>337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0.57146006944822147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0.7707656250037771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1.1381267361148881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231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255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255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255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255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255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255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255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255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255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255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255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255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231</v>
      </c>
      <c r="O567" s="39">
        <v>499820</v>
      </c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234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255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255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255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255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255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255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255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255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255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255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255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255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231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255</v>
      </c>
      <c r="F582" s="27"/>
      <c r="G582" s="28" t="str">
        <f t="shared" ref="G582:G593" si="129">IF(F582="","",IF(E582="PC 17",F582*4.2,IF(E582="PC 19",F582*5,"")))</f>
        <v/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/>
      <c r="M582" s="30">
        <f t="shared" ref="M582:M593" ca="1" si="130">IFERROR(IF(K582="","",IF(L582="",MOD(NOW()-K582,1),IF(L582&gt;=K582,L582-K582,L582+1-K582))),"")</f>
        <v>2.9098958337272052E-2</v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255</v>
      </c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255</v>
      </c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255</v>
      </c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255</v>
      </c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7" t="s">
        <v>255</v>
      </c>
      <c r="F587" s="27"/>
      <c r="G587" s="34" t="str">
        <f>IF(F587="","",IF(E588="PC 17",F587*4.2,IF(E588="PC 19",F587*5,"")))</f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255</v>
      </c>
      <c r="F588" s="27"/>
      <c r="G588" s="28" t="str">
        <f>IF(F588="","",IF(#REF!="PC 17",F588*4.2,IF(#REF!="PC 19",F588*5,"")))</f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255</v>
      </c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255</v>
      </c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255</v>
      </c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255</v>
      </c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255</v>
      </c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2.9098958337272052E-2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0.52909895833727205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2026-07-22T23:42:04Z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