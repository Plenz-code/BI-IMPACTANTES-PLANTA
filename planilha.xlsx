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73" documentId="13_ncr:1_{A6DBCFB4-28D9-4249-9038-216934055CA6}" xr6:coauthVersionLast="47" xr6:coauthVersionMax="47" xr10:uidLastSave="{E9EB5A00-4EE4-44C3-8AA1-574B873170AF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0" i="4" l="1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<sst xmlns="http://schemas.openxmlformats.org/spreadsheetml/2006/main" count="9411" uniqueCount="414">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</sst>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J557" sqref="J55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/>
      <c r="K557" s="65">
        <v>2.5694444444444443E-2</v>
      </c>
      <c r="L557" s="65"/>
      <c r="M557" s="71">
        <f t="shared" ca="1" si="120"/>
        <v>2.6231365744024515E-2</v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28</v>
      </c>
      <c r="G567" s="2">
        <f>SUM(G555:G566)</f>
        <v>140</v>
      </c>
      <c r="H567" s="72"/>
      <c r="I567" s="72"/>
      <c r="J567" s="72"/>
      <c r="K567" s="72"/>
      <c r="L567" s="72"/>
      <c r="M567" s="73">
        <f ca="1">IFERROR(SUM(M555:M566),"")</f>
        <v>0.18664803241069128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28</v>
      </c>
      <c r="G568" s="1">
        <f>G554+G567</f>
        <v>140</v>
      </c>
      <c r="H568" s="76"/>
      <c r="I568" s="76"/>
      <c r="J568" s="76"/>
      <c r="K568" s="76"/>
      <c r="L568" s="76"/>
      <c r="M568" s="77">
        <f ca="1">IFERROR(M554+M567,"")</f>
        <v>0.68664803241069117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4" activePane="bottomLeft" state="frozen"/>
      <selection pane="bottomLeft" activeCell="D560" sqref="D56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0.93039803240390029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1.069286921292788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1.1540091435150108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0.26025914352067048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/>
      <c r="F560" s="88">
        <f>IFERROR(IF($D560="","",VLOOKUP($D560,Cadastro!$C$4:$E$7,3,FALSE())),"")</f>
        <v>0.24</v>
      </c>
      <c r="G560" s="89">
        <v>13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13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0.26025914352067048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58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0.58178692129844811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D560" sqref="D56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69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305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78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342.8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2" activePane="bottomLeft" state="frozen"/>
      <selection pane="bottomLeft" activeCell="N562" sqref="N56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1</v>
      </c>
      <c r="Q562" s="66">
        <f t="shared" ca="1" si="145"/>
        <v>2.7777777777777679E-3</v>
      </c>
      <c r="R562" s="63" t="s">
        <v>413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208.20000000000002</v>
      </c>
      <c r="L567" s="72"/>
      <c r="M567" s="72"/>
      <c r="N567" s="72"/>
      <c r="O567" s="134"/>
      <c r="P567" s="134"/>
      <c r="Q567" s="73">
        <f ca="1">IFERROR(SUM(Q555:Q566),"")</f>
        <v>4.5833333333333282E-2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180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758.40000000000009</v>
      </c>
      <c r="L568" s="76"/>
      <c r="M568" s="76"/>
      <c r="N568" s="76"/>
      <c r="O568" s="135"/>
      <c r="P568" s="135"/>
      <c r="Q568" s="77">
        <f ca="1">IFERROR(Q554+Q567,"")</f>
        <v>0.20208333333333334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