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937" documentId="13_ncr:1_{0A10D8D4-8450-4366-8075-B53B08E6B7EA}" xr6:coauthVersionLast="47" xr6:coauthVersionMax="47" xr10:uidLastSave="{9A7656CE-FF5B-481C-981A-67142777C6F9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406" i="5" l="1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42" i="6"/>
  <c r="J442" i="6" s="1"/>
  <c r="H443" i="6"/>
  <c r="J443" i="6" s="1"/>
  <c r="H444" i="6"/>
  <c r="J444" i="6" s="1"/>
  <c r="H445" i="6"/>
  <c r="J445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42" i="5"/>
  <c r="J442" i="5" s="1"/>
  <c r="H443" i="5"/>
  <c r="J443" i="5" s="1"/>
  <c r="H444" i="5"/>
  <c r="J444" i="5" s="1"/>
  <c r="H445" i="5"/>
  <c r="J445" i="5" s="1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4" i="4"/>
  <c r="J474" i="4" s="1"/>
  <c r="H475" i="4"/>
  <c r="J475" i="4" s="1"/>
  <c r="H476" i="4"/>
  <c r="J476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H461" i="4"/>
  <c r="J461" i="4" s="1"/>
  <c r="H462" i="4"/>
  <c r="J462" i="4" s="1"/>
  <c r="H463" i="4"/>
  <c r="J463" i="4" s="1"/>
  <c r="H464" i="4"/>
  <c r="J464" i="4" s="1"/>
  <c r="H465" i="4"/>
  <c r="J465" i="4" s="1"/>
  <c r="H466" i="4"/>
  <c r="J466" i="4" s="1"/>
  <c r="H467" i="4"/>
  <c r="J467" i="4" s="1"/>
  <c r="H468" i="4"/>
  <c r="J468" i="4" s="1"/>
  <c r="H469" i="4"/>
  <c r="J469" i="4" s="1"/>
  <c r="H470" i="4"/>
  <c r="J470" i="4" s="1"/>
  <c r="H471" i="4"/>
  <c r="J471" i="4" s="1"/>
  <c r="H472" i="4"/>
  <c r="J472" i="4" s="1"/>
  <c r="H447" i="4"/>
  <c r="J447" i="4" s="1"/>
  <c r="H448" i="4"/>
  <c r="J448" i="4" s="1"/>
  <c r="H449" i="4"/>
  <c r="J449" i="4" s="1"/>
  <c r="H450" i="4"/>
  <c r="J450" i="4" s="1"/>
  <c r="H451" i="4"/>
  <c r="J451" i="4" s="1"/>
  <c r="H452" i="4"/>
  <c r="J452" i="4" s="1"/>
  <c r="H453" i="4"/>
  <c r="J453" i="4" s="1"/>
  <c r="H454" i="4"/>
  <c r="J454" i="4" s="1"/>
  <c r="H455" i="4"/>
  <c r="J455" i="4" s="1"/>
  <c r="H456" i="4"/>
  <c r="J456" i="4" s="1"/>
  <c r="H457" i="4"/>
  <c r="J457" i="4" s="1"/>
  <c r="H458" i="4"/>
  <c r="J458" i="4" s="1"/>
  <c r="H442" i="4"/>
  <c r="J442" i="4" s="1"/>
  <c r="H443" i="4"/>
  <c r="J443" i="4" s="1"/>
  <c r="H444" i="4"/>
  <c r="J444" i="4" s="1"/>
  <c r="H445" i="4"/>
  <c r="J445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810" i="5"/>
  <c r="T810" i="5" s="1"/>
  <c r="J473" i="4"/>
  <c r="T473" i="4" s="1"/>
  <c r="J540" i="6"/>
  <c r="T540" i="6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824" i="5"/>
  <c r="T824" i="5" s="1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486" i="4"/>
  <c r="H581" i="4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459" i="4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487" i="5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40" i="6" l="1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446" i="6" l="1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33" i="4" l="1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<sst xmlns="http://schemas.openxmlformats.org/spreadsheetml/2006/main" count="7534" uniqueCount="364">
  <si>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</si>
  <si>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</si>
  <si>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</si>
  <si>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</si>
  <si>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</si>
  <si>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</si>
  <si>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</si>
  <si>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</si>
  <si>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</si>
  <si>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</si>
  <si>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</si>
  <si>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</si>
  <si>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</si>
  <si>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</si>
  <si>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</si>
  <si>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</si>
  <si>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</si>
  <si>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</si>
  <si>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</si>
  <si>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</si>
  <si>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</si>
  <si>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</si>
  <si>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</si>
  <si>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</si>
  <si>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</si>
  <si>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</si>
  <si>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</si>
  <si>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</si>
  <si>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</si>
  <si>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</si>
  <si>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</si>
  <si>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</si>
  <si>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</si>
  <si>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</si>
  <si>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</si>
  <si>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</si>
  <si>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</si>
  <si>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</si>
  <si>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</si>
  <si>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</si>
  <si>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</si>
  <si>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</si>
  <si>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</si>
  <si>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</si>
  <si>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</si>
  <si>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</si>
  <si>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</si>
  <si>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</si>
  <si>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</si>
  <si>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</si>
  <si>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</si>
  <si>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</si>
  <si>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</si>
  <si>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</si>
  <si>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</si>
  <si>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</si>
  <si>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</si>
  <si>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</si>
  <si>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</si>
  <si>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</si>
  <si>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</si>
  <si>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</si>
  <si>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</si>
  <si>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</si>
  <si>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</si>
  <si>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</si>
  <si>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</si>
  <si>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</si>
  <si>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</si>
  <si>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</si>
  <si>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</si>
  <si>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</si>
  <si>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</si>
  <si>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</si>
  <si>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</si>
  <si>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</si>
  <si>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</si>
  <si>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</si>
  <si>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</si>
  <si>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</si>
  <si>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</si>
  <si>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</si>
  <si>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</si>
  <si>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</si>
  <si>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</si>
  <si>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</si>
  <si>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</si>
  <si>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</si>
  <si>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</si>
  <si>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</si>
  <si>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</si>
  <si>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</si>
  <si>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</si>
  <si>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</si>
  <si>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</si>
  <si>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</si>
  <si>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</si>
  <si>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</si>
  <si>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</si>
  <si>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</si>
  <si>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</si>
  <si>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</si>
  <si>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</si>
  <si>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</si>
  <si>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</si>
  <si>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</si>
  <si>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</si>
  <si>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</si>
  <si>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</si>
  <si>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</si>
  <si>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</si>
  <si>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</si>
  <si>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</si>
  <si>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</si>
  <si>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</si>
  <si>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</si>
  <si>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</si>
  <si>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</si>
  <si>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</si>
  <si>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</si>
  <si>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</si>
  <si>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</si>
  <si>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</si>
  <si>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</si>
  <si>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</si>
  <si>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</si>
  <si>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</si>
  <si>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</si>
  <si>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</si>
  <si>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</si>
  <si>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</si>
  <si>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</si>
  <si>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</si>
  <si>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</si>
  <si>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</si>
  <si>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</si>
  <si>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</si>
  <si>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</si>
  <si>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</si>
  <si>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</si>
  <si>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</si>
  <si>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</si>
  <si>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</si>
  <si>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</si>
  <si>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</si>
  <si>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</si>
  <si>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</si>
  <si>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</si>
  <si>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</si>
  <si>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</si>
  <si>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</si>
  <si>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</si>
  <si>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</si>
  <si>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</si>
  <si>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</si>
  <si>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</si>
  <si>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</si>
  <si>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</si>
  <si>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</si>
  <si>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</si>
  <si>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</si>
  <si>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</si>
  <si>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</si>
  <si>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</si>
  <si>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</si>
  <si>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</si>
  <si>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</si>
  <si>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</si>
  <si>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</si>
  <si>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</si>
  <si>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</si>
  <si>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</si>
  <si>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</si>
  <si>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</si>
  <si>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</si>
  <si>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</si>
  <si>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</si>
  <si>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</si>
  <si>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</si>
  <si>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</si>
  <si>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</si>
  <si>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</si>
  <si>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</si>
  <si>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</si>
  <si>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</si>
  <si>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</si>
  <si>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</si>
  <si>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</si>
  <si>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</si>
  <si>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</si>
  <si>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</si>
  <si>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</si>
  <si>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</si>
  <si>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</si>
  <si>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</si>
  <si>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</si>
  <si>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</si>
  <si>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</si>
  <si>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</si>
  <si>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</si>
  <si>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</si>
  <si>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</si>
  <si>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</si>
  <si>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</si>
  <si>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</si>
  <si>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</si>
  <si>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</si>
  <si>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</si>
  <si>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</si>
  <si>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</si>
  <si>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</si>
  <si>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</si>
  <si>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</si>
  <si>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</si>
  <si>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</si>
  <si>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</si>
  <si>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</si>
  <si>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</si>
  <si>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</si>
  <si>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</si>
  <si>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</si>
  <si>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</si>
  <si>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</si>
  <si>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</si>
  <si>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</si>
  <si>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</si>
  <si>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</si>
  <si>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</si>
  <si>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</si>
  <si>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</si>
  <si>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</si>
  <si>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</si>
  <si>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</si>
  <si>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</si>
  <si>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</si>
  <si>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</si>
  <si>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</si>
  <si>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</si>
  <si>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</si>
  <si>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</si>
  <si>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</si>
  <si>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</si>
  <si>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</si>
  <si>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</si>
  <si>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</si>
  <si>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</si>
  <si>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</si>
  <si>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</si>
  <si>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</si>
  <si>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</si>
  <si>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</si>
  <si>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</si>
  <si>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</si>
  <si>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</si>
  <si>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</si>
  <si>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</si>
  <si>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</si>
  <si>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</si>
  <si>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</si>
  <si>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</si>
  <si>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</si>
  <si>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</si>
  <si>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</si>
  <si>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</si>
  <si>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</si>
  <si>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</si>
  <si>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</si>
  <si>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</si>
  <si>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</si>
  <si>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</si>
  <si>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</si>
  <si>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 xml:space="preserve">manutenção na balata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</si>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</sst>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8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28" sqref="F28"/>
    </sheetView>
  </sheetViews>
  <sheetFormatPr defaultColWidth="8.5703125" defaultRowHeight="14.4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59854730</v>
      </c>
      <c r="D35" s="13">
        <f t="shared" si="2"/>
        <v>19537270</v>
      </c>
      <c r="E35" s="13">
        <f t="shared" si="2"/>
        <v>10062440</v>
      </c>
      <c r="F35" s="13">
        <f t="shared" si="2"/>
        <v>24902370</v>
      </c>
      <c r="G35" s="13">
        <f t="shared" si="2"/>
        <v>54502080</v>
      </c>
      <c r="H35" s="97">
        <f t="shared" si="2"/>
        <v>3687.0015327907322</v>
      </c>
      <c r="I35" s="97">
        <f>IFERROR(SUM(I4:I34),"")</f>
        <v>3895.4599999999996</v>
      </c>
      <c r="J35" s="130">
        <f>IFERROR(AVERAGE(J4:J34),"-")</f>
        <v>0.93662764247245955</v>
      </c>
      <c r="K35" s="157">
        <f>SUM(K4:K34)</f>
        <v>450.78</v>
      </c>
    </row>
  </sheetData>
  <sheetProtection algorithmName="SHA-512" hashValue="gqTLzSuAHGYI8uOhqvLYOaoQbrZvCsSzD0aJE6/A0ufYguG/Kt8CCpL7wveFByPuEM7kH25C930tYTtMRaRnJQ==" saltValue="dcFiUfDE4dvgBpW29BEIkg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54" zoomScale="85" zoomScaleNormal="85" workbookViewId="0"/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 t="s">
        <v>232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411" activePane="bottomLeft" state="frozen"/>
      <selection pane="bottomLeft" activeCell="F442" sqref="F442"/>
      <selection sqref="A1:G409"/>
    </sheetView>
  </sheetViews>
  <sheetFormatPr defaultColWidth="8.5703125" defaultRowHeight="14.4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69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69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0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69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69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0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69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69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0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69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69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0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69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69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0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69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69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0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69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69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0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69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69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0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71" t="s">
        <v>244</v>
      </c>
      <c r="B230" s="172"/>
      <c r="C230" s="172"/>
      <c r="D230" s="172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69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0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69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69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0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69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69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0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69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69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0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69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69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0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69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69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>
        <v>2614830</v>
      </c>
    </row>
    <row r="379" spans="1:15" ht="18" customHeight="1">
      <c r="A379" s="160" t="s">
        <v>248</v>
      </c>
      <c r="B379" s="161"/>
      <c r="C379" s="161"/>
      <c r="D379" s="161"/>
      <c r="E379" s="170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243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243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243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243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243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243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243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243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243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243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243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243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69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243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269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243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243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243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243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243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243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243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243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243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243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243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69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245</v>
      </c>
      <c r="O405" s="39">
        <v>2612000</v>
      </c>
    </row>
    <row r="406" spans="1:15" ht="18" customHeight="1">
      <c r="A406" s="160" t="s">
        <v>248</v>
      </c>
      <c r="B406" s="161"/>
      <c r="C406" s="161"/>
      <c r="D406" s="161"/>
      <c r="E406" s="170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249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243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243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243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243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243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243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243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243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243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243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243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243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69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245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243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225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243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141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270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243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141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270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243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243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243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243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243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243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243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243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243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69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245</v>
      </c>
      <c r="O432" s="39">
        <v>2266710</v>
      </c>
    </row>
    <row r="433" spans="1:15" ht="18" customHeight="1">
      <c r="A433" s="160" t="s">
        <v>248</v>
      </c>
      <c r="B433" s="161"/>
      <c r="C433" s="161"/>
      <c r="D433" s="161"/>
      <c r="E433" s="170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249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243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164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 t="s">
        <v>271</v>
      </c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243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243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/>
      <c r="M436" s="30">
        <f t="shared" ca="1" si="92"/>
        <v>1.6732523145037703E-2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243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243</v>
      </c>
      <c r="F438" s="27">
        <v>15</v>
      </c>
      <c r="G438" s="28">
        <f t="shared" si="91"/>
        <v>75</v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243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243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243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243</v>
      </c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243</v>
      </c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243</v>
      </c>
      <c r="F444" s="27"/>
      <c r="G444" s="28" t="str">
        <f t="shared" si="91"/>
        <v/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243</v>
      </c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69">
        <f>SUM(E434:E445)</f>
        <v>0</v>
      </c>
      <c r="F446" s="36">
        <f>SUM(F434:F445)</f>
        <v>120</v>
      </c>
      <c r="G446" s="36">
        <f>SUM(G434:G445)</f>
        <v>600</v>
      </c>
      <c r="H446" s="37"/>
      <c r="I446" s="37"/>
      <c r="J446" s="37"/>
      <c r="K446" s="37"/>
      <c r="L446" s="37"/>
      <c r="M446" s="38">
        <f ca="1">IFERROR(SUM(M434:M445),"")</f>
        <v>3.8260300922815516E-2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6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0">
        <f>E446+E459</f>
        <v>0</v>
      </c>
      <c r="F460" s="40">
        <f>F446+F459</f>
        <v>120</v>
      </c>
      <c r="G460" s="40">
        <f>G446+G459</f>
        <v>600</v>
      </c>
      <c r="H460" s="41"/>
      <c r="I460" s="41"/>
      <c r="J460" s="41"/>
      <c r="K460" s="41"/>
      <c r="L460" s="41"/>
      <c r="M460" s="42">
        <f ca="1">IFERROR(M446+M459,"")</f>
        <v>3.8260300922815516E-2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6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6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6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6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6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6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6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6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6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6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6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6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6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6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6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6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6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6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6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6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6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6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6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6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6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6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4" t="s">
        <v>248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69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69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0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3">
    <dataValidation type="list" allowBlank="1" showErrorMessage="1" errorTitle="Valor inválido" error="Selecione PC 17 ou PC 19 da lista." sqref="E15:E26 E2:E13 E454:E838 E29:E229 E231:E310 E312:E381 E383:E452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11" activePane="bottomLeft" state="frozen"/>
      <selection pane="bottomLeft" activeCell="G442" sqref="G442"/>
      <selection sqref="A1:G409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272</v>
      </c>
      <c r="I1" s="133" t="s">
        <v>20</v>
      </c>
      <c r="J1" s="133" t="s">
        <v>273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273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274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275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276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277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278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279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280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281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0.5049269675873802</v>
      </c>
      <c r="R53" s="46" t="s">
        <v>282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0.64381585647626904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0.72853807869849141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274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283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284</v>
      </c>
      <c r="Q96" s="30" t="str">
        <f t="shared" ref="Q96:Q107" ca="1" si="22">IFERROR(IF(O96="","",IF(P96="",MOD(NOW()-O96,1),IF(P96&gt;=O96,P96-O96,P96+1-O96))),"")</f>
        <v/>
      </c>
      <c r="R96" s="46" t="s">
        <v>285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286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287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288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289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290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291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292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293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290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294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295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288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283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296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297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298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71" t="s">
        <v>244</v>
      </c>
      <c r="B230" s="172"/>
      <c r="C230" s="172"/>
      <c r="D230" s="172"/>
      <c r="E230" s="17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299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300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301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302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303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295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290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283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304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245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249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259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259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305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245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306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165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175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165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245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249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245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307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164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167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245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249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259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0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0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308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259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0</v>
      </c>
      <c r="I435" s="135">
        <f>IFERROR(IF($D435="","",VLOOKUP($D435,Cadastro!$C$4:$G$7,5,FALSE)),"")</f>
        <v>0.6</v>
      </c>
      <c r="J435" s="136">
        <f t="shared" si="106"/>
        <v>0</v>
      </c>
      <c r="K435" s="28">
        <f t="shared" si="107"/>
        <v>8.4</v>
      </c>
      <c r="L435" s="33" t="s">
        <v>27</v>
      </c>
      <c r="M435" s="33" t="s">
        <v>145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259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0</v>
      </c>
      <c r="I436" s="135">
        <f>IFERROR(IF($D436="","",VLOOKUP($D436,Cadastro!$C$4:$G$7,5,FALSE)),"")</f>
        <v>0.6</v>
      </c>
      <c r="J436" s="136">
        <f t="shared" si="106"/>
        <v>0</v>
      </c>
      <c r="K436" s="28">
        <f t="shared" si="107"/>
        <v>46.2</v>
      </c>
      <c r="L436" s="26" t="s">
        <v>26</v>
      </c>
      <c r="M436" s="26" t="s">
        <v>167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259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0</v>
      </c>
      <c r="I437" s="135">
        <f>IFERROR(IF($D437="","",VLOOKUP($D437,Cadastro!$C$4:$G$7,5,FALSE)),"")</f>
        <v>0.6</v>
      </c>
      <c r="J437" s="136">
        <f t="shared" si="106"/>
        <v>0</v>
      </c>
      <c r="K437" s="34">
        <f t="shared" si="107"/>
        <v>58.800000000000004</v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259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6"/>
        <v>0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259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0</v>
      </c>
      <c r="I439" s="135">
        <f>IFERROR(IF($D439="","",VLOOKUP($D439,Cadastro!$C$4:$G$7,5,FALSE)),"")</f>
        <v>0.6</v>
      </c>
      <c r="J439" s="136">
        <f t="shared" si="106"/>
        <v>0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77" t="s">
        <v>309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0</v>
      </c>
      <c r="I440" s="135">
        <f>IFERROR(IF($D440="","",VLOOKUP($D440,Cadastro!$C$4:$G$7,5,FALSE)),"")</f>
        <v>0.6</v>
      </c>
      <c r="J440" s="136">
        <f t="shared" si="106"/>
        <v>0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259</v>
      </c>
      <c r="F441" s="134">
        <f>IFERROR(IF($D441="","",VLOOKUP($D441,Cadastro!$C$4:$E$7,3,FALSE)),"")</f>
        <v>0.35</v>
      </c>
      <c r="G441" s="105">
        <v>3</v>
      </c>
      <c r="H441" s="134">
        <f>IFERROR(IF($G441="","",$G441*$S$446/$G$446/Cadastro!$E$33),"")</f>
        <v>0</v>
      </c>
      <c r="I441" s="135">
        <f>IFERROR(IF($D441="","",VLOOKUP($D441,Cadastro!$C$4:$G$7,5,FALSE)),"")</f>
        <v>0.6</v>
      </c>
      <c r="J441" s="136">
        <f t="shared" si="106"/>
        <v>0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259</v>
      </c>
      <c r="F442" s="134">
        <f>IFERROR(IF($D442="","",VLOOKUP($D442,Cadastro!$C$4:$E$7,3,FALSE)),"")</f>
        <v>0.35</v>
      </c>
      <c r="G442" s="105"/>
      <c r="H442" s="134" t="str">
        <f>IFERROR(IF($G442="","",$G442*$S$446/$G$446/Cadastro!$E$33),"")</f>
        <v/>
      </c>
      <c r="I442" s="135">
        <f>IFERROR(IF($D442="","",VLOOKUP($D442,Cadastro!$C$4:$G$7,5,FALSE)),"")</f>
        <v>0.6</v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259</v>
      </c>
      <c r="F443" s="134">
        <f>IFERROR(IF($D443="","",VLOOKUP($D443,Cadastro!$C$4:$E$7,3,FALSE)),"")</f>
        <v>0.35</v>
      </c>
      <c r="G443" s="105"/>
      <c r="H443" s="134" t="str">
        <f>IFERROR(IF($G443="","",$G443*$S$446/$G$446/Cadastro!$E$33),"")</f>
        <v/>
      </c>
      <c r="I443" s="135">
        <f>IFERROR(IF($D443="","",VLOOKUP($D443,Cadastro!$C$4:$G$7,5,FALSE)),"")</f>
        <v>0.6</v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259</v>
      </c>
      <c r="F444" s="134">
        <f>IFERROR(IF($D444="","",VLOOKUP($D444,Cadastro!$C$4:$E$7,3,FALSE)),"")</f>
        <v>0.35</v>
      </c>
      <c r="G444" s="105"/>
      <c r="H444" s="134" t="str">
        <f>IFERROR(IF($G444="","",$G444*$S$446/$G$446/Cadastro!$E$33),"")</f>
        <v/>
      </c>
      <c r="I444" s="135">
        <f>IFERROR(IF($D444="","",VLOOKUP($D444,Cadastro!$C$4:$G$7,5,FALSE)),"")</f>
        <v>0.6</v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259</v>
      </c>
      <c r="F445" s="137">
        <f>IFERROR(IF($D445="","",VLOOKUP($D445,Cadastro!$C$4:$E$7,3,FALSE)),"")</f>
        <v>0.35</v>
      </c>
      <c r="G445" s="105"/>
      <c r="H445" s="137" t="str">
        <f>IFERROR(IF($G445="","",$G445*$S$446/$G$446/Cadastro!$E$33),"")</f>
        <v/>
      </c>
      <c r="I445" s="138">
        <f>IFERROR(IF($D445="","",VLOOKUP($D445,Cadastro!$C$4:$G$7,5,FALSE)),"")</f>
        <v>0.6</v>
      </c>
      <c r="J445" s="139" t="str">
        <f t="shared" si="106"/>
        <v/>
      </c>
      <c r="K445" s="34" t="str">
        <f>IF(G445="","",IF(#REF!="PC 17",G445*4.2,IF(#REF!="PC 19",G445*5,IF(#REF!="CB",G445*24,""))))</f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71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298.20000000000005</v>
      </c>
      <c r="L446" s="37"/>
      <c r="M446" s="37"/>
      <c r="N446" s="37"/>
      <c r="O446" s="37"/>
      <c r="P446" s="37"/>
      <c r="Q446" s="38">
        <f ca="1">IFERROR(SUM(Q434:Q445),"")</f>
        <v>4.9305555555555602E-2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71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298.20000000000005</v>
      </c>
      <c r="L460" s="41"/>
      <c r="M460" s="41"/>
      <c r="N460" s="41"/>
      <c r="O460" s="41"/>
      <c r="P460" s="41"/>
      <c r="Q460" s="42">
        <f ca="1">IFERROR(Q446+Q459,"")</f>
        <v>4.9305555555555602E-2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yGJdA/lqfZVSPgXUXmdYkWK8SERml5tC5o+rbaIKyY+gYt6zszxYCklhyp2snYv5zb26tq21RRk7BTb6BWrjMw==" saltValue="PgeBFLM8fu/4ApGRBj4Sp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D2:D439 D441:D838 D440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02" activePane="bottomLeft" state="frozen"/>
      <selection pane="bottomLeft" activeCell="G442" sqref="G442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272</v>
      </c>
      <c r="I1" s="133" t="s">
        <v>20</v>
      </c>
      <c r="J1" s="133" t="s">
        <v>273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273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310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277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311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283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310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310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312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313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314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315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317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318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291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283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319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320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294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294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321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322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323</v>
      </c>
      <c r="Q222" s="30" t="str">
        <f t="shared" ca="1" si="49"/>
        <v/>
      </c>
      <c r="R222" s="27" t="s">
        <v>324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325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301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326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302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283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245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249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327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305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245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165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165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245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249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328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245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329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165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245</v>
      </c>
      <c r="S432" s="39">
        <v>180150</v>
      </c>
      <c r="T432" s="119">
        <f>IFERROR(J432,"")</f>
        <v>25.941599999999998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249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259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0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0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330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259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0</v>
      </c>
      <c r="I435" s="135">
        <f>IFERROR(IF($D435="","",VLOOKUP($D435,Cadastro!$C$4:$G$7,5,FALSE)),"")</f>
        <v>0.6</v>
      </c>
      <c r="J435" s="136">
        <f t="shared" si="104"/>
        <v>0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259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0</v>
      </c>
      <c r="I436" s="135">
        <f>IFERROR(IF($D436="","",VLOOKUP($D436,Cadastro!$C$4:$G$7,5,FALSE)),"")</f>
        <v>0.6</v>
      </c>
      <c r="J436" s="136">
        <f t="shared" si="104"/>
        <v>0</v>
      </c>
      <c r="K436" s="28">
        <f t="shared" si="105"/>
        <v>46.2</v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259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0</v>
      </c>
      <c r="I437" s="135">
        <f>IFERROR(IF($D437="","",VLOOKUP($D437,Cadastro!$C$4:$G$7,5,FALSE)),"")</f>
        <v>0.6</v>
      </c>
      <c r="J437" s="136">
        <f t="shared" si="104"/>
        <v>0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259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259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0</v>
      </c>
      <c r="I439" s="135">
        <f>IFERROR(IF($D439="","",VLOOKUP($D439,Cadastro!$C$4:$G$7,5,FALSE)),"")</f>
        <v>0.6</v>
      </c>
      <c r="J439" s="136">
        <f t="shared" si="104"/>
        <v>0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259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0</v>
      </c>
      <c r="I440" s="135">
        <f>IFERROR(IF($D440="","",VLOOKUP($D440,Cadastro!$C$4:$G$7,5,FALSE)),"")</f>
        <v>0.6</v>
      </c>
      <c r="J440" s="136">
        <f t="shared" si="104"/>
        <v>0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29</v>
      </c>
      <c r="E441" s="108" t="s">
        <v>259</v>
      </c>
      <c r="F441" s="134">
        <f>IFERROR(IF($D441="","",VLOOKUP($D441,Cadastro!$C$4:$E$7,3,FALSE)),"")</f>
        <v>0.35</v>
      </c>
      <c r="G441" s="105">
        <v>13</v>
      </c>
      <c r="H441" s="134">
        <f>IFERROR(IF($G441="","",$G441*$S$446/$G$446/Cadastro!$E$33),"")</f>
        <v>0</v>
      </c>
      <c r="I441" s="135">
        <f>IFERROR(IF($D441="","",VLOOKUP($D441,Cadastro!$C$4:$G$7,5,FALSE)),"")</f>
        <v>0.6</v>
      </c>
      <c r="J441" s="136">
        <f t="shared" si="104"/>
        <v>0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29</v>
      </c>
      <c r="E442" s="108" t="s">
        <v>259</v>
      </c>
      <c r="F442" s="134">
        <f>IFERROR(IF($D442="","",VLOOKUP($D442,Cadastro!$C$4:$E$7,3,FALSE)),"")</f>
        <v>0.35</v>
      </c>
      <c r="G442" s="105"/>
      <c r="H442" s="134" t="str">
        <f>IFERROR(IF($G442="","",$G442*$S$446/$G$446/Cadastro!$E$33),"")</f>
        <v/>
      </c>
      <c r="I442" s="135">
        <f>IFERROR(IF($D442="","",VLOOKUP($D442,Cadastro!$C$4:$G$7,5,FALSE)),"")</f>
        <v>0.6</v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259</v>
      </c>
      <c r="F443" s="134">
        <f>IFERROR(IF($D443="","",VLOOKUP($D443,Cadastro!$C$4:$E$7,3,FALSE)),"")</f>
        <v>0.35</v>
      </c>
      <c r="G443" s="105"/>
      <c r="H443" s="134" t="str">
        <f>IFERROR(IF($G443="","",$G443*$S$446/$G$446/Cadastro!$E$33),"")</f>
        <v/>
      </c>
      <c r="I443" s="135">
        <f>IFERROR(IF($D443="","",VLOOKUP($D443,Cadastro!$C$4:$G$7,5,FALSE)),"")</f>
        <v>0.6</v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259</v>
      </c>
      <c r="F444" s="134">
        <f>IFERROR(IF($D444="","",VLOOKUP($D444,Cadastro!$C$4:$E$7,3,FALSE)),"")</f>
        <v>0.35</v>
      </c>
      <c r="G444" s="105"/>
      <c r="H444" s="134" t="str">
        <f>IFERROR(IF($G444="","",$G444*$S$446/$G$446/Cadastro!$E$33),"")</f>
        <v/>
      </c>
      <c r="I444" s="135">
        <f>IFERROR(IF($D444="","",VLOOKUP($D444,Cadastro!$C$4:$G$7,5,FALSE)),"")</f>
        <v>0.6</v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259</v>
      </c>
      <c r="F445" s="137">
        <f>IFERROR(IF($D445="","",VLOOKUP($D445,Cadastro!$C$4:$E$7,3,FALSE)),"")</f>
        <v>0.35</v>
      </c>
      <c r="G445" s="105"/>
      <c r="H445" s="137" t="str">
        <f>IFERROR(IF($G445="","",$G445*$S$446/$G$446/Cadastro!$E$33),"")</f>
        <v/>
      </c>
      <c r="I445" s="138">
        <f>IFERROR(IF($D445="","",VLOOKUP($D445,Cadastro!$C$4:$G$7,5,FALSE)),"")</f>
        <v>0.6</v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57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239.4</v>
      </c>
      <c r="L446" s="37"/>
      <c r="M446" s="37"/>
      <c r="N446" s="37"/>
      <c r="O446" s="37"/>
      <c r="P446" s="37"/>
      <c r="Q446" s="38">
        <f ca="1">IFERROR(SUM(Q434:Q445),"")</f>
        <v>2.7083333333333293E-2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57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239.4</v>
      </c>
      <c r="L460" s="41"/>
      <c r="M460" s="41"/>
      <c r="N460" s="41"/>
      <c r="O460" s="41"/>
      <c r="P460" s="41"/>
      <c r="Q460" s="42">
        <f ca="1">IFERROR(Q446+Q459,"")</f>
        <v>2.7083333333333293E-2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413" activePane="bottomLeft" state="frozen"/>
      <selection pane="bottomLeft" activeCell="G442" sqref="G442"/>
    </sheetView>
  </sheetViews>
  <sheetFormatPr defaultColWidth="8.5703125" defaultRowHeight="14.4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272</v>
      </c>
      <c r="I1" s="133" t="s">
        <v>20</v>
      </c>
      <c r="J1" s="133" t="s">
        <v>273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273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331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280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310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332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333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334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335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336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337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310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310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338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339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283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310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340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341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291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342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343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344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345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346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347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348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349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350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351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352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353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 t="s">
        <v>269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354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355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356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357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358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359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245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249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259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305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360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245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361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245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249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232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362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170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170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137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245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170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363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136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170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245</v>
      </c>
      <c r="S432" s="39">
        <v>766030</v>
      </c>
      <c r="T432" s="119">
        <f>IFERROR(J432,"")</f>
        <v>110.30832000000001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249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259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0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0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170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259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0</v>
      </c>
      <c r="I435" s="135">
        <f>IFERROR(IF($D435="","",VLOOKUP($D435,Cadastro!$C$4:$G$7,5,FALSE)),"")</f>
        <v>0.6</v>
      </c>
      <c r="J435" s="136">
        <f t="shared" si="106"/>
        <v>0</v>
      </c>
      <c r="K435" s="28">
        <f t="shared" si="107"/>
        <v>96.600000000000009</v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259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0</v>
      </c>
      <c r="I436" s="135">
        <f>IFERROR(IF($D436="","",VLOOKUP($D436,Cadastro!$C$4:$G$7,5,FALSE)),"")</f>
        <v>0.6</v>
      </c>
      <c r="J436" s="136">
        <f t="shared" si="106"/>
        <v>0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259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0</v>
      </c>
      <c r="I437" s="135">
        <f>IFERROR(IF($D437="","",VLOOKUP($D437,Cadastro!$C$4:$G$7,5,FALSE)),"")</f>
        <v>0.6</v>
      </c>
      <c r="J437" s="136">
        <f t="shared" si="106"/>
        <v>0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259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6"/>
        <v>0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259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0</v>
      </c>
      <c r="I439" s="135">
        <f>IFERROR(IF($D439="","",VLOOKUP($D439,Cadastro!$C$4:$G$7,5,FALSE)),"")</f>
        <v>0.6</v>
      </c>
      <c r="J439" s="136">
        <f t="shared" si="106"/>
        <v>0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259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0</v>
      </c>
      <c r="I440" s="135">
        <f>IFERROR(IF($D440="","",VLOOKUP($D440,Cadastro!$C$4:$G$7,5,FALSE)),"")</f>
        <v>0.6</v>
      </c>
      <c r="J440" s="136">
        <f t="shared" si="106"/>
        <v>0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259</v>
      </c>
      <c r="F441" s="134">
        <f>IFERROR(IF($D441="","",VLOOKUP($D441,Cadastro!$C$4:$E$7,3,FALSE)),"")</f>
        <v>0.35</v>
      </c>
      <c r="G441" s="105">
        <v>12</v>
      </c>
      <c r="H441" s="134">
        <f>IFERROR(IF($G441="","",$G441*$S$446/$G$446/Cadastro!$E$33),"")</f>
        <v>0</v>
      </c>
      <c r="I441" s="135">
        <f>IFERROR(IF($D441="","",VLOOKUP($D441,Cadastro!$C$4:$G$7,5,FALSE)),"")</f>
        <v>0.6</v>
      </c>
      <c r="J441" s="136">
        <f t="shared" si="106"/>
        <v>0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259</v>
      </c>
      <c r="F442" s="134">
        <f>IFERROR(IF($D442="","",VLOOKUP($D442,Cadastro!$C$4:$E$7,3,FALSE)),"")</f>
        <v>0.35</v>
      </c>
      <c r="G442" s="105"/>
      <c r="H442" s="134" t="str">
        <f>IFERROR(IF($G442="","",$G442*$S$446/$G$446/Cadastro!$E$33),"")</f>
        <v/>
      </c>
      <c r="I442" s="135">
        <f>IFERROR(IF($D442="","",VLOOKUP($D442,Cadastro!$C$4:$G$7,5,FALSE)),"")</f>
        <v>0.6</v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259</v>
      </c>
      <c r="F443" s="134">
        <f>IFERROR(IF($D443="","",VLOOKUP($D443,Cadastro!$C$4:$E$7,3,FALSE)),"")</f>
        <v>0.35</v>
      </c>
      <c r="G443" s="105"/>
      <c r="H443" s="134" t="str">
        <f>IFERROR(IF($G443="","",$G443*$S$446/$G$446/Cadastro!$E$33),"")</f>
        <v/>
      </c>
      <c r="I443" s="135">
        <f>IFERROR(IF($D443="","",VLOOKUP($D443,Cadastro!$C$4:$G$7,5,FALSE)),"")</f>
        <v>0.6</v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259</v>
      </c>
      <c r="F444" s="134">
        <f>IFERROR(IF($D444="","",VLOOKUP($D444,Cadastro!$C$4:$E$7,3,FALSE)),"")</f>
        <v>0.35</v>
      </c>
      <c r="G444" s="105"/>
      <c r="H444" s="134" t="str">
        <f>IFERROR(IF($G444="","",$G444*$S$446/$G$446/Cadastro!$E$33),"")</f>
        <v/>
      </c>
      <c r="I444" s="135">
        <f>IFERROR(IF($D444="","",VLOOKUP($D444,Cadastro!$C$4:$G$7,5,FALSE)),"")</f>
        <v>0.6</v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259</v>
      </c>
      <c r="F445" s="137">
        <f>IFERROR(IF($D445="","",VLOOKUP($D445,Cadastro!$C$4:$E$7,3,FALSE)),"")</f>
        <v>0.35</v>
      </c>
      <c r="G445" s="105"/>
      <c r="H445" s="137" t="str">
        <f>IFERROR(IF($G445="","",$G445*$S$446/$G$446/Cadastro!$E$33),"")</f>
        <v/>
      </c>
      <c r="I445" s="138">
        <f>IFERROR(IF($D445="","",VLOOKUP($D445,Cadastro!$C$4:$G$7,5,FALSE)),"")</f>
        <v>0.6</v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145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609.00000000000011</v>
      </c>
      <c r="L446" s="37"/>
      <c r="M446" s="37"/>
      <c r="N446" s="37"/>
      <c r="O446" s="61"/>
      <c r="P446" s="61"/>
      <c r="Q446" s="38">
        <f ca="1">IFERROR(SUM(Q434:Q445),"")</f>
        <v>1.3194444444444509E-2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145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609.00000000000011</v>
      </c>
      <c r="L460" s="41"/>
      <c r="M460" s="41"/>
      <c r="N460" s="41"/>
      <c r="O460" s="63"/>
      <c r="P460" s="63"/>
      <c r="Q460" s="42">
        <f ca="1">IFERROR(Q446+Q459,"")</f>
        <v>1.3194444444444509E-2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bvw+RGYaUQuFq9Nz3KeyxCGoE7oj3kds1lTfP/UkR9+s3IwCE9QDw5zVVtvRw8iwUwoh3tcyVO+EuOGXUPyC4A==" saltValue="MBjXyA7K/JEGpLssZ3ih0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2026-08-17T19:02:54Z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