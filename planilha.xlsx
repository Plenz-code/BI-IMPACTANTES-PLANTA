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16" documentId="8_{AF585B22-221D-4780-BB9C-493D365A6A02}" xr6:coauthVersionLast="47" xr6:coauthVersionMax="47" xr10:uidLastSave="{74DF34E6-1B41-48BE-8B23-52CE66E4945F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<sst xmlns="http://schemas.openxmlformats.org/spreadsheetml/2006/main" count="11739" uniqueCount="426">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</sst>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2" sqref="F7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30</v>
      </c>
      <c r="G783" s="36">
        <f>SUM(G771:G782)</f>
        <v>150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380</v>
      </c>
      <c r="G784" s="40">
        <f>G770+G783</f>
        <v>1900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2" sqref="F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0.59375671295856591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0.7513956018474548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0.86111782406967696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0.57222893518337514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0.74306226851670854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0.88820115740559746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15</v>
      </c>
      <c r="G771" s="34">
        <f t="shared" ref="G771:G782" si="171">IF(F771="","",IF(E771="PC 17",F771*4.2,IF(E771="PC 19",F771*5,"")))</f>
        <v>63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15</v>
      </c>
      <c r="G783" s="36">
        <f>SUM(G771:G782)</f>
        <v>63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149</v>
      </c>
      <c r="G784" s="40">
        <f>G770+G783</f>
        <v>633.80000000000007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F772" sqref="F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6</v>
      </c>
      <c r="G771" s="34">
        <f t="shared" ref="G771:G782" si="171">IF(F771="","",IF(E771="PC 17",F771*4.2,IF(E771="PC 19",F771*5,"")))</f>
        <v>25.200000000000003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/>
      <c r="M771" s="35">
        <f t="shared" ref="M771:M782" ca="1" si="172">IFERROR(IF(K771="","",IF(L771="",MOD(NOW()-K771,1),IF(L771&gt;=K771,L771-K771,L771+1-K771))),"")</f>
        <v>1.6673379628628027E-2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</v>
      </c>
      <c r="G783" s="36">
        <f>SUM(G771:G782)</f>
        <v>25.200000000000003</v>
      </c>
      <c r="H783" s="37"/>
      <c r="I783" s="37"/>
      <c r="J783" s="37"/>
      <c r="K783" s="37"/>
      <c r="L783" s="37"/>
      <c r="M783" s="38">
        <f ca="1">IFERROR(SUM(M771:M782),"")</f>
        <v>1.6673379628628027E-2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47</v>
      </c>
      <c r="G784" s="40">
        <f>G770+G783</f>
        <v>201.39999999999998</v>
      </c>
      <c r="H784" s="41"/>
      <c r="I784" s="41"/>
      <c r="J784" s="41"/>
      <c r="K784" s="41"/>
      <c r="L784" s="41"/>
      <c r="M784" s="42">
        <f ca="1">IFERROR(M770+M783,"")</f>
        <v>0.13056226851751696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K760" sqref="K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0.58403449074103264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0.78334004629658827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1.1507011574076993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2026-07-30T00:00:24Z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