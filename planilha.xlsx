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89" documentId="8_{AF585B22-221D-4780-BB9C-493D365A6A02}" xr6:coauthVersionLast="47" xr6:coauthVersionMax="47" xr10:uidLastSave="{673EBE14-F24C-4181-A976-673D0F15E8A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<sst xmlns="http://schemas.openxmlformats.org/spreadsheetml/2006/main" count="12493" uniqueCount="443">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</sst>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26" sqref="F8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</v>
      </c>
      <c r="G837" s="109">
        <f>SUM(G825:G836)</f>
        <v>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146</v>
      </c>
      <c r="G838" s="111">
        <f>G824+G837</f>
        <v>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0.60405601851380197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0.76169490740269086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0.87141712962491302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0.5825282407386112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0.7533615740719446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0.89850046296083352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</v>
      </c>
      <c r="G837" s="109">
        <f>SUM(G825:G836)</f>
        <v>79.8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188</v>
      </c>
      <c r="G838" s="111">
        <f>G824+G837</f>
        <v>789.6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261</v>
      </c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7</v>
      </c>
      <c r="G837" s="109">
        <f>SUM(G825:G836)</f>
        <v>29.400000000000002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102</v>
      </c>
      <c r="G838" s="111">
        <f>G824+G837</f>
        <v>428.39999999999992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05" activePane="bottomLeft" state="frozen"/>
      <selection pane="bottomLeft" activeCell="J825" sqref="J8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0.5943337962962687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0.79363935185182433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1.1610004629629354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/>
      <c r="M825" s="79">
        <f ca="1">IFERROR(IF(K825="","",IF(L825="",MOD(NOW()-K825,1),IF(L825&gt;=K825,L825-K825,L825+1-K825))),"")</f>
        <v>5.8379629626870155E-4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</v>
      </c>
      <c r="G837" s="109">
        <f>SUM(G825:G836)</f>
        <v>42</v>
      </c>
      <c r="H837" s="37"/>
      <c r="I837" s="37"/>
      <c r="J837" s="37"/>
      <c r="K837" s="37"/>
      <c r="L837" s="37"/>
      <c r="M837" s="110">
        <f ca="1">IFERROR(SUM(M825:M836),"")</f>
        <v>5.8379629626870155E-4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129</v>
      </c>
      <c r="G838" s="111">
        <f>G824+G837</f>
        <v>541.80000000000007</v>
      </c>
      <c r="H838" s="41"/>
      <c r="I838" s="41"/>
      <c r="J838" s="41"/>
      <c r="K838" s="41"/>
      <c r="L838" s="41"/>
      <c r="M838" s="112">
        <f ca="1">IFERROR(M824+M837,"")</f>
        <v>0.11655601851849084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2026-08-01T00:15:00Z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