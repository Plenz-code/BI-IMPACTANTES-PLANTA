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80" documentId="8_{1D11E9C4-FEA4-4128-910F-91CB6BBF9255}" xr6:coauthVersionLast="47" xr6:coauthVersionMax="47" xr10:uidLastSave="{C5BAA98A-FB00-4BD5-AD54-2B66B8F78DEA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<sst xmlns="http://schemas.openxmlformats.org/spreadsheetml/2006/main" count="8684" uniqueCount="387">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</sst>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1218260</v>
      </c>
      <c r="E33" s="53">
        <f>IFERROR('Linha 2'!N811,"")</f>
        <v>596300</v>
      </c>
      <c r="F33" s="53">
        <f>IFERROR('Linha 3'!N811,"")</f>
        <v>638180</v>
      </c>
      <c r="G33" s="54">
        <f t="shared" si="0"/>
        <v>2452740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26327440</v>
      </c>
      <c r="E34" s="55">
        <f t="shared" si="1"/>
        <v>10828060</v>
      </c>
      <c r="F34" s="55">
        <f t="shared" si="1"/>
        <v>30540745</v>
      </c>
      <c r="G34" s="55">
        <f>IFERROR(SUM(G4:G33),"")</f>
        <v>67696245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10" sqref="E8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>
        <v>0</v>
      </c>
      <c r="F809" s="17">
        <f t="shared" si="180"/>
        <v>0</v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92" zoomScale="85" zoomScaleNormal="85" workbookViewId="0">
      <selection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519750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1218260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95" activePane="bottomLeft" state="frozen"/>
      <selection pane="bottomLeft"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>
        <v>0</v>
      </c>
      <c r="F809" s="93">
        <f t="shared" si="178"/>
        <v>0</v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316740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596300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2" activePane="bottomLeft" state="frozen"/>
      <selection pane="bottomLeft" activeCell="E810" sqref="E81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>
        <v>0</v>
      </c>
      <c r="F809" s="93">
        <f t="shared" si="179"/>
        <v>0</v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