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300" documentId="8_{AF585B22-221D-4780-BB9C-493D365A6A02}" xr6:coauthVersionLast="47" xr6:coauthVersionMax="47" xr10:uidLastSave="{89AB83E7-66DC-4DEA-9159-C1CB2DCECE5B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<sst xmlns="http://schemas.openxmlformats.org/spreadsheetml/2006/main" count="4909" uniqueCount="291">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</sst>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F287" sqref="F28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>
        <v>24</v>
      </c>
      <c r="G286" s="28">
        <f t="shared" si="63"/>
        <v>120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40</v>
      </c>
      <c r="G297" s="36">
        <f>SUM(G285:G296)</f>
        <v>200</v>
      </c>
      <c r="H297" s="37"/>
      <c r="I297" s="37"/>
      <c r="J297" s="37"/>
      <c r="K297" s="37"/>
      <c r="L297" s="37"/>
      <c r="M297" s="38">
        <f ca="1">IFERROR(SUM(M285:M296),"")</f>
        <v>2.5694444444444464E-2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356</v>
      </c>
      <c r="G298" s="40">
        <f>G284+G297</f>
        <v>1780</v>
      </c>
      <c r="H298" s="41"/>
      <c r="I298" s="41"/>
      <c r="J298" s="41"/>
      <c r="K298" s="41"/>
      <c r="L298" s="41"/>
      <c r="M298" s="42">
        <f ca="1">IFERROR(M284+M297,"")</f>
        <v>4.7222222222222276E-2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74" activePane="bottomLeft" state="frozen"/>
      <selection pane="bottomLeft" activeCell="J306" sqref="J30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244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245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247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242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250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251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21</v>
      </c>
      <c r="G285" s="34">
        <f t="shared" ref="G285:G296" si="63">IF(F285="","",IF(E285="PC 17",F285*4.2,IF(E285="PC 19",F285*5,"")))</f>
        <v>88.2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100.80000000000001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45</v>
      </c>
      <c r="G297" s="36">
        <f>SUM(G285:G296)</f>
        <v>189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228</v>
      </c>
      <c r="G298" s="40">
        <f>G284+G297</f>
        <v>957.59999999999991</v>
      </c>
      <c r="H298" s="41"/>
      <c r="I298" s="41"/>
      <c r="J298" s="41"/>
      <c r="K298" s="41"/>
      <c r="L298" s="41"/>
      <c r="M298" s="42">
        <f ca="1">IFERROR(M284+M297,"")</f>
        <v>0.15763888888888883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61" zoomScale="50" zoomScaleNormal="50" workbookViewId="0">
      <selection activeCell="L290" sqref="L29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260</v>
      </c>
      <c r="N166" s="27" t="s">
        <v>261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/>
      <c r="G287" s="34" t="str">
        <f t="shared" si="63"/>
        <v/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5</v>
      </c>
      <c r="G297" s="36">
        <f>SUM(G285:G296)</f>
        <v>21</v>
      </c>
      <c r="H297" s="37"/>
      <c r="I297" s="37"/>
      <c r="J297" s="37"/>
      <c r="K297" s="37"/>
      <c r="L297" s="37"/>
      <c r="M297" s="38">
        <f ca="1">IFERROR(SUM(M285:M296),"")</f>
        <v>7.8472222222222276E-2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5</v>
      </c>
      <c r="G298" s="40">
        <f>G284+G297</f>
        <v>327.59999999999997</v>
      </c>
      <c r="H298" s="41"/>
      <c r="I298" s="41"/>
      <c r="J298" s="41"/>
      <c r="K298" s="41"/>
      <c r="L298" s="41"/>
      <c r="M298" s="42">
        <f ca="1">IFERROR(M284+M297,"")</f>
        <v>0.1340277777777778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68" activePane="bottomLeft" state="frozen"/>
      <selection pane="bottomLeft" activeCell="L287" sqref="L28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270</v>
      </c>
      <c r="L58" s="29">
        <v>0.54097222222222219</v>
      </c>
      <c r="M58" s="30" t="str">
        <f t="shared" ca="1" si="13"/>
        <v/>
      </c>
      <c r="N58" s="27" t="s">
        <v>271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0.67127106481348164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0.87057662036903727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1.2379377314801483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227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1</v>
      </c>
      <c r="G286" s="28">
        <f t="shared" si="63"/>
        <v>4.2</v>
      </c>
      <c r="H286" s="49" t="s">
        <v>19</v>
      </c>
      <c r="I286" s="49" t="s">
        <v>57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</v>
      </c>
      <c r="G297" s="36">
        <f>SUM(G285:G296)</f>
        <v>4.2</v>
      </c>
      <c r="H297" s="37"/>
      <c r="I297" s="37"/>
      <c r="J297" s="37"/>
      <c r="K297" s="61"/>
      <c r="L297" s="61"/>
      <c r="M297" s="38">
        <f ca="1">IFERROR(SUM(M285:M296),"")</f>
        <v>7.986111111111116E-2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188</v>
      </c>
      <c r="G298" s="40">
        <f>G284+G297</f>
        <v>789.60000000000014</v>
      </c>
      <c r="H298" s="41"/>
      <c r="I298" s="41"/>
      <c r="J298" s="41"/>
      <c r="K298" s="63"/>
      <c r="L298" s="63"/>
      <c r="M298" s="42">
        <f ca="1">IFERROR(M284+M297,"")</f>
        <v>0.14374999999999999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2026-07-12T02:05:54Z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