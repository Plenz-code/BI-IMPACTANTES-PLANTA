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5849" documentId="8_{AF585B22-221D-4780-BB9C-493D365A6A02}" xr6:coauthVersionLast="47" xr6:coauthVersionMax="47" xr10:uidLastSave="{0F1FFAD1-1D5A-4BCE-B227-22068419B2AD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84" i="5" l="1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<sst xmlns="http://schemas.openxmlformats.org/spreadsheetml/2006/main" count="5321" uniqueCount="303">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</sst>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955688</v>
      </c>
      <c r="D15" s="11">
        <f>IFERROR('Linha 1'!O325,"")</f>
        <v>605560</v>
      </c>
      <c r="E15" s="11">
        <f>IFERROR('Linha 2'!O325,"")</f>
        <v>373300</v>
      </c>
      <c r="F15" s="11">
        <f>IFERROR('Linha 3'!O325,"")</f>
        <v>145580</v>
      </c>
      <c r="G15" s="12">
        <f t="shared" si="0"/>
        <v>1124440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34823228</v>
      </c>
      <c r="D35" s="13">
        <f>IFERROR(SUM(D4:D34),"")</f>
        <v>12465840</v>
      </c>
      <c r="E35" s="13">
        <f>IFERROR(SUM(E4:E34),"")</f>
        <v>8582050</v>
      </c>
      <c r="F35" s="13">
        <f>IFERROR(SUM(F4:F34),"")</f>
        <v>15574780</v>
      </c>
      <c r="G35" s="13">
        <f>IFERROR(SUM(G4:G34),"")</f>
        <v>36622670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K65" sqref="K6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/>
    </row>
    <row r="54" spans="1:13" ht="15" customHeight="1">
      <c r="H54" s="101"/>
      <c r="I54" s="16"/>
      <c r="J54" s="16"/>
      <c r="K54" s="16" t="s">
        <v>195</v>
      </c>
      <c r="L54" s="16"/>
      <c r="M54" s="16"/>
    </row>
    <row r="55" spans="1:13" ht="15" customHeight="1">
      <c r="H55" s="101"/>
      <c r="I55" s="17"/>
      <c r="J55" s="17"/>
      <c r="K55" s="17" t="s">
        <v>196</v>
      </c>
      <c r="L55" s="17"/>
      <c r="M55" s="17"/>
    </row>
    <row r="56" spans="1:13" ht="15" customHeight="1">
      <c r="H56" s="101"/>
      <c r="I56" s="16"/>
      <c r="J56" s="16"/>
      <c r="K56" s="16" t="s">
        <v>197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198</v>
      </c>
      <c r="L58" s="16"/>
      <c r="M58" s="16"/>
    </row>
    <row r="59" spans="1:13" ht="15" customHeight="1">
      <c r="H59" s="101"/>
      <c r="I59" s="17"/>
      <c r="J59" s="17"/>
      <c r="K59" s="17" t="s">
        <v>199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200</v>
      </c>
      <c r="L61" s="17"/>
      <c r="M61" s="17"/>
    </row>
    <row r="62" spans="1:13" ht="15" customHeight="1">
      <c r="H62" s="101"/>
      <c r="I62" s="16"/>
      <c r="J62" s="16"/>
      <c r="K62" s="16" t="s">
        <v>201</v>
      </c>
      <c r="L62" s="16"/>
      <c r="M62" s="16"/>
    </row>
    <row r="63" spans="1:13" ht="15" customHeight="1">
      <c r="H63" s="101"/>
      <c r="I63" s="17"/>
      <c r="J63" s="17"/>
      <c r="K63" s="17" t="s">
        <v>202</v>
      </c>
      <c r="L63" s="17"/>
      <c r="M63" s="17"/>
    </row>
    <row r="64" spans="1:13" ht="15" customHeight="1">
      <c r="H64" s="101"/>
      <c r="I64" s="16"/>
      <c r="J64" s="16"/>
      <c r="K64" s="16" t="s">
        <v>203</v>
      </c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92" activePane="bottomLeft" state="frozen"/>
      <selection pane="bottomLeft" activeCell="N315" sqref="N315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214</v>
      </c>
      <c r="E2" s="59" t="s">
        <v>215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216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215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215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215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215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215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215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215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215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215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215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215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218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215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215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215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215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215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215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215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215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215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215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215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218</v>
      </c>
      <c r="O27" s="39">
        <v>1183060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221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215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215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222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215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215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215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215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215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215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218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215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215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215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215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215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215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215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215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215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215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215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218</v>
      </c>
      <c r="O54" s="39">
        <v>959290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221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215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215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215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215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215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215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215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215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215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215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215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215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218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215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215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223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215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215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215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215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215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215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215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218</v>
      </c>
      <c r="O81" s="39">
        <v>878050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221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215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224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215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215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215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215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215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215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218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225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218</v>
      </c>
      <c r="O108" s="39">
        <v>1700000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221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215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215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215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215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215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215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215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215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215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215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215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215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218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218</v>
      </c>
      <c r="O135" s="39">
        <v>862330</v>
      </c>
    </row>
    <row r="136" spans="1:15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221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218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215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215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215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215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215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215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215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215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215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215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218</v>
      </c>
      <c r="O162" s="44">
        <v>1546080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221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215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215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215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215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215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215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215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215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215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215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218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215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215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215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215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215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215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215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215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215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215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215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215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218</v>
      </c>
      <c r="O189" s="39">
        <v>2355810</v>
      </c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221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215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215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215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215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215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215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215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215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215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215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215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215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218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215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215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215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215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215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215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215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215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215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215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215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218</v>
      </c>
      <c r="O216" s="45">
        <v>2013260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221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215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226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215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215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215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215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215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215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215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215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215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215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217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218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215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215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215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215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215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215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215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215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215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215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218</v>
      </c>
      <c r="O243" s="39">
        <v>1545480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221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215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227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215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215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215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215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215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215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215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215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215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215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215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218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215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215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215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215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215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215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215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215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215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215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215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215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218</v>
      </c>
      <c r="O270" s="39">
        <v>1182690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221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215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215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215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215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215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215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215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215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215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215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215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215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218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215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228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215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215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215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229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215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229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215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229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215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229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215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229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215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229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215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229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215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229</v>
      </c>
      <c r="O296" s="47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218</v>
      </c>
      <c r="O297" s="39">
        <v>1843460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221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230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215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215</v>
      </c>
      <c r="F301" s="27">
        <v>20.5</v>
      </c>
      <c r="G301" s="34">
        <f t="shared" si="66"/>
        <v>102.5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231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215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215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215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215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215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215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215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215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217.5</v>
      </c>
      <c r="G311" s="36">
        <f>SUM(G299:G310)</f>
        <v>1087.5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218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/>
      <c r="F312" s="27">
        <v>23.6</v>
      </c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 t="s">
        <v>232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232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66.8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218</v>
      </c>
      <c r="O324" s="39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284.3</v>
      </c>
      <c r="G325" s="40">
        <f>G311+G324</f>
        <v>1087.5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221</v>
      </c>
      <c r="O325" s="48">
        <f>IFERROR(O311+O324,"")</f>
        <v>955688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39"/>
    </row>
    <row r="433" spans="1:15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303" activePane="bottomLeft" state="frozen"/>
      <selection pane="bottomLeft" activeCell="J313" sqref="J31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233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233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233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233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233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233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233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233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233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233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218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233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233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233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233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233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233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233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233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233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218</v>
      </c>
      <c r="O27" s="78">
        <v>393200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221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233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233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218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233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233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233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235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233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233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233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233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233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233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233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233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218</v>
      </c>
      <c r="O54" s="85">
        <v>276360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221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236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237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218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233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233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218</v>
      </c>
      <c r="O81" s="54">
        <v>787860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221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233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238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218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233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239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233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240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233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241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233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233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233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233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233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233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233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233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233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218</v>
      </c>
      <c r="O108" s="54">
        <v>1087080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221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242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218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243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245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195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195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218</v>
      </c>
      <c r="O135" s="54">
        <v>794480</v>
      </c>
    </row>
    <row r="136" spans="1:15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221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195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247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218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248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199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218</v>
      </c>
      <c r="O162" s="54">
        <v>882280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221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233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233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233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233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233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233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233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233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233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233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218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218</v>
      </c>
      <c r="O189" s="78"/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221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218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250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251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218</v>
      </c>
      <c r="O216" s="78">
        <v>648410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221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252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253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217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218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199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254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248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218</v>
      </c>
      <c r="O243" s="78">
        <v>849060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221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233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233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233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233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233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233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218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215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218</v>
      </c>
      <c r="O270" s="78">
        <v>625070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221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233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256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233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257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233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233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233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233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233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233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233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233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233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233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218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233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233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258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233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233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233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233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233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233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233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233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233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218</v>
      </c>
      <c r="O297" s="78">
        <v>761660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221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233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233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233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259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233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259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233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233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233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233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233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233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218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233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260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233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110</v>
      </c>
      <c r="K314" s="29">
        <v>0.91249999999999998</v>
      </c>
      <c r="L314" s="29"/>
      <c r="M314" s="30">
        <f t="shared" ca="1" si="70"/>
        <v>2.8092361113522202E-2</v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233</v>
      </c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233</v>
      </c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233</v>
      </c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233</v>
      </c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233</v>
      </c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233</v>
      </c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233</v>
      </c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43</v>
      </c>
      <c r="G324" s="36">
        <f>SUM(G312:G323)</f>
        <v>180.60000000000002</v>
      </c>
      <c r="H324" s="37"/>
      <c r="I324" s="37"/>
      <c r="J324" s="37"/>
      <c r="K324" s="37"/>
      <c r="L324" s="37"/>
      <c r="M324" s="38">
        <f ca="1">IFERROR(SUM(M312:M323),"")</f>
        <v>6.4897916669077849E-2</v>
      </c>
      <c r="N324" s="36" t="s">
        <v>218</v>
      </c>
      <c r="O324" s="78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134</v>
      </c>
      <c r="G325" s="40">
        <f>G311+G324</f>
        <v>562.79999999999995</v>
      </c>
      <c r="H325" s="41"/>
      <c r="I325" s="41"/>
      <c r="J325" s="41"/>
      <c r="K325" s="41"/>
      <c r="L325" s="41"/>
      <c r="M325" s="42">
        <f ca="1">IFERROR(M311+M324,"")</f>
        <v>0.21559236111352226</v>
      </c>
      <c r="N325" s="40" t="s">
        <v>221</v>
      </c>
      <c r="O325" s="84">
        <f>IFERROR(O311+O324,"")</f>
        <v>605560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78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78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78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78"/>
    </row>
    <row r="433" spans="1:15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78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78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78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78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78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78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78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78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78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78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78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06" zoomScale="50" zoomScaleNormal="50" workbookViewId="0">
      <selection activeCell="F315" sqref="F31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233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261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233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233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262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233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233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233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233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233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233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218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233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233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233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233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233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233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233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233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218</v>
      </c>
      <c r="O27" s="39">
        <v>308500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221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263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233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233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233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218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233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233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233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233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233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233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233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233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233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218</v>
      </c>
      <c r="O54" s="39">
        <v>124290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221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233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233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233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233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264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233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233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233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233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233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233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233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233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218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265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218</v>
      </c>
      <c r="O81" s="39">
        <v>396340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221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215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215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266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218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233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233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233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233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233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218</v>
      </c>
      <c r="O108" s="39">
        <v>41230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221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218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218</v>
      </c>
      <c r="O135" s="39">
        <v>381250</v>
      </c>
    </row>
    <row r="136" spans="1:15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221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267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215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215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218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268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218</v>
      </c>
      <c r="O162" s="39">
        <v>337120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221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215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233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233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269</v>
      </c>
      <c r="N166" s="27" t="s">
        <v>270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233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233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233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233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233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233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233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233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233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218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233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233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233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233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233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233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233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233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233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233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233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233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218</v>
      </c>
      <c r="O189" s="39">
        <v>747210</v>
      </c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221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233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233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271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233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233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233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233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233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233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233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233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233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233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218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218</v>
      </c>
      <c r="O216" s="39">
        <v>468430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221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233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233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233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233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233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217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218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218</v>
      </c>
      <c r="O243" s="39">
        <v>575930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221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201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233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233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233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233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233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233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218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272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273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218</v>
      </c>
      <c r="O270" s="39">
        <v>483510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221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233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233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233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233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233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233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233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233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233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233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233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233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218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233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233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274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233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233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275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233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233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233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233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233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233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233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218</v>
      </c>
      <c r="O297" s="39">
        <v>487980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221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233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233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233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276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233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233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233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233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233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233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233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215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218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/>
      <c r="M312" s="30">
        <f t="shared" ref="M312:M323" ca="1" si="70">IFERROR(IF(K312="","",IF(L312="",MOD(NOW()-K312,1),IF(L312&gt;=K312,L312-K312,L312+1-K312))),"")</f>
        <v>0.14406458333542105</v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233</v>
      </c>
      <c r="F313" s="27">
        <v>3</v>
      </c>
      <c r="G313" s="34">
        <f t="shared" si="69"/>
        <v>12.600000000000001</v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233</v>
      </c>
      <c r="F314" s="27">
        <v>9</v>
      </c>
      <c r="G314" s="28">
        <f t="shared" si="69"/>
        <v>37.800000000000004</v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233</v>
      </c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233</v>
      </c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233</v>
      </c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233</v>
      </c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233</v>
      </c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233</v>
      </c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233</v>
      </c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233</v>
      </c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28</v>
      </c>
      <c r="G324" s="36">
        <f>SUM(G312:G323)</f>
        <v>117.60000000000002</v>
      </c>
      <c r="H324" s="37"/>
      <c r="I324" s="37"/>
      <c r="J324" s="37"/>
      <c r="K324" s="37"/>
      <c r="L324" s="37"/>
      <c r="M324" s="38">
        <f ca="1">IFERROR(SUM(M312:M323),"")</f>
        <v>0.14406458333542105</v>
      </c>
      <c r="N324" s="36" t="s">
        <v>218</v>
      </c>
      <c r="O324" s="39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97</v>
      </c>
      <c r="G325" s="40">
        <f>G311+G324</f>
        <v>412.20000000000005</v>
      </c>
      <c r="H325" s="41"/>
      <c r="I325" s="41"/>
      <c r="J325" s="41"/>
      <c r="K325" s="41"/>
      <c r="L325" s="41"/>
      <c r="M325" s="42">
        <f ca="1">IFERROR(M311+M324,"")</f>
        <v>0.24337013889097647</v>
      </c>
      <c r="N325" s="40" t="s">
        <v>221</v>
      </c>
      <c r="O325" s="48">
        <f>IFERROR(O311+O324,"")</f>
        <v>373300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39"/>
    </row>
    <row r="433" spans="1:15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305" activePane="bottomLeft" state="frozen"/>
      <selection pane="bottomLeft" activeCell="J317" sqref="J317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277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265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233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233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233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233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233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233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233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233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233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218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278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233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233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233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233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233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233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233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233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218</v>
      </c>
      <c r="O27" s="39">
        <v>202230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221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279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280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233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233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218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233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233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233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233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233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233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233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233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233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218</v>
      </c>
      <c r="O54" s="39">
        <v>473910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221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233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233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233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281</v>
      </c>
      <c r="L58" s="29">
        <v>0.54097222222222219</v>
      </c>
      <c r="M58" s="30" t="str">
        <f t="shared" ca="1" si="13"/>
        <v/>
      </c>
      <c r="N58" s="27" t="s">
        <v>282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233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233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233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233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233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233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233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233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233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218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261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283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284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285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286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233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218</v>
      </c>
      <c r="O81" s="39">
        <v>565120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221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287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215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218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233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233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233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233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233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218</v>
      </c>
      <c r="O108" s="39">
        <v>558590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221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288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218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289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197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290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0.69128680555877509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246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0.89059236111433071</v>
      </c>
      <c r="N135" s="36" t="s">
        <v>218</v>
      </c>
      <c r="O135" s="39">
        <v>729290</v>
      </c>
    </row>
    <row r="136" spans="1:18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1.2579534722254417</v>
      </c>
      <c r="N136" s="40" t="s">
        <v>221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291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218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292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233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218</v>
      </c>
      <c r="O162" s="39">
        <v>697320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221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215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233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233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233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233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293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233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233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233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233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233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233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233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218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233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233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233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233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233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233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233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233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233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233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233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233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218</v>
      </c>
      <c r="O189" s="39">
        <v>973580</v>
      </c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221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233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233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233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294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233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295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233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233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233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233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233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233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233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218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296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218</v>
      </c>
      <c r="O216" s="45">
        <v>1060630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221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297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298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299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217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218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300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215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218</v>
      </c>
      <c r="O243" s="39">
        <v>982340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221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301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200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233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233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233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233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233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233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218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218</v>
      </c>
      <c r="O270" s="39">
        <v>1208450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221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233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233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233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233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233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233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233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233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233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233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233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233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218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233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233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233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233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233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233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233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233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233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233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233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218</v>
      </c>
      <c r="O297" s="39">
        <v>1049090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221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302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233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202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233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203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233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233</v>
      </c>
      <c r="F303" s="27">
        <v>0</v>
      </c>
      <c r="G303" s="34">
        <f t="shared" si="66"/>
        <v>0</v>
      </c>
      <c r="H303" s="33"/>
      <c r="I303" s="33"/>
      <c r="J303" s="33" t="s">
        <v>97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233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233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233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233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233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233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218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215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97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233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233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233</v>
      </c>
      <c r="F315" s="27"/>
      <c r="G315" s="34" t="str">
        <f t="shared" si="69"/>
        <v/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233</v>
      </c>
      <c r="F316" s="27"/>
      <c r="G316" s="28" t="str">
        <f t="shared" si="69"/>
        <v/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233</v>
      </c>
      <c r="F317" s="27"/>
      <c r="G317" s="34" t="str">
        <f t="shared" si="69"/>
        <v/>
      </c>
      <c r="H317" s="33" t="s">
        <v>20</v>
      </c>
      <c r="I317" s="33" t="s">
        <v>128</v>
      </c>
      <c r="J317" s="33" t="s">
        <v>112</v>
      </c>
      <c r="K317" s="29">
        <v>0.89583333333333337</v>
      </c>
      <c r="L317" s="29"/>
      <c r="M317" s="35">
        <f t="shared" ca="1" si="70"/>
        <v>4.4759027776308358E-2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233</v>
      </c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233</v>
      </c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233</v>
      </c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233</v>
      </c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233</v>
      </c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48</v>
      </c>
      <c r="G324" s="36">
        <f>SUM(G312:G323)</f>
        <v>217.6</v>
      </c>
      <c r="H324" s="37"/>
      <c r="I324" s="37"/>
      <c r="J324" s="37"/>
      <c r="K324" s="61"/>
      <c r="L324" s="61"/>
      <c r="M324" s="38">
        <f ca="1">IFERROR(SUM(M312:M323),"")</f>
        <v>8.5036805554086103E-2</v>
      </c>
      <c r="N324" s="36" t="s">
        <v>218</v>
      </c>
      <c r="O324" s="39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78</v>
      </c>
      <c r="G325" s="40">
        <f>G311+G324</f>
        <v>343.6</v>
      </c>
      <c r="H325" s="41"/>
      <c r="I325" s="41"/>
      <c r="J325" s="41"/>
      <c r="K325" s="63"/>
      <c r="L325" s="63"/>
      <c r="M325" s="42">
        <f ca="1">IFERROR(M311+M324,"")</f>
        <v>0.49823124999853063</v>
      </c>
      <c r="N325" s="40" t="s">
        <v>221</v>
      </c>
      <c r="O325" s="48">
        <f>IFERROR(O311+O324,"")</f>
        <v>145580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218</v>
      </c>
      <c r="O432" s="39"/>
    </row>
    <row r="433" spans="1:17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218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2026-07-13T02:34:27Z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