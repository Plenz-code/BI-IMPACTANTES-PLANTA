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718" documentId="8_{C51EB6CB-002B-4D6B-B68F-DDEBDB4460C0}" xr6:coauthVersionLast="47" xr6:coauthVersionMax="47" xr10:uidLastSave="{E98996DF-9EC7-4A27-85A0-2C9FB3B323FE}"/>
  <bookViews>
    <workbookView xWindow="-120" yWindow="-120" windowWidth="29040" windowHeight="15720" tabRatio="500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487" i="3" l="1"/>
  <c r="M703" i="6"/>
  <c r="M838" i="4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<sst xmlns="http://schemas.openxmlformats.org/spreadsheetml/2006/main" count="4776" uniqueCount="318">
  <si>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</si>
  <si>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</si>
  <si>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</si>
  <si>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</si>
  <si>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</si>
  <si>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</si>
  <si>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</si>
  <si>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</si>
  <si>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</si>
  <si>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</si>
  <si>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</si>
  <si>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</si>
  <si>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</si>
  <si>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</si>
  <si>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</si>
  <si>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</si>
  <si>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</si>
  <si>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</si>
  <si>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</si>
  <si>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</si>
  <si>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</si>
  <si>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</si>
  <si>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</si>
  <si>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</si>
  <si>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</si>
  <si>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</si>
  <si>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</si>
  <si>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</si>
  <si>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</si>
  <si>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</si>
  <si>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</si>
  <si>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</si>
  <si>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</si>
  <si>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</si>
  <si>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</si>
  <si>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</si>
  <si>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</si>
  <si>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</si>
  <si>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</si>
  <si>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</si>
  <si>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</si>
  <si>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</si>
  <si>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</si>
  <si>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</si>
  <si>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</si>
  <si>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</si>
  <si>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</si>
  <si>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</si>
  <si>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</si>
  <si>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</si>
  <si>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</si>
  <si>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</si>
  <si>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</si>
  <si>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</si>
  <si>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</si>
  <si>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</si>
  <si>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</si>
  <si>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</si>
  <si>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</si>
  <si>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</si>
  <si>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</si>
  <si>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</si>
  <si>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</si>
  <si>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</si>
  <si>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</si>
  <si>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</si>
  <si>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</si>
  <si>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</si>
  <si>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</si>
  <si>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</si>
  <si>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</si>
  <si>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</si>
  <si>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</si>
  <si>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</si>
  <si>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</si>
  <si>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</si>
  <si>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</si>
  <si>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</si>
  <si>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</si>
  <si>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</si>
  <si>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</si>
  <si>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</si>
  <si>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</si>
  <si>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</si>
  <si>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</si>
  <si>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</si>
  <si>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</si>
  <si>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</si>
  <si>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</si>
  <si>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</si>
  <si>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</si>
  <si>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</si>
  <si>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</si>
  <si>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</si>
  <si>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</si>
  <si>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</si>
  <si>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</si>
  <si>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</si>
  <si>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</si>
  <si>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</si>
  <si>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</si>
  <si>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</si>
  <si>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</si>
  <si>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</si>
  <si>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</si>
  <si>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</si>
  <si>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</si>
  <si>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</si>
  <si>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</si>
  <si>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</si>
  <si>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</si>
  <si>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</si>
  <si>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</si>
  <si>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</si>
  <si>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</si>
  <si>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</si>
  <si>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</si>
  <si>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</si>
  <si>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</si>
  <si>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</si>
  <si>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</si>
  <si>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</si>
  <si>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</si>
  <si>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</si>
  <si>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</si>
  <si>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</si>
  <si>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</si>
  <si>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</si>
  <si>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</si>
  <si>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</si>
  <si>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</si>
  <si>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</si>
  <si>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</si>
  <si>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</si>
  <si>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</si>
  <si>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</si>
  <si>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</si>
  <si>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</si>
  <si>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</si>
  <si>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</si>
  <si>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</si>
  <si>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</si>
  <si>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</si>
  <si>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</si>
  <si>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</si>
  <si>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</si>
  <si>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</si>
  <si>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</si>
  <si>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</si>
  <si>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</si>
  <si>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</si>
  <si>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</si>
  <si>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</si>
  <si>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</si>
  <si>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</si>
  <si>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</si>
  <si>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</si>
  <si>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</si>
  <si>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</si>
  <si>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</si>
  <si>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</si>
  <si>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</si>
  <si>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</si>
  <si>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</si>
  <si>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</si>
  <si>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</si>
  <si>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</si>
  <si>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</si>
  <si>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</si>
  <si>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</si>
  <si>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</si>
  <si>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</si>
  <si>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</si>
  <si>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</si>
  <si>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</si>
  <si>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</si>
  <si>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</si>
  <si>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</si>
  <si>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</si>
  <si>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</si>
  <si>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</si>
  <si>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</si>
  <si>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</si>
  <si>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</si>
  <si>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</si>
  <si>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</si>
  <si>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</si>
  <si>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</si>
  <si>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</si>
  <si>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</si>
  <si>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</si>
  <si>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</si>
  <si>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</si>
  <si>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</si>
  <si>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</si>
  <si>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</si>
  <si>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</si>
  <si>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</si>
  <si>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</si>
  <si>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</si>
  <si>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</si>
  <si>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</si>
  <si>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</si>
  <si>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</si>
  <si>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</si>
  <si>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</si>
  <si>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</si>
  <si>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</si>
  <si>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</si>
  <si>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</si>
  <si>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</si>
  <si>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</si>
  <si>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</si>
  <si>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</si>
  <si>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</si>
  <si>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</si>
  <si>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</si>
  <si>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</si>
  <si>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</si>
  <si>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</si>
  <si>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</si>
  <si>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</si>
  <si>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</si>
  <si>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</si>
  <si>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</si>
  <si>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</si>
  <si>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</si>
  <si>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</si>
  <si>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</si>
  <si>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</si>
  <si>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</si>
  <si>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</si>
  <si>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</si>
  <si>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</si>
  <si>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</si>
  <si>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</si>
  <si>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</si>
  <si>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</si>
  <si>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</si>
  <si>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</si>
  <si>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</si>
  <si>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</si>
  <si>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</si>
  <si>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</si>
  <si>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</si>
  <si>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</si>
  <si>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</si>
  <si>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</si>
  <si>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</si>
  <si>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</si>
  <si>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</si>
  <si>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</si>
  <si>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</si>
  <si>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</si>
  <si>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</si>
  <si>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</si>
  <si>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</si>
  <si>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</si>
  <si>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</si>
  <si>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</si>
  <si>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</si>
  <si>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</si>
  <si>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</si>
  <si>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</si>
  <si>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</si>
  <si>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</si>
  <si>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</si>
  <si>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</si>
  <si>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</si>
  <si>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</si>
  <si>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</si>
  <si>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</si>
  <si>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</si>
  <si>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</si>
  <si>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</si>
  <si>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</si>
  <si>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</si>
  <si>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</si>
  <si>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</si>
  <si>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</si>
  <si>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</si>
  <si>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</si>
  <si>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</si>
  <si>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</si>
  <si>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</si>
  <si>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</si>
  <si>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</si>
  <si>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</si>
  <si>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</si>
  <si>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</si>
  <si>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</si>
  <si>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</si>
  <si>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</si>
  <si>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</si>
  <si>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</si>
  <si>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</si>
  <si>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</si>
  <si>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</si>
  <si>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</si>
  <si>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</si>
  <si>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</si>
  <si>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</si>
  <si>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</si>
  <si>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</si>
  <si>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</si>
  <si>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</si>
  <si>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</si>
  <si>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</si>
  <si>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</si>
  <si>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</si>
  <si>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</si>
  <si>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</si>
  <si>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</si>
  <si>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</si>
  <si>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</si>
  <si>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</si>
  <si>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>CB</t>
  </si>
  <si>
    <t xml:space="preserve">observação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</si>
</sst>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 x14ac:dyDescent="0.2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 x14ac:dyDescent="0.25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 x14ac:dyDescent="0.25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 x14ac:dyDescent="0.25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 x14ac:dyDescent="0.25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 x14ac:dyDescent="0.25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 x14ac:dyDescent="0.25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 x14ac:dyDescent="0.25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 x14ac:dyDescent="0.25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 x14ac:dyDescent="0.25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 x14ac:dyDescent="0.25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 x14ac:dyDescent="0.25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25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25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25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25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25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 x14ac:dyDescent="0.25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25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25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25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25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25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25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25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25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25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25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25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112" t="s">
        <v>9</v>
      </c>
      <c r="B35" s="112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 x14ac:dyDescent="0.25">
      <c r="H2" s="114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25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25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25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25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 x14ac:dyDescent="0.25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 x14ac:dyDescent="0.25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 x14ac:dyDescent="0.25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 x14ac:dyDescent="0.25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 x14ac:dyDescent="0.25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 x14ac:dyDescent="0.25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 x14ac:dyDescent="0.25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 x14ac:dyDescent="0.25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 x14ac:dyDescent="0.25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 x14ac:dyDescent="0.25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 x14ac:dyDescent="0.25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 x14ac:dyDescent="0.25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 x14ac:dyDescent="0.25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 x14ac:dyDescent="0.25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 x14ac:dyDescent="0.25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 x14ac:dyDescent="0.25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 x14ac:dyDescent="0.25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 x14ac:dyDescent="0.25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 x14ac:dyDescent="0.25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 x14ac:dyDescent="0.25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 x14ac:dyDescent="0.25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 x14ac:dyDescent="0.25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 x14ac:dyDescent="0.25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 x14ac:dyDescent="0.25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 x14ac:dyDescent="0.25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 x14ac:dyDescent="0.25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 x14ac:dyDescent="0.25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 x14ac:dyDescent="0.25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 x14ac:dyDescent="0.25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 x14ac:dyDescent="0.25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 x14ac:dyDescent="0.25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 x14ac:dyDescent="0.25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 x14ac:dyDescent="0.25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 x14ac:dyDescent="0.25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 x14ac:dyDescent="0.25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 x14ac:dyDescent="0.25">
      <c r="H57" s="114"/>
      <c r="I57" s="17"/>
      <c r="J57" s="17"/>
      <c r="K57" s="17" t="s">
        <v>50</v>
      </c>
      <c r="L57" s="17"/>
      <c r="M57" s="17"/>
    </row>
    <row r="58" spans="1:13" ht="15" customHeight="1" x14ac:dyDescent="0.25">
      <c r="H58" s="114"/>
      <c r="I58" s="16"/>
      <c r="J58" s="16"/>
      <c r="K58" s="16" t="s">
        <v>207</v>
      </c>
      <c r="L58" s="16"/>
      <c r="M58" s="16"/>
    </row>
    <row r="59" spans="1:13" ht="15" customHeight="1" x14ac:dyDescent="0.25">
      <c r="H59" s="114"/>
      <c r="I59" s="17"/>
      <c r="J59" s="17"/>
      <c r="K59" s="17" t="s">
        <v>208</v>
      </c>
      <c r="L59" s="17"/>
      <c r="M59" s="17"/>
    </row>
    <row r="60" spans="1:13" ht="15" customHeight="1" x14ac:dyDescent="0.25">
      <c r="H60" s="114"/>
      <c r="I60" s="16"/>
      <c r="J60" s="16"/>
      <c r="K60" s="86" t="s">
        <v>105</v>
      </c>
      <c r="L60" s="16"/>
      <c r="M60" s="16"/>
    </row>
    <row r="61" spans="1:13" ht="15" customHeight="1" x14ac:dyDescent="0.25">
      <c r="H61" s="114"/>
      <c r="I61" s="17"/>
      <c r="J61" s="17"/>
      <c r="K61" s="17" t="s">
        <v>209</v>
      </c>
      <c r="L61" s="17"/>
      <c r="M61" s="17"/>
    </row>
    <row r="62" spans="1:13" ht="15" customHeight="1" x14ac:dyDescent="0.25">
      <c r="H62" s="114"/>
      <c r="I62" s="16"/>
      <c r="J62" s="16"/>
      <c r="K62" s="16" t="s">
        <v>210</v>
      </c>
      <c r="L62" s="16"/>
      <c r="M62" s="16"/>
    </row>
    <row r="63" spans="1:13" ht="15" customHeight="1" x14ac:dyDescent="0.25">
      <c r="H63" s="114"/>
      <c r="I63" s="17"/>
      <c r="J63" s="17"/>
      <c r="K63" s="17" t="s">
        <v>211</v>
      </c>
      <c r="L63" s="17"/>
      <c r="M63" s="17"/>
    </row>
    <row r="64" spans="1:13" ht="15" customHeight="1" x14ac:dyDescent="0.25">
      <c r="H64" s="114"/>
      <c r="I64" s="16"/>
      <c r="J64" s="16"/>
      <c r="K64" s="16" t="s">
        <v>212</v>
      </c>
      <c r="L64" s="16"/>
      <c r="M64" s="16"/>
    </row>
    <row r="65" spans="8:13" ht="15" customHeight="1" x14ac:dyDescent="0.25">
      <c r="H65" s="114"/>
      <c r="I65" s="17"/>
      <c r="J65" s="17"/>
      <c r="K65" s="17" t="s">
        <v>213</v>
      </c>
      <c r="L65" s="17"/>
      <c r="M65" s="17"/>
    </row>
    <row r="66" spans="8:13" ht="15" customHeight="1" x14ac:dyDescent="0.25">
      <c r="H66" s="114"/>
      <c r="I66" s="16"/>
      <c r="J66" s="16"/>
      <c r="K66" s="16" t="s">
        <v>214</v>
      </c>
      <c r="L66" s="16"/>
      <c r="M66" s="16"/>
    </row>
    <row r="67" spans="8:13" ht="15" customHeight="1" x14ac:dyDescent="0.25">
      <c r="H67" s="114"/>
      <c r="I67" s="17"/>
      <c r="J67" s="17"/>
      <c r="K67" s="17" t="s">
        <v>215</v>
      </c>
      <c r="L67" s="17"/>
      <c r="M67" s="17"/>
    </row>
    <row r="68" spans="8:13" ht="15" customHeight="1" x14ac:dyDescent="0.25">
      <c r="H68" s="114"/>
      <c r="I68" s="16"/>
      <c r="J68" s="16"/>
      <c r="K68" s="16" t="s">
        <v>216</v>
      </c>
      <c r="L68" s="16"/>
      <c r="M68" s="16"/>
    </row>
    <row r="69" spans="8:13" ht="15" customHeight="1" x14ac:dyDescent="0.25">
      <c r="H69" s="114"/>
      <c r="I69" s="17"/>
      <c r="J69" s="17"/>
      <c r="K69" s="17" t="s">
        <v>217</v>
      </c>
      <c r="L69" s="17"/>
      <c r="M69" s="17"/>
    </row>
    <row r="70" spans="8:13" ht="15" customHeight="1" x14ac:dyDescent="0.25">
      <c r="H70" s="114"/>
      <c r="I70" s="16"/>
      <c r="J70" s="16"/>
      <c r="K70" s="16" t="s">
        <v>218</v>
      </c>
      <c r="L70" s="16"/>
      <c r="M70" s="16"/>
    </row>
    <row r="71" spans="8:13" ht="15" customHeight="1" x14ac:dyDescent="0.25">
      <c r="H71" s="114"/>
      <c r="I71" s="17"/>
      <c r="J71" s="17"/>
      <c r="K71" s="17" t="s">
        <v>219</v>
      </c>
      <c r="L71" s="17"/>
      <c r="M71" s="17"/>
    </row>
    <row r="72" spans="8:13" ht="15" customHeight="1" x14ac:dyDescent="0.25">
      <c r="H72" s="114"/>
      <c r="I72" s="16"/>
      <c r="J72" s="16"/>
      <c r="K72" s="16" t="s">
        <v>220</v>
      </c>
      <c r="L72" s="16"/>
      <c r="M72" s="16"/>
    </row>
    <row r="73" spans="8:13" ht="15" customHeight="1" x14ac:dyDescent="0.25">
      <c r="H73" s="114"/>
      <c r="I73" s="17"/>
      <c r="J73" s="17"/>
      <c r="K73" s="17" t="s">
        <v>221</v>
      </c>
      <c r="L73" s="17"/>
      <c r="M73" s="17"/>
    </row>
    <row r="74" spans="8:13" ht="15" customHeight="1" x14ac:dyDescent="0.25">
      <c r="H74" s="114"/>
      <c r="I74" s="16"/>
      <c r="J74" s="16"/>
      <c r="K74" s="16" t="s">
        <v>222</v>
      </c>
      <c r="L74" s="16"/>
      <c r="M74" s="16"/>
    </row>
    <row r="75" spans="8:13" ht="15" customHeight="1" x14ac:dyDescent="0.25">
      <c r="H75" s="114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215" activePane="bottomLeft" state="frozen"/>
      <selection pane="bottomLeft" activeCell="H239" sqref="H239"/>
    </sheetView>
  </sheetViews>
  <sheetFormatPr defaultColWidth="8.5703125" defaultRowHeight="15" x14ac:dyDescent="0.2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25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 x14ac:dyDescent="0.25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 x14ac:dyDescent="0.25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 x14ac:dyDescent="0.25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 x14ac:dyDescent="0.25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 x14ac:dyDescent="0.25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 x14ac:dyDescent="0.25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 x14ac:dyDescent="0.25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 x14ac:dyDescent="0.25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 x14ac:dyDescent="0.25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 x14ac:dyDescent="0.25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 x14ac:dyDescent="0.25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 x14ac:dyDescent="0.25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 x14ac:dyDescent="0.25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 x14ac:dyDescent="0.25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 x14ac:dyDescent="0.25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 x14ac:dyDescent="0.25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 x14ac:dyDescent="0.25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 x14ac:dyDescent="0.25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 x14ac:dyDescent="0.25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25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25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25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25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25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25">
      <c r="A230" s="101" t="s">
        <v>234</v>
      </c>
      <c r="B230" s="102"/>
      <c r="C230" s="102"/>
      <c r="D230" s="102"/>
      <c r="E230" s="10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 x14ac:dyDescent="0.25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25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25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316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25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316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25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316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25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316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25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316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25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316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25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316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316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316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 x14ac:dyDescent="0.25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 x14ac:dyDescent="0.25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 x14ac:dyDescent="0.25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 x14ac:dyDescent="0.25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 x14ac:dyDescent="0.25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 x14ac:dyDescent="0.25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 x14ac:dyDescent="0.25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 x14ac:dyDescent="0.25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 x14ac:dyDescent="0.25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 x14ac:dyDescent="0.25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 x14ac:dyDescent="0.25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25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 x14ac:dyDescent="0.25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 x14ac:dyDescent="0.25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 x14ac:dyDescent="0.25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 x14ac:dyDescent="0.25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 x14ac:dyDescent="0.25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 x14ac:dyDescent="0.25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 x14ac:dyDescent="0.25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 x14ac:dyDescent="0.25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 x14ac:dyDescent="0.25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 x14ac:dyDescent="0.25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 x14ac:dyDescent="0.25">
      <c r="A811" s="107" t="s">
        <v>238</v>
      </c>
      <c r="B811" s="108"/>
      <c r="C811" s="108"/>
      <c r="D811" s="108"/>
      <c r="E811" s="109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25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25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 x14ac:dyDescent="0.25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05" activePane="bottomLeft" state="frozen"/>
      <selection pane="bottomLeft" activeCell="AK270" sqref="AK270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 x14ac:dyDescent="0.25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 x14ac:dyDescent="0.25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 x14ac:dyDescent="0.25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 x14ac:dyDescent="0.25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 x14ac:dyDescent="0.25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 x14ac:dyDescent="0.25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 x14ac:dyDescent="0.25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 x14ac:dyDescent="0.25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 x14ac:dyDescent="0.25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 x14ac:dyDescent="0.25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 x14ac:dyDescent="0.25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 x14ac:dyDescent="0.25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 x14ac:dyDescent="0.25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0.19718831017962657</v>
      </c>
      <c r="N53" s="46" t="s">
        <v>260</v>
      </c>
      <c r="O53" s="31"/>
    </row>
    <row r="54" spans="1:15" ht="15.75" customHeight="1" x14ac:dyDescent="0.25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0.33607719906851546</v>
      </c>
      <c r="N54" s="36" t="s">
        <v>235</v>
      </c>
      <c r="O54" s="84">
        <v>352430</v>
      </c>
    </row>
    <row r="55" spans="1:15" ht="18" customHeight="1" x14ac:dyDescent="0.25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0.42079942129073777</v>
      </c>
      <c r="N55" s="40" t="s">
        <v>239</v>
      </c>
      <c r="O55" s="82">
        <f>IFERROR(O41+O54,"")</f>
        <v>663500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 x14ac:dyDescent="0.25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 x14ac:dyDescent="0.25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 x14ac:dyDescent="0.25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 x14ac:dyDescent="0.25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 x14ac:dyDescent="0.25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 x14ac:dyDescent="0.25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 x14ac:dyDescent="0.25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 x14ac:dyDescent="0.25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 x14ac:dyDescent="0.25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 x14ac:dyDescent="0.25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 x14ac:dyDescent="0.25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 x14ac:dyDescent="0.35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 x14ac:dyDescent="0.25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 x14ac:dyDescent="0.25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 x14ac:dyDescent="0.25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 x14ac:dyDescent="0.25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 x14ac:dyDescent="0.25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 x14ac:dyDescent="0.25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 x14ac:dyDescent="0.25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 x14ac:dyDescent="0.25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 x14ac:dyDescent="0.25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 x14ac:dyDescent="0.25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 x14ac:dyDescent="0.25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 x14ac:dyDescent="0.25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 x14ac:dyDescent="0.25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 x14ac:dyDescent="0.25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 x14ac:dyDescent="0.25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 x14ac:dyDescent="0.25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 x14ac:dyDescent="0.25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 x14ac:dyDescent="0.25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 x14ac:dyDescent="0.35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 x14ac:dyDescent="0.25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 x14ac:dyDescent="0.25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 x14ac:dyDescent="0.25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 x14ac:dyDescent="0.25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 x14ac:dyDescent="0.25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 x14ac:dyDescent="0.25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 x14ac:dyDescent="0.25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 x14ac:dyDescent="0.25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 x14ac:dyDescent="0.25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 x14ac:dyDescent="0.25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 x14ac:dyDescent="0.25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 x14ac:dyDescent="0.25">
      <c r="A245" s="68">
        <v>46244</v>
      </c>
      <c r="B245" s="25">
        <v>0.33333333333333298</v>
      </c>
      <c r="C245" s="81" t="s">
        <v>29</v>
      </c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81" t="s">
        <v>29</v>
      </c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81" t="s">
        <v>29</v>
      </c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81" t="s">
        <v>29</v>
      </c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81" t="s">
        <v>29</v>
      </c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81" t="s">
        <v>29</v>
      </c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81" t="s">
        <v>29</v>
      </c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81" t="s">
        <v>29</v>
      </c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81" t="s">
        <v>29</v>
      </c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81" t="s">
        <v>29</v>
      </c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 t="s">
        <v>29</v>
      </c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 t="s">
        <v>29</v>
      </c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 x14ac:dyDescent="0.25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 x14ac:dyDescent="0.25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 x14ac:dyDescent="0.25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 x14ac:dyDescent="0.25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 x14ac:dyDescent="0.25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 x14ac:dyDescent="0.25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 x14ac:dyDescent="0.25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 x14ac:dyDescent="0.25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 x14ac:dyDescent="0.25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 x14ac:dyDescent="0.25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 x14ac:dyDescent="0.25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 x14ac:dyDescent="0.25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 x14ac:dyDescent="0.25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 x14ac:dyDescent="0.25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 x14ac:dyDescent="0.25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 x14ac:dyDescent="0.25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 x14ac:dyDescent="0.25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 x14ac:dyDescent="0.25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 x14ac:dyDescent="0.25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 x14ac:dyDescent="0.25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 x14ac:dyDescent="0.25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 x14ac:dyDescent="0.25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 x14ac:dyDescent="0.25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 x14ac:dyDescent="0.25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1" zoomScale="70" zoomScaleNormal="70" workbookViewId="0">
      <selection activeCell="U237" sqref="U237:U238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 x14ac:dyDescent="0.25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 x14ac:dyDescent="0.25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 x14ac:dyDescent="0.25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 x14ac:dyDescent="0.25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 x14ac:dyDescent="0.25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 x14ac:dyDescent="0.25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 x14ac:dyDescent="0.25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 x14ac:dyDescent="0.25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 x14ac:dyDescent="0.25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 x14ac:dyDescent="0.25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 x14ac:dyDescent="0.25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 x14ac:dyDescent="0.25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 x14ac:dyDescent="0.25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 x14ac:dyDescent="0.25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 x14ac:dyDescent="0.25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 x14ac:dyDescent="0.25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 x14ac:dyDescent="0.25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 x14ac:dyDescent="0.25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 x14ac:dyDescent="0.25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 x14ac:dyDescent="0.25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 x14ac:dyDescent="0.25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 x14ac:dyDescent="0.25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 x14ac:dyDescent="0.25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 x14ac:dyDescent="0.25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0.59441053240152542</v>
      </c>
      <c r="N223" s="27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0.65274386573485876</v>
      </c>
      <c r="N230" s="36" t="s">
        <v>235</v>
      </c>
      <c r="O230" s="39">
        <v>329640</v>
      </c>
    </row>
    <row r="231" spans="1:15" ht="15" customHeight="1" x14ac:dyDescent="0.25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 x14ac:dyDescent="0.25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0.70274386573485881</v>
      </c>
      <c r="N244" s="40" t="s">
        <v>239</v>
      </c>
      <c r="O244" s="48">
        <f>IFERROR(O230+O243,"")</f>
        <v>682360</v>
      </c>
    </row>
    <row r="245" spans="1:15" ht="15" customHeight="1" x14ac:dyDescent="0.25">
      <c r="A245" s="68">
        <v>46244</v>
      </c>
      <c r="B245" s="25">
        <v>0.33333333333333298</v>
      </c>
      <c r="C245" s="26" t="s">
        <v>29</v>
      </c>
      <c r="D245" s="59" t="s">
        <v>30</v>
      </c>
      <c r="E245" s="59"/>
      <c r="F245" s="27"/>
      <c r="G245" s="28" t="str">
        <f t="shared" ref="G245:G256" si="54">IF(F245="","",IF(E245="PC 17",F245*4.2,IF(E245="PC 19",F245*5,IF(E245="CB",F245*24,""))))</f>
        <v/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/>
      <c r="M245" s="35">
        <f t="shared" ref="M245:M256" ca="1" si="55">IFERROR(IF(K245="","",IF(L245="",MOD(NOW()-K245,1),IF(L245&gt;=K245,L245-K245,L245+1-K245))),"")</f>
        <v>1.6632754624879453E-2</v>
      </c>
      <c r="N245" s="27" t="s">
        <v>317</v>
      </c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1.6632754624879453E-2</v>
      </c>
      <c r="N257" s="36" t="s">
        <v>235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 x14ac:dyDescent="0.25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1.6632754624879453E-2</v>
      </c>
      <c r="N271" s="40" t="s">
        <v>239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 x14ac:dyDescent="0.25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 x14ac:dyDescent="0.25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 x14ac:dyDescent="0.25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 x14ac:dyDescent="0.25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 x14ac:dyDescent="0.25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25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 x14ac:dyDescent="0.25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 x14ac:dyDescent="0.25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 x14ac:dyDescent="0.25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 x14ac:dyDescent="0.25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 x14ac:dyDescent="0.25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 x14ac:dyDescent="0.25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 x14ac:dyDescent="0.25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25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 x14ac:dyDescent="0.25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 x14ac:dyDescent="0.25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 x14ac:dyDescent="0.25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 x14ac:dyDescent="0.25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 x14ac:dyDescent="0.25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 x14ac:dyDescent="0.25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 x14ac:dyDescent="0.25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 x14ac:dyDescent="0.25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25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25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 x14ac:dyDescent="0.25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70" zoomScaleNormal="70" workbookViewId="0">
      <pane ySplit="1" topLeftCell="A206" activePane="bottomLeft" state="frozen"/>
      <selection pane="bottomLeft" activeCell="U271" sqref="U271:V271"/>
    </sheetView>
  </sheetViews>
  <sheetFormatPr defaultColWidth="8.5703125" defaultRowHeight="15" x14ac:dyDescent="0.2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 x14ac:dyDescent="0.25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 x14ac:dyDescent="0.25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 x14ac:dyDescent="0.25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 x14ac:dyDescent="0.25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 x14ac:dyDescent="0.25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 x14ac:dyDescent="0.25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 x14ac:dyDescent="0.25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 x14ac:dyDescent="0.25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25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25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25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 x14ac:dyDescent="0.25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 x14ac:dyDescent="0.25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 x14ac:dyDescent="0.25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25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 x14ac:dyDescent="0.25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 x14ac:dyDescent="0.25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 x14ac:dyDescent="0.25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 x14ac:dyDescent="0.25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 x14ac:dyDescent="0.25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 x14ac:dyDescent="0.25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 x14ac:dyDescent="0.25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 x14ac:dyDescent="0.25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25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25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25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25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 x14ac:dyDescent="0.25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 x14ac:dyDescent="0.25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 x14ac:dyDescent="0.25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 x14ac:dyDescent="0.25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 x14ac:dyDescent="0.25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 x14ac:dyDescent="0.25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 x14ac:dyDescent="0.25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 x14ac:dyDescent="0.25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 x14ac:dyDescent="0.25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 x14ac:dyDescent="0.25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 x14ac:dyDescent="0.25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 x14ac:dyDescent="0.25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 x14ac:dyDescent="0.25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 x14ac:dyDescent="0.25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 x14ac:dyDescent="0.25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 x14ac:dyDescent="0.25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 x14ac:dyDescent="0.25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25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25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 x14ac:dyDescent="0.25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 x14ac:dyDescent="0.25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 x14ac:dyDescent="0.25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 x14ac:dyDescent="0.25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 x14ac:dyDescent="0.25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25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25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 x14ac:dyDescent="0.25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 x14ac:dyDescent="0.25">
      <c r="A245" s="68">
        <v>46244</v>
      </c>
      <c r="B245" s="25">
        <v>0.33333333333333298</v>
      </c>
      <c r="C245" s="26" t="s">
        <v>29</v>
      </c>
      <c r="D245" s="59" t="s">
        <v>30</v>
      </c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 x14ac:dyDescent="0.25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 x14ac:dyDescent="0.25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 x14ac:dyDescent="0.25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 x14ac:dyDescent="0.25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 x14ac:dyDescent="0.25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 x14ac:dyDescent="0.25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25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25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25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25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25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25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25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25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25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 x14ac:dyDescent="0.25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25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 x14ac:dyDescent="0.25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 x14ac:dyDescent="0.25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 x14ac:dyDescent="0.25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 x14ac:dyDescent="0.25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 x14ac:dyDescent="0.25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25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25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25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25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 x14ac:dyDescent="0.25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 x14ac:dyDescent="0.25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 x14ac:dyDescent="0.25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 x14ac:dyDescent="0.25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 x14ac:dyDescent="0.25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25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25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25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25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25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25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25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25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25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 x14ac:dyDescent="0.25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25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 x14ac:dyDescent="0.25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 x14ac:dyDescent="0.25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 x14ac:dyDescent="0.25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 x14ac:dyDescent="0.25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 x14ac:dyDescent="0.25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 x14ac:dyDescent="0.25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 x14ac:dyDescent="0.25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 x14ac:dyDescent="0.25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 x14ac:dyDescent="0.25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 x14ac:dyDescent="0.25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 x14ac:dyDescent="0.25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 x14ac:dyDescent="0.25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2026-08-10T11:39:13Z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