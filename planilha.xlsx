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26" documentId="8_{1D11E9C4-FEA4-4128-910F-91CB6BBF9255}" xr6:coauthVersionLast="47" xr6:coauthVersionMax="47" xr10:uidLastSave="{E1A717F0-FA13-4163-A325-6E45ED87B829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<sst xmlns="http://schemas.openxmlformats.org/spreadsheetml/2006/main" count="8294" uniqueCount="373">
  <si>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</si>
  <si>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</si>
  <si>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</si>
  <si>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</si>
  <si>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</si>
  <si>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</si>
  <si>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</si>
  <si>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</si>
  <si>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</si>
  <si>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</si>
  <si>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</si>
  <si>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</si>
  <si>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</si>
  <si>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</si>
  <si>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</si>
  <si>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</si>
  <si>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</si>
  <si>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</si>
  <si>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</si>
  <si>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</si>
  <si>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</si>
  <si>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</si>
  <si>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</si>
  <si>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</si>
  <si>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</si>
  <si>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</si>
  <si>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</si>
  <si>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</si>
  <si>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</si>
  <si>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</si>
  <si>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</si>
  <si>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</si>
  <si>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</si>
  <si>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</si>
  <si>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</si>
  <si>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</si>
  <si>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</si>
  <si>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</si>
  <si>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</si>
  <si>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</si>
  <si>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</si>
  <si>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</si>
  <si>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</si>
  <si>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</si>
  <si>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</si>
  <si>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</si>
  <si>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</si>
  <si>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</si>
  <si>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</si>
  <si>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</si>
  <si>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</si>
  <si>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</si>
  <si>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</si>
  <si>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</si>
  <si>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</si>
  <si>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</si>
  <si>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</si>
  <si>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</si>
  <si>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</si>
  <si>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</si>
  <si>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</si>
  <si>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</si>
  <si>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</si>
  <si>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</si>
  <si>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</si>
  <si>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</si>
  <si>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</si>
  <si>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</si>
  <si>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</si>
  <si>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</si>
  <si>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</si>
  <si>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</si>
  <si>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</si>
  <si>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</si>
  <si>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</si>
  <si>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</si>
  <si>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</si>
  <si>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</si>
  <si>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</si>
  <si>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</si>
  <si>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</si>
  <si>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</si>
  <si>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</si>
  <si>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</si>
  <si>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</si>
  <si>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</si>
  <si>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</si>
  <si>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</si>
  <si>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</si>
  <si>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</si>
  <si>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</si>
  <si>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</si>
  <si>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</si>
  <si>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</si>
  <si>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</si>
  <si>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</si>
  <si>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</si>
  <si>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</si>
  <si>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</si>
  <si>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</si>
  <si>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</si>
  <si>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</si>
  <si>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</si>
  <si>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</si>
  <si>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</si>
  <si>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</si>
  <si>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</si>
  <si>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</si>
  <si>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</si>
  <si>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</si>
  <si>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</si>
  <si>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</si>
  <si>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</si>
  <si>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</si>
  <si>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</si>
  <si>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</si>
  <si>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</si>
  <si>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</si>
  <si>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</si>
  <si>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</si>
  <si>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</si>
  <si>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</si>
  <si>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</si>
  <si>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</si>
  <si>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</si>
  <si>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</si>
  <si>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</si>
  <si>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</si>
  <si>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</si>
  <si>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</si>
  <si>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</si>
  <si>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</si>
  <si>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</si>
  <si>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</si>
  <si>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</si>
  <si>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</si>
  <si>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</si>
  <si>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</si>
  <si>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</si>
  <si>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</si>
  <si>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</si>
  <si>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</si>
  <si>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</si>
  <si>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</si>
  <si>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</si>
  <si>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</si>
  <si>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</si>
  <si>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</si>
  <si>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</si>
  <si>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</si>
  <si>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</si>
  <si>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</si>
  <si>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</si>
  <si>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</si>
  <si>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</si>
  <si>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</si>
  <si>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</si>
  <si>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</si>
  <si>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</si>
  <si>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</si>
  <si>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</si>
  <si>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</si>
  <si>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</si>
  <si>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</si>
  <si>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</si>
  <si>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</si>
  <si>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</si>
  <si>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</si>
  <si>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</si>
  <si>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</si>
  <si>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</si>
  <si>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</si>
  <si>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</si>
  <si>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</si>
  <si>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</si>
  <si>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</si>
  <si>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</si>
  <si>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</si>
  <si>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</si>
  <si>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</si>
  <si>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</si>
  <si>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</si>
  <si>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</si>
  <si>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</si>
  <si>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</si>
  <si>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</si>
  <si>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</si>
  <si>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</si>
  <si>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</si>
  <si>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</si>
  <si>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</si>
  <si>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</si>
  <si>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</si>
  <si>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</si>
  <si>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</si>
  <si>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</si>
  <si>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</si>
  <si>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</si>
  <si>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</si>
  <si>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</si>
  <si>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</si>
  <si>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</si>
  <si>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</si>
  <si>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</si>
  <si>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</si>
  <si>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</si>
  <si>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</si>
  <si>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</si>
  <si>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</si>
  <si>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</si>
  <si>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</si>
  <si>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</si>
  <si>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</si>
  <si>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</si>
  <si>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</si>
  <si>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</si>
  <si>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</si>
  <si>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</si>
  <si>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</si>
  <si>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</si>
  <si>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</si>
  <si>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</si>
  <si>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</si>
  <si>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</si>
  <si>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</si>
  <si>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</si>
  <si>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</si>
  <si>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</si>
  <si>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</si>
  <si>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douglas</t>
  </si>
  <si>
    <t>colocamento da trava da tampa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</si>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</sst>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1" sqref="E76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7" t="s">
        <v>229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29</v>
      </c>
      <c r="D759" s="10" t="s">
        <v>30</v>
      </c>
      <c r="E759" s="11">
        <v>17</v>
      </c>
      <c r="F759" s="17">
        <f t="shared" si="171"/>
        <v>85</v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29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29</v>
      </c>
      <c r="D761" s="10" t="s">
        <v>30</v>
      </c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29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29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29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29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29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29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29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29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41</v>
      </c>
      <c r="F770" s="19">
        <f>SUM(F758:F769)</f>
        <v>205</v>
      </c>
      <c r="G770" s="18"/>
      <c r="H770" s="18"/>
      <c r="I770" s="18"/>
      <c r="J770" s="18"/>
      <c r="K770" s="18"/>
      <c r="L770" s="72">
        <f>IFERROR(SUM(L758:L769),"")</f>
        <v>7.0833333333333304E-2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41</v>
      </c>
      <c r="F784" s="22">
        <f>F770+F783</f>
        <v>205</v>
      </c>
      <c r="G784" s="21"/>
      <c r="H784" s="21"/>
      <c r="I784" s="21"/>
      <c r="J784" s="21"/>
      <c r="K784" s="21"/>
      <c r="L784" s="73">
        <f>IFERROR(L770+L783,"")</f>
        <v>7.0833333333333304E-2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24" zoomScale="85" zoomScaleNormal="85" workbookViewId="0">
      <selection activeCell="E761" sqref="E76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/>
      <c r="L758" s="70" t="str">
        <f t="shared" ref="L758:L769" si="170">IFERROR(IF(K758="","",IF(K758&gt;=J758,K758-J758,K758+1-J758)),"")</f>
        <v/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>
        <v>10</v>
      </c>
      <c r="F759" s="17">
        <f t="shared" si="169"/>
        <v>40</v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>
        <v>4</v>
      </c>
      <c r="F760" s="12">
        <f t="shared" si="169"/>
        <v>16</v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27</v>
      </c>
      <c r="F770" s="19">
        <f>SUM(F758:F769)</f>
        <v>108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27</v>
      </c>
      <c r="F784" s="22">
        <f>F770+F783</f>
        <v>108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1" sqref="E76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304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305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 t="s">
        <v>38</v>
      </c>
      <c r="E760" s="11">
        <v>4</v>
      </c>
      <c r="F760" s="12">
        <f t="shared" si="168"/>
        <v>16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0" t="s">
        <v>38</v>
      </c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 t="s">
        <v>38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0" t="s">
        <v>38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17</v>
      </c>
      <c r="F770" s="19">
        <f>SUM(F758:F769)</f>
        <v>68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17</v>
      </c>
      <c r="F784" s="22">
        <f>F770+F783</f>
        <v>68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61" sqref="E76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322</v>
      </c>
      <c r="I2" s="10" t="s">
        <v>323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322</v>
      </c>
      <c r="I3" s="16" t="s">
        <v>323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322</v>
      </c>
      <c r="I4" s="10" t="s">
        <v>323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322</v>
      </c>
      <c r="I5" s="16" t="s">
        <v>323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322</v>
      </c>
      <c r="I6" s="10" t="s">
        <v>323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322</v>
      </c>
      <c r="I7" s="16" t="s">
        <v>323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322</v>
      </c>
      <c r="I8" s="10" t="s">
        <v>323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322</v>
      </c>
      <c r="I9" s="16" t="s">
        <v>323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322</v>
      </c>
      <c r="I10" s="10" t="s">
        <v>323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322</v>
      </c>
      <c r="I11" s="16" t="s">
        <v>323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322</v>
      </c>
      <c r="I12" s="10" t="s">
        <v>323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322</v>
      </c>
      <c r="I13" s="16" t="s">
        <v>323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325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326</v>
      </c>
      <c r="I33" s="16" t="s">
        <v>327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328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371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372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>
        <v>11</v>
      </c>
      <c r="F760" s="12">
        <f t="shared" si="169"/>
        <v>44</v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2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27</v>
      </c>
      <c r="F770" s="19">
        <f>SUM(F758:F769)</f>
        <v>108</v>
      </c>
      <c r="G770" s="38"/>
      <c r="H770" s="38"/>
      <c r="I770" s="38"/>
      <c r="J770" s="38"/>
      <c r="K770" s="38"/>
      <c r="L770" s="72">
        <f>IFERROR(SUM(L758:L769),"")</f>
        <v>3.4027777777777768E-2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27</v>
      </c>
      <c r="F784" s="22">
        <f>F770+F783</f>
        <v>108</v>
      </c>
      <c r="G784" s="39"/>
      <c r="H784" s="39"/>
      <c r="I784" s="39"/>
      <c r="J784" s="39"/>
      <c r="K784" s="39"/>
      <c r="L784" s="73">
        <f>IFERROR(L770+L783,"")</f>
        <v>3.4027777777777768E-2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2026-06-29T14:25:33Z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