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9" documentId="8_{AF585B22-221D-4780-BB9C-493D365A6A02}" xr6:coauthVersionLast="47" xr6:coauthVersionMax="47" xr10:uidLastSave="{C8A1F65B-0849-4879-BC88-9DCF2FEE33AB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<sst xmlns="http://schemas.openxmlformats.org/spreadsheetml/2006/main" count="1156" uniqueCount="201">
  <si>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</si>
  <si>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</si>
  <si>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</si>
  <si>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</si>
  <si>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</si>
  <si>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</si>
  <si>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</si>
  <si>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</si>
  <si>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</si>
  <si>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</si>
  <si>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</si>
  <si>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</si>
  <si>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</si>
  <si>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</si>
  <si>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</si>
  <si>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</si>
  <si>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</si>
  <si>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</si>
  <si>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</si>
  <si>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</si>
  <si>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</si>
  <si>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</si>
  <si>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</si>
  <si>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</si>
  <si>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</si>
  <si>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</si>
  <si>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</si>
  <si>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</si>
  <si>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</si>
  <si>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</si>
  <si>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</si>
  <si>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</si>
  <si>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</si>
  <si>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</si>
  <si>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</si>
  <si>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</si>
  <si>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</si>
  <si>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</si>
  <si>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</si>
  <si>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</si>
  <si>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</si>
  <si>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</si>
  <si>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</si>
  <si>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</si>
  <si>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</si>
  <si>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</si>
  <si>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</si>
  <si>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</si>
  <si>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</si>
  <si>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</si>
  <si>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</si>
  <si>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</si>
  <si>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</si>
  <si>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</si>
  <si>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</si>
  <si>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</si>
  <si>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</si>
  <si>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</si>
  <si>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</si>
  <si>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</si>
  <si>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</si>
  <si>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</si>
  <si>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</si>
  <si>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</si>
  <si>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</si>
  <si>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</si>
  <si>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</si>
  <si>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</si>
  <si>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</si>
  <si>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</si>
  <si>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</si>
  <si>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</si>
  <si>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</si>
  <si>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</si>
  <si>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</si>
  <si>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</si>
  <si>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</si>
  <si>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</si>
  <si>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</si>
  <si>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</si>
  <si>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</si>
  <si>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</si>
  <si>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</si>
  <si>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</si>
  <si>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</si>
  <si>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</si>
  <si>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</si>
  <si>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</si>
  <si>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</si>
  <si>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</si>
  <si>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</si>
  <si>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</si>
  <si>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</si>
  <si>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</si>
  <si>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</si>
  <si>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</si>
  <si>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</si>
  <si>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</si>
  <si>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</si>
  <si>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</si>
  <si>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</si>
  <si>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</si>
  <si>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</si>
  <si>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</si>
  <si>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</si>
  <si>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</si>
  <si>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</si>
  <si>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</si>
  <si>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</si>
  <si>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</si>
  <si>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</si>
  <si>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</si>
  <si>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</si>
  <si>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</si>
  <si>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</si>
  <si>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</si>
  <si>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</si>
  <si>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</si>
  <si>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</si>
  <si>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</si>
  <si>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</si>
  <si>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</si>
  <si>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</si>
  <si>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</si>
  <si>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</si>
  <si>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</si>
  <si>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</si>
  <si>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</si>
  <si>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</si>
  <si>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</si>
  <si>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</si>
  <si>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</si>
  <si>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</si>
  <si>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</si>
  <si>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</si>
  <si>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</si>
  <si>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</si>
  <si>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</si>
  <si>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</si>
  <si>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</si>
  <si>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</si>
  <si>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</si>
  <si>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</si>
  <si>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</si>
  <si>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</si>
  <si>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</si>
  <si>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</si>
  <si>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</si>
  <si>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</si>
  <si>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</si>
  <si>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</si>
  <si>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</si>
  <si>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</si>
  <si>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</si>
  <si>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</si>
  <si>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</si>
  <si>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</si>
  <si>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</si>
  <si>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</si>
  <si>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</si>
  <si>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</si>
  <si>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</si>
  <si>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</si>
  <si>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</si>
  <si>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</si>
  <si>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</si>
  <si>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</si>
  <si>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</si>
  <si>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</si>
  <si>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</si>
  <si>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</si>
  <si>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</si>
  <si>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</si>
  <si>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</si>
  <si>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</si>
  <si>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</si>
  <si>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</si>
  <si>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</si>
  <si>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</si>
  <si>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</si>
  <si>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</si>
  <si>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</si>
  <si>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</si>
  <si>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</si>
  <si>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</si>
  <si>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</si>
  <si>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</si>
  <si>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</si>
  <si>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</si>
  <si>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</si>
  <si>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</si>
  <si>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</si>
  <si>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</si>
  <si>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</si>
  <si>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</si>
  <si>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</si>
  <si>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</si>
  <si>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</si>
  <si>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17;10</t>
  </si>
  <si>
    <t>manutençao no rolamento do moinho 4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</si>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</sst>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232</v>
      </c>
      <c r="G14" s="36">
        <f>SUM(G2:G13)</f>
        <v>1160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232</v>
      </c>
      <c r="G28" s="40">
        <f>G14+G27</f>
        <v>1160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K5" sqref="K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>
        <v>0.71736111111111112</v>
      </c>
      <c r="L4" s="29"/>
      <c r="M4" s="35">
        <f t="shared" ca="1" si="1"/>
        <v>1.0020833287853748E-3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133</v>
      </c>
      <c r="G14" s="36">
        <f>SUM(G2:G13)</f>
        <v>558.6</v>
      </c>
      <c r="H14" s="37"/>
      <c r="I14" s="37"/>
      <c r="J14" s="37"/>
      <c r="K14" s="37"/>
      <c r="L14" s="37"/>
      <c r="M14" s="38">
        <f ca="1">IFERROR(SUM(M2:M13),"")</f>
        <v>6.5585416662118645E-2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133</v>
      </c>
      <c r="G28" s="40">
        <f>G14+G27</f>
        <v>558.6</v>
      </c>
      <c r="H28" s="41"/>
      <c r="I28" s="41"/>
      <c r="J28" s="41"/>
      <c r="K28" s="41"/>
      <c r="L28" s="41"/>
      <c r="M28" s="42">
        <f ca="1">IFERROR(M14+M27,"")</f>
        <v>6.5585416662118645E-2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J7" sqref="J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 t="s">
        <v>197</v>
      </c>
      <c r="L7" s="29" t="s">
        <v>198</v>
      </c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47</v>
      </c>
      <c r="G14" s="36">
        <f>SUM(G2:G13)</f>
        <v>197.4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47</v>
      </c>
      <c r="G28" s="40">
        <f>G14+G27</f>
        <v>197.4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/>
      <c r="M3" s="35">
        <f t="shared" ca="1" si="1"/>
        <v>7.2529861106886528E-2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0.16280763888466426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0.16280763888466426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2026-07-01T21:14:58Z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