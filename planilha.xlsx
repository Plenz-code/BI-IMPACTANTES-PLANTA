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38" documentId="8_{AF585B22-221D-4780-BB9C-493D365A6A02}" xr6:coauthVersionLast="47" xr6:coauthVersionMax="47" xr10:uidLastSave="{1A968494-398A-41E5-82F7-EC9BAA0D613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<sst xmlns="http://schemas.openxmlformats.org/spreadsheetml/2006/main" count="4338" uniqueCount="281">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</sst>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8" sqref="F2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70</v>
      </c>
      <c r="G257" s="36">
        <f>SUM(G245:G256)</f>
        <v>350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70</v>
      </c>
      <c r="G271" s="40">
        <f>G257+G270</f>
        <v>350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24" activePane="bottomLeft" state="frozen"/>
      <selection pane="bottomLeft" activeCell="F248" sqref="F2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24</v>
      </c>
      <c r="G257" s="36">
        <f>SUM(G245:G256)</f>
        <v>100.8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24</v>
      </c>
      <c r="G271" s="40">
        <f>G257+G270</f>
        <v>100.8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8" sqref="F2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52</v>
      </c>
      <c r="G257" s="36">
        <f>SUM(G245:G256)</f>
        <v>218.4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52</v>
      </c>
      <c r="G271" s="40">
        <f>G257+G270</f>
        <v>218.4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48" sqref="F2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0.17036006944545079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0.36966562500100641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0.73702673611211744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/>
      <c r="M245" s="30">
        <f t="shared" ref="M245:M256" ca="1" si="55">IFERROR(IF(K245="","",IF(L245="",MOD(NOW()-K245,1),IF(L245&gt;=K245,L245-K245,L245+1-K245))),"")</f>
        <v>1.2026736112602521E-2</v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84</v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52</v>
      </c>
      <c r="G257" s="36">
        <f>SUM(G245:G256)</f>
        <v>218.4</v>
      </c>
      <c r="H257" s="37"/>
      <c r="I257" s="37"/>
      <c r="J257" s="37"/>
      <c r="K257" s="61"/>
      <c r="L257" s="61"/>
      <c r="M257" s="38">
        <f ca="1">IFERROR(SUM(M245:M256),"")</f>
        <v>1.2026736112602521E-2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52</v>
      </c>
      <c r="G271" s="40">
        <f>G257+G270</f>
        <v>218.4</v>
      </c>
      <c r="H271" s="41"/>
      <c r="I271" s="41"/>
      <c r="J271" s="41"/>
      <c r="K271" s="63"/>
      <c r="L271" s="63"/>
      <c r="M271" s="42">
        <f ca="1">IFERROR(M257+M270,"")</f>
        <v>1.2026736112602521E-2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2026-07-10T14:04:52Z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