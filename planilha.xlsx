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94" documentId="8_{AF585B22-221D-4780-BB9C-493D365A6A02}" xr6:coauthVersionLast="47" xr6:coauthVersionMax="47" xr10:uidLastSave="{3E5AF413-7EBA-4BD2-8F45-D6390F246BA0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F743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C31" i="1" s="1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756" i="4" l="1"/>
  <c r="F757" i="5"/>
  <c r="G756" i="5"/>
  <c r="G743" i="4"/>
  <c r="G757" i="4" s="1"/>
  <c r="G756" i="3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57" i="5" l="1"/>
  <c r="G541" i="6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<sst xmlns="http://schemas.openxmlformats.org/spreadsheetml/2006/main" count="11488" uniqueCount="419">
  <si>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</si>
  <si>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</si>
  <si>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</si>
  <si>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</si>
  <si>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</si>
  <si>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</si>
  <si>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</si>
  <si>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</si>
  <si>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</si>
  <si>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</si>
  <si>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</si>
  <si>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</si>
  <si>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</si>
  <si>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</si>
  <si>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</si>
  <si>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</si>
  <si>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</si>
  <si>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</si>
  <si>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</si>
  <si>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</si>
  <si>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</si>
  <si>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</si>
  <si>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</si>
  <si>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</si>
  <si>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</si>
  <si>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</si>
  <si>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</si>
  <si>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</si>
  <si>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</si>
  <si>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</si>
  <si>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</si>
  <si>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</si>
  <si>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</si>
  <si>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</si>
  <si>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</si>
  <si>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</si>
  <si>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</si>
  <si>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</si>
  <si>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</si>
  <si>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</si>
  <si>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</si>
  <si>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</si>
  <si>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</si>
  <si>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</si>
  <si>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</si>
  <si>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</si>
  <si>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</si>
  <si>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</si>
  <si>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</si>
  <si>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</si>
  <si>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</si>
  <si>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</si>
  <si>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</si>
  <si>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</si>
  <si>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</si>
  <si>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</si>
  <si>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</si>
  <si>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</si>
  <si>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</si>
  <si>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</si>
  <si>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</si>
  <si>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</si>
  <si>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</si>
  <si>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</si>
  <si>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</si>
  <si>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</si>
  <si>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</si>
  <si>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</si>
  <si>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</si>
  <si>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</si>
  <si>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</si>
  <si>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</si>
  <si>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</si>
  <si>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</si>
  <si>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</si>
  <si>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</si>
  <si>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</si>
  <si>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</si>
  <si>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</si>
  <si>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</si>
  <si>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</si>
  <si>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</si>
  <si>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</si>
  <si>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</si>
  <si>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</si>
  <si>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</si>
  <si>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</si>
  <si>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</si>
  <si>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</si>
  <si>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</si>
  <si>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</si>
  <si>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</si>
  <si>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</si>
  <si>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</si>
  <si>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</si>
  <si>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</si>
  <si>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</si>
  <si>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</si>
  <si>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</si>
  <si>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</si>
  <si>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</si>
  <si>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</si>
  <si>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</si>
  <si>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</si>
  <si>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</si>
  <si>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</si>
  <si>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</si>
  <si>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</si>
  <si>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</si>
  <si>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</si>
  <si>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</si>
  <si>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</si>
  <si>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</si>
  <si>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</si>
  <si>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</si>
  <si>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</si>
  <si>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</si>
  <si>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</si>
  <si>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</si>
  <si>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</si>
  <si>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</si>
  <si>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</si>
  <si>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</si>
  <si>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</si>
  <si>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</si>
  <si>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</si>
  <si>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</si>
  <si>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</si>
  <si>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</si>
  <si>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</si>
  <si>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</si>
  <si>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</si>
  <si>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</si>
  <si>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</si>
  <si>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</si>
  <si>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</si>
  <si>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</si>
  <si>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</si>
  <si>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</si>
  <si>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</si>
  <si>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</si>
  <si>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</si>
  <si>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</si>
  <si>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</si>
  <si>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</si>
  <si>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</si>
  <si>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</si>
  <si>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</si>
  <si>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</si>
  <si>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</si>
  <si>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</si>
  <si>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</si>
  <si>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</si>
  <si>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</si>
  <si>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</si>
  <si>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</si>
  <si>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</si>
  <si>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</si>
  <si>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</si>
  <si>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</si>
  <si>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</si>
  <si>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</si>
  <si>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</si>
  <si>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</si>
  <si>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</si>
  <si>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</si>
  <si>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</si>
  <si>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</si>
  <si>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</si>
  <si>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</si>
  <si>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</si>
  <si>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</si>
  <si>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</si>
  <si>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</si>
  <si>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</si>
  <si>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</si>
  <si>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</si>
  <si>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</si>
  <si>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</si>
  <si>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</si>
  <si>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</si>
  <si>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</si>
  <si>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</si>
  <si>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</si>
  <si>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</si>
  <si>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</si>
  <si>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</si>
  <si>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</si>
  <si>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</si>
  <si>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</si>
  <si>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</si>
  <si>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</si>
  <si>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</si>
  <si>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</si>
  <si>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</si>
  <si>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</si>
  <si>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</si>
  <si>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</si>
  <si>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</si>
  <si>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</si>
  <si>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</si>
  <si>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</si>
  <si>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</si>
  <si>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</si>
  <si>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</si>
  <si>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</si>
  <si>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</si>
  <si>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</si>
  <si>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</si>
  <si>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</si>
  <si>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</si>
  <si>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</si>
  <si>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</si>
  <si>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</si>
  <si>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</si>
  <si>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</si>
  <si>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</si>
  <si>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</si>
  <si>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</si>
  <si>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</si>
  <si>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</si>
  <si>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</si>
  <si>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</si>
  <si>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</si>
  <si>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</si>
  <si>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</si>
  <si>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</si>
  <si>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</si>
  <si>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</si>
  <si>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</si>
  <si>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</si>
  <si>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</si>
  <si>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</si>
  <si>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</si>
  <si>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</si>
  <si>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</si>
  <si>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</si>
  <si>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</si>
  <si>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</si>
  <si>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</si>
  <si>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</si>
  <si>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</si>
  <si>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</si>
  <si>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</si>
  <si>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</si>
  <si>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</si>
  <si>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</si>
  <si>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</si>
  <si>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</si>
  <si>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</si>
  <si>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</si>
  <si>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</si>
  <si>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</si>
  <si>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</si>
  <si>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</si>
  <si>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</si>
  <si>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</si>
  <si>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</si>
  <si>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</si>
  <si>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</si>
  <si>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</si>
  <si>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</si>
  <si>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</si>
  <si>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</si>
  <si>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</si>
  <si>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</si>
  <si>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</si>
  <si>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</si>
  <si>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</si>
  <si>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</si>
  <si>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</si>
  <si>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</si>
  <si>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</si>
  <si>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</si>
  <si>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</si>
  <si>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</si>
  <si>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</si>
  <si>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</si>
  <si>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</si>
  <si>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</si>
  <si>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</si>
  <si>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</si>
  <si>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</si>
  <si>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</si>
  <si>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</si>
  <si>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</si>
  <si>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</si>
  <si>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</si>
  <si>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</si>
  <si>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</si>
  <si>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</si>
  <si>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</si>
  <si>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</si>
  <si>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</si>
  <si>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</si>
  <si>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</si>
  <si>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</si>
  <si>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</si>
  <si>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</si>
  <si>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</si>
  <si>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</si>
  <si>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</si>
  <si>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</si>
  <si>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</si>
  <si>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</si>
  <si>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</si>
  <si>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</si>
  <si>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</si>
  <si>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</si>
  <si>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</si>
  <si>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</si>
  <si>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</si>
  <si>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</si>
  <si>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</si>
  <si>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</si>
  <si>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</si>
  <si>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</si>
  <si>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</si>
  <si>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</si>
  <si>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</si>
  <si>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</si>
  <si>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</si>
  <si>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</si>
  <si>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</si>
  <si>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</si>
  <si>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</si>
  <si>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</si>
  <si>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</si>
  <si>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</si>
  <si>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</si>
  <si>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</si>
  <si>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</si>
  <si>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</si>
  <si>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</si>
  <si>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</si>
  <si>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</si>
  <si>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</si>
  <si>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</si>
  <si>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</si>
  <si>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</si>
  <si>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</si>
  <si>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</si>
  <si>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</si>
  <si>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</si>
  <si>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</si>
  <si>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</si>
  <si>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</si>
  <si>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</si>
  <si>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</si>
  <si>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</si>
  <si>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</si>
  <si>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</si>
  <si>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</si>
  <si>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</si>
  <si>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</si>
  <si>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</si>
  <si>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</si>
  <si>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</si>
  <si>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</si>
  <si>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</si>
  <si>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</si>
  <si>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</si>
  <si>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</si>
  <si>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</si>
  <si>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</si>
  <si>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</si>
  <si>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</si>
  <si>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</si>
  <si>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</si>
  <si>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</si>
  <si>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</si>
  <si>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</si>
  <si>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</si>
  <si>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</si>
  <si>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</si>
  <si>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</si>
  <si>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</si>
  <si>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</si>
  <si>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</si>
  <si>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</si>
  <si>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</si>
  <si>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</si>
  <si>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</si>
  <si>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</si>
  <si>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</si>
  <si>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</si>
  <si>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</si>
  <si>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</si>
  <si>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</si>
  <si>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</si>
  <si>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</si>
  <si>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</si>
  <si>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</si>
  <si>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</si>
  <si>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</si>
  <si>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</si>
  <si>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</si>
  <si>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</si>
  <si>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</si>
  <si>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</si>
  <si>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</si>
  <si>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</si>
  <si>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</si>
  <si>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</si>
  <si>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</si>
  <si>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</si>
  <si>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</si>
  <si>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</si>
  <si>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</si>
  <si>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</si>
  <si>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</si>
  <si>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</si>
  <si>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</si>
  <si>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adicionou 2 grelhas e solda no queixo</t>
  </si>
  <si>
    <t>caminhão basculante</t>
  </si>
  <si>
    <t>Bomba não jogando material pro hidrociclone</t>
  </si>
  <si>
    <t>desobstrução</t>
  </si>
  <si>
    <t>material preso caiu de uma vez e fez moinho entupir</t>
  </si>
  <si>
    <t>alimentação da linha 2 no 5%,  material caindo com alimentação parada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</si>
</sst>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546875" defaultRowHeight="14.4" x14ac:dyDescent="0.3"/>
  <cols>
    <col min="1" max="1" width="17.5546875" customWidth="1"/>
    <col min="2" max="2" width="21" style="70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32" customWidth="1"/>
  </cols>
  <sheetData>
    <row r="1" spans="1:7" ht="31.5" customHeight="1" x14ac:dyDescent="0.3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 x14ac:dyDescent="0.3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3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3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3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3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3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3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3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3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3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 x14ac:dyDescent="0.3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 x14ac:dyDescent="0.3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 x14ac:dyDescent="0.3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 x14ac:dyDescent="0.3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 x14ac:dyDescent="0.3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 x14ac:dyDescent="0.3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 x14ac:dyDescent="0.3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 x14ac:dyDescent="0.3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 x14ac:dyDescent="0.3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 x14ac:dyDescent="0.3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 x14ac:dyDescent="0.3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 x14ac:dyDescent="0.3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 x14ac:dyDescent="0.3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 x14ac:dyDescent="0.3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 x14ac:dyDescent="0.3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 x14ac:dyDescent="0.3">
      <c r="H2" s="116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3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3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3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3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 x14ac:dyDescent="0.3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 x14ac:dyDescent="0.3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 x14ac:dyDescent="0.3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 x14ac:dyDescent="0.3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 x14ac:dyDescent="0.3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 x14ac:dyDescent="0.3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 x14ac:dyDescent="0.3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 x14ac:dyDescent="0.3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 x14ac:dyDescent="0.3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 x14ac:dyDescent="0.3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 x14ac:dyDescent="0.3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 x14ac:dyDescent="0.3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 x14ac:dyDescent="0.3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 x14ac:dyDescent="0.3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 x14ac:dyDescent="0.3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 x14ac:dyDescent="0.3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 x14ac:dyDescent="0.3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 x14ac:dyDescent="0.3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 x14ac:dyDescent="0.3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 x14ac:dyDescent="0.3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 x14ac:dyDescent="0.3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 x14ac:dyDescent="0.3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 x14ac:dyDescent="0.3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 x14ac:dyDescent="0.3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 x14ac:dyDescent="0.3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 x14ac:dyDescent="0.3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 x14ac:dyDescent="0.3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 x14ac:dyDescent="0.3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 x14ac:dyDescent="0.3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 x14ac:dyDescent="0.3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 x14ac:dyDescent="0.3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 x14ac:dyDescent="0.3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 x14ac:dyDescent="0.3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 x14ac:dyDescent="0.3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 x14ac:dyDescent="0.3">
      <c r="H57" s="116"/>
      <c r="I57" s="17"/>
      <c r="J57" s="17"/>
      <c r="K57" s="17" t="s">
        <v>50</v>
      </c>
      <c r="L57" s="17"/>
      <c r="M57" s="17" t="s">
        <v>415</v>
      </c>
    </row>
    <row r="58" spans="1:13" ht="15" customHeight="1" x14ac:dyDescent="0.3">
      <c r="H58" s="116"/>
      <c r="I58" s="16"/>
      <c r="J58" s="16"/>
      <c r="K58" s="16" t="s">
        <v>205</v>
      </c>
      <c r="L58" s="16"/>
      <c r="M58" s="16"/>
    </row>
    <row r="59" spans="1:13" ht="15" customHeight="1" x14ac:dyDescent="0.3">
      <c r="H59" s="116"/>
      <c r="I59" s="17"/>
      <c r="J59" s="17"/>
      <c r="K59" s="17" t="s">
        <v>206</v>
      </c>
      <c r="L59" s="17"/>
      <c r="M59" s="17"/>
    </row>
    <row r="60" spans="1:13" ht="15" customHeight="1" x14ac:dyDescent="0.3">
      <c r="H60" s="116"/>
      <c r="I60" s="16"/>
      <c r="J60" s="16"/>
      <c r="K60" s="86" t="s">
        <v>105</v>
      </c>
      <c r="L60" s="16"/>
      <c r="M60" s="16"/>
    </row>
    <row r="61" spans="1:13" ht="15" customHeight="1" x14ac:dyDescent="0.3">
      <c r="H61" s="116"/>
      <c r="I61" s="17"/>
      <c r="J61" s="17"/>
      <c r="K61" s="17" t="s">
        <v>207</v>
      </c>
      <c r="L61" s="17"/>
      <c r="M61" s="17"/>
    </row>
    <row r="62" spans="1:13" ht="15" customHeight="1" x14ac:dyDescent="0.3">
      <c r="H62" s="116"/>
      <c r="I62" s="16"/>
      <c r="J62" s="16"/>
      <c r="K62" s="16" t="s">
        <v>208</v>
      </c>
      <c r="L62" s="16"/>
      <c r="M62" s="16"/>
    </row>
    <row r="63" spans="1:13" ht="15" customHeight="1" x14ac:dyDescent="0.3">
      <c r="H63" s="116"/>
      <c r="I63" s="17"/>
      <c r="J63" s="17"/>
      <c r="K63" s="17" t="s">
        <v>209</v>
      </c>
      <c r="L63" s="17"/>
      <c r="M63" s="17"/>
    </row>
    <row r="64" spans="1:13" ht="15" customHeight="1" x14ac:dyDescent="0.3">
      <c r="H64" s="116"/>
      <c r="I64" s="16"/>
      <c r="J64" s="16"/>
      <c r="K64" s="16" t="s">
        <v>210</v>
      </c>
      <c r="L64" s="16"/>
      <c r="M64" s="16"/>
    </row>
    <row r="65" spans="8:13" ht="15" customHeight="1" x14ac:dyDescent="0.3">
      <c r="H65" s="116"/>
      <c r="I65" s="17"/>
      <c r="J65" s="17"/>
      <c r="K65" s="17" t="s">
        <v>211</v>
      </c>
      <c r="L65" s="17"/>
      <c r="M65" s="17"/>
    </row>
    <row r="66" spans="8:13" ht="15" customHeight="1" x14ac:dyDescent="0.3">
      <c r="H66" s="116"/>
      <c r="I66" s="16"/>
      <c r="J66" s="16"/>
      <c r="K66" s="16" t="s">
        <v>212</v>
      </c>
      <c r="L66" s="16"/>
      <c r="M66" s="16"/>
    </row>
    <row r="67" spans="8:13" ht="15" customHeight="1" x14ac:dyDescent="0.3">
      <c r="H67" s="116"/>
      <c r="I67" s="17"/>
      <c r="J67" s="17"/>
      <c r="K67" s="17" t="s">
        <v>213</v>
      </c>
      <c r="L67" s="17"/>
      <c r="M67" s="17"/>
    </row>
    <row r="68" spans="8:13" ht="15" customHeight="1" x14ac:dyDescent="0.3">
      <c r="H68" s="116"/>
      <c r="I68" s="16"/>
      <c r="J68" s="16"/>
      <c r="K68" s="16" t="s">
        <v>214</v>
      </c>
      <c r="L68" s="16"/>
      <c r="M68" s="16"/>
    </row>
    <row r="69" spans="8:13" ht="15" customHeight="1" x14ac:dyDescent="0.3">
      <c r="H69" s="116"/>
      <c r="I69" s="17"/>
      <c r="J69" s="17"/>
      <c r="K69" s="17" t="s">
        <v>215</v>
      </c>
      <c r="L69" s="17"/>
      <c r="M69" s="17"/>
    </row>
    <row r="70" spans="8:13" ht="15" customHeight="1" x14ac:dyDescent="0.3">
      <c r="H70" s="116"/>
      <c r="I70" s="16"/>
      <c r="J70" s="16"/>
      <c r="K70" s="16" t="s">
        <v>216</v>
      </c>
      <c r="L70" s="16"/>
      <c r="M70" s="16"/>
    </row>
    <row r="71" spans="8:13" ht="15" customHeight="1" x14ac:dyDescent="0.3">
      <c r="H71" s="116"/>
      <c r="I71" s="17"/>
      <c r="J71" s="17"/>
      <c r="K71" s="17" t="s">
        <v>217</v>
      </c>
      <c r="L71" s="17"/>
      <c r="M71" s="17"/>
    </row>
    <row r="72" spans="8:13" ht="15" customHeight="1" x14ac:dyDescent="0.3">
      <c r="H72" s="116"/>
      <c r="I72" s="16"/>
      <c r="J72" s="16"/>
      <c r="K72" s="16" t="s">
        <v>218</v>
      </c>
      <c r="L72" s="16"/>
      <c r="M72" s="16"/>
    </row>
    <row r="73" spans="8:13" ht="15" customHeight="1" x14ac:dyDescent="0.3">
      <c r="H73" s="116"/>
      <c r="I73" s="17"/>
      <c r="J73" s="17"/>
      <c r="K73" s="17" t="s">
        <v>219</v>
      </c>
      <c r="L73" s="17"/>
      <c r="M73" s="17"/>
    </row>
    <row r="74" spans="8:13" ht="15" customHeight="1" x14ac:dyDescent="0.3">
      <c r="H74" s="116"/>
      <c r="I74" s="16"/>
      <c r="J74" s="16"/>
      <c r="K74" s="16"/>
      <c r="L74" s="16"/>
      <c r="M74" s="16"/>
    </row>
    <row r="75" spans="8:13" ht="15" customHeight="1" x14ac:dyDescent="0.3">
      <c r="H75" s="116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27" activePane="bottomLeft" state="frozen"/>
      <selection pane="bottomLeft" activeCell="F741" sqref="F741"/>
    </sheetView>
  </sheetViews>
  <sheetFormatPr defaultColWidth="8.5546875" defaultRowHeight="14.4" x14ac:dyDescent="0.3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79.4414062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 x14ac:dyDescent="0.3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 x14ac:dyDescent="0.3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 x14ac:dyDescent="0.3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 x14ac:dyDescent="0.3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 x14ac:dyDescent="0.3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 x14ac:dyDescent="0.3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 x14ac:dyDescent="0.3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 x14ac:dyDescent="0.3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 x14ac:dyDescent="0.3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 x14ac:dyDescent="0.3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 x14ac:dyDescent="0.3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 x14ac:dyDescent="0.3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 x14ac:dyDescent="0.3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 x14ac:dyDescent="0.3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 x14ac:dyDescent="0.3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 x14ac:dyDescent="0.3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 x14ac:dyDescent="0.3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 x14ac:dyDescent="0.3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 x14ac:dyDescent="0.3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 x14ac:dyDescent="0.3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 x14ac:dyDescent="0.3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 x14ac:dyDescent="0.3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 x14ac:dyDescent="0.3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 x14ac:dyDescent="0.3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3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 x14ac:dyDescent="0.3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 x14ac:dyDescent="0.3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 x14ac:dyDescent="0.3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3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3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 x14ac:dyDescent="0.3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3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3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 x14ac:dyDescent="0.3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 x14ac:dyDescent="0.3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 x14ac:dyDescent="0.3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 x14ac:dyDescent="0.3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3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 x14ac:dyDescent="0.3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 x14ac:dyDescent="0.3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 x14ac:dyDescent="0.3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 x14ac:dyDescent="0.3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 x14ac:dyDescent="0.3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 x14ac:dyDescent="0.3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3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 x14ac:dyDescent="0.3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 x14ac:dyDescent="0.3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3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 x14ac:dyDescent="0.3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 x14ac:dyDescent="0.3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 x14ac:dyDescent="0.3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 x14ac:dyDescent="0.3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 x14ac:dyDescent="0.3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 x14ac:dyDescent="0.3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 x14ac:dyDescent="0.3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 x14ac:dyDescent="0.3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 x14ac:dyDescent="0.3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 x14ac:dyDescent="0.3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 x14ac:dyDescent="0.3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3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 x14ac:dyDescent="0.3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 x14ac:dyDescent="0.3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 x14ac:dyDescent="0.3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 x14ac:dyDescent="0.3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 x14ac:dyDescent="0.3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 x14ac:dyDescent="0.3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 x14ac:dyDescent="0.3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 x14ac:dyDescent="0.3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 x14ac:dyDescent="0.3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 x14ac:dyDescent="0.3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 x14ac:dyDescent="0.3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3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 x14ac:dyDescent="0.3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3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3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3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3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 x14ac:dyDescent="0.3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 x14ac:dyDescent="0.3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 x14ac:dyDescent="0.3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3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 x14ac:dyDescent="0.3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3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3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 x14ac:dyDescent="0.3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 x14ac:dyDescent="0.3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3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 x14ac:dyDescent="0.3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 x14ac:dyDescent="0.3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3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3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 x14ac:dyDescent="0.3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3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3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 x14ac:dyDescent="0.3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 x14ac:dyDescent="0.3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 x14ac:dyDescent="0.3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 x14ac:dyDescent="0.3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 x14ac:dyDescent="0.3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 x14ac:dyDescent="0.3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 x14ac:dyDescent="0.3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 x14ac:dyDescent="0.3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 x14ac:dyDescent="0.3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 x14ac:dyDescent="0.3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 x14ac:dyDescent="0.3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 x14ac:dyDescent="0.3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 x14ac:dyDescent="0.3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 x14ac:dyDescent="0.3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 x14ac:dyDescent="0.3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 x14ac:dyDescent="0.3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 x14ac:dyDescent="0.3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 x14ac:dyDescent="0.3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 x14ac:dyDescent="0.3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 x14ac:dyDescent="0.3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 x14ac:dyDescent="0.3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 x14ac:dyDescent="0.3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 x14ac:dyDescent="0.3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 x14ac:dyDescent="0.3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 x14ac:dyDescent="0.3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 x14ac:dyDescent="0.3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 x14ac:dyDescent="0.3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 x14ac:dyDescent="0.3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9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 x14ac:dyDescent="0.3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3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3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3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3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3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3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3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3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3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3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 x14ac:dyDescent="0.3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 x14ac:dyDescent="0.3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 x14ac:dyDescent="0.3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 x14ac:dyDescent="0.3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 x14ac:dyDescent="0.3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 x14ac:dyDescent="0.3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 x14ac:dyDescent="0.3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 x14ac:dyDescent="0.3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 x14ac:dyDescent="0.3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 x14ac:dyDescent="0.3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 x14ac:dyDescent="0.3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 x14ac:dyDescent="0.3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 x14ac:dyDescent="0.3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 x14ac:dyDescent="0.3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 x14ac:dyDescent="0.3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 x14ac:dyDescent="0.3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 x14ac:dyDescent="0.3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 x14ac:dyDescent="0.3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 x14ac:dyDescent="0.3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 x14ac:dyDescent="0.3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 x14ac:dyDescent="0.3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 x14ac:dyDescent="0.3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 x14ac:dyDescent="0.3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 x14ac:dyDescent="0.3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 x14ac:dyDescent="0.3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 x14ac:dyDescent="0.3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 x14ac:dyDescent="0.3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 x14ac:dyDescent="0.3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 x14ac:dyDescent="0.3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 x14ac:dyDescent="0.3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 x14ac:dyDescent="0.3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 x14ac:dyDescent="0.3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 x14ac:dyDescent="0.3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 x14ac:dyDescent="0.3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 x14ac:dyDescent="0.3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 x14ac:dyDescent="0.3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 x14ac:dyDescent="0.3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 x14ac:dyDescent="0.3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 x14ac:dyDescent="0.3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 x14ac:dyDescent="0.3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 x14ac:dyDescent="0.3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 x14ac:dyDescent="0.3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 x14ac:dyDescent="0.3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 x14ac:dyDescent="0.3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414</v>
      </c>
      <c r="O731" s="47"/>
    </row>
    <row r="732" spans="1:15" ht="15" customHeight="1" x14ac:dyDescent="0.3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>
        <v>1888710</v>
      </c>
    </row>
    <row r="744" spans="1:15" ht="15" customHeight="1" x14ac:dyDescent="0.3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231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416</v>
      </c>
      <c r="O744" s="47"/>
    </row>
    <row r="745" spans="1:15" ht="15" customHeight="1" x14ac:dyDescent="0.3">
      <c r="A745" s="69">
        <v>46231</v>
      </c>
      <c r="B745" s="32">
        <f t="shared" ref="B745:B755" si="167">B744+TIME(0,60,0)</f>
        <v>0.87499999999999967</v>
      </c>
      <c r="C745" s="81" t="s">
        <v>21</v>
      </c>
      <c r="D745" s="118" t="s">
        <v>30</v>
      </c>
      <c r="E745" s="118" t="s">
        <v>231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231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46231</v>
      </c>
      <c r="B747" s="32">
        <f t="shared" si="167"/>
        <v>0.95833333333333293</v>
      </c>
      <c r="C747" s="81" t="s">
        <v>21</v>
      </c>
      <c r="D747" s="118" t="s">
        <v>30</v>
      </c>
      <c r="E747" s="118" t="s">
        <v>231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231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46231</v>
      </c>
      <c r="B749" s="32">
        <f t="shared" si="167"/>
        <v>1.0416666666666663</v>
      </c>
      <c r="C749" s="81" t="s">
        <v>21</v>
      </c>
      <c r="D749" s="118" t="s">
        <v>30</v>
      </c>
      <c r="E749" s="118" t="s">
        <v>231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231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46231</v>
      </c>
      <c r="B751" s="32">
        <f t="shared" si="167"/>
        <v>1.1249999999999998</v>
      </c>
      <c r="C751" s="81" t="s">
        <v>21</v>
      </c>
      <c r="D751" s="118" t="s">
        <v>30</v>
      </c>
      <c r="E751" s="118" t="s">
        <v>231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231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46231</v>
      </c>
      <c r="B753" s="32">
        <f t="shared" si="167"/>
        <v>1.2083333333333333</v>
      </c>
      <c r="C753" s="81" t="s">
        <v>21</v>
      </c>
      <c r="D753" s="118" t="s">
        <v>30</v>
      </c>
      <c r="E753" s="118" t="s">
        <v>231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231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46231</v>
      </c>
      <c r="B755" s="32">
        <f t="shared" si="167"/>
        <v>1.2916666666666667</v>
      </c>
      <c r="C755" s="81" t="s">
        <v>21</v>
      </c>
      <c r="D755" s="118" t="s">
        <v>30</v>
      </c>
      <c r="E755" s="118" t="s">
        <v>231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234</v>
      </c>
      <c r="O756" s="39">
        <v>1649510</v>
      </c>
    </row>
    <row r="757" spans="1:15" ht="18" customHeight="1" x14ac:dyDescent="0.3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237</v>
      </c>
      <c r="O757" s="48">
        <f>IFERROR(O743+O756,"")</f>
        <v>3538220</v>
      </c>
    </row>
    <row r="758" spans="1:15" ht="15" customHeight="1" x14ac:dyDescent="0.3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18</v>
      </c>
      <c r="I758" s="26" t="s">
        <v>23</v>
      </c>
      <c r="J758" s="26" t="s">
        <v>154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6.9317129673436284E-3</v>
      </c>
      <c r="N758" s="46"/>
      <c r="O758" s="47"/>
    </row>
    <row r="759" spans="1:15" ht="15" customHeight="1" x14ac:dyDescent="0.3">
      <c r="A759" s="69">
        <v>46232</v>
      </c>
      <c r="B759" s="32">
        <f t="shared" ref="B759:B769" si="170">B758+TIME(0,60,0)</f>
        <v>0.37499999999999967</v>
      </c>
      <c r="C759" s="81" t="s">
        <v>29</v>
      </c>
      <c r="D759" s="118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46232</v>
      </c>
      <c r="B761" s="32">
        <f t="shared" si="170"/>
        <v>0.45833333333333304</v>
      </c>
      <c r="C761" s="81" t="s">
        <v>29</v>
      </c>
      <c r="D761" s="118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46232</v>
      </c>
      <c r="B763" s="32">
        <f t="shared" si="170"/>
        <v>0.54166666666666641</v>
      </c>
      <c r="C763" s="81" t="s">
        <v>29</v>
      </c>
      <c r="D763" s="118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46232</v>
      </c>
      <c r="B765" s="32">
        <f t="shared" si="170"/>
        <v>0.62499999999999967</v>
      </c>
      <c r="C765" s="81" t="s">
        <v>29</v>
      </c>
      <c r="D765" s="118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46232</v>
      </c>
      <c r="B767" s="32">
        <f t="shared" si="170"/>
        <v>0.70833333333333293</v>
      </c>
      <c r="C767" s="81" t="s">
        <v>29</v>
      </c>
      <c r="D767" s="118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46232</v>
      </c>
      <c r="B769" s="32">
        <f t="shared" si="170"/>
        <v>0.79166666666666619</v>
      </c>
      <c r="C769" s="81" t="s">
        <v>29</v>
      </c>
      <c r="D769" s="118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6.9317129673436284E-3</v>
      </c>
      <c r="N770" s="36" t="s">
        <v>234</v>
      </c>
      <c r="O770" s="39"/>
    </row>
    <row r="771" spans="1:15" ht="15" customHeight="1" x14ac:dyDescent="0.3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 x14ac:dyDescent="0.3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6.9317129673436284E-3</v>
      </c>
      <c r="N784" s="40" t="s">
        <v>237</v>
      </c>
      <c r="O784" s="48">
        <f>IFERROR(O770+O783,"")</f>
        <v>0</v>
      </c>
    </row>
    <row r="785" spans="1:15" ht="15" customHeight="1" x14ac:dyDescent="0.3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 x14ac:dyDescent="0.3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 x14ac:dyDescent="0.3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4" activePane="bottomLeft" state="frozen"/>
      <selection pane="bottomLeft" activeCell="P756" sqref="P756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9.33203125" style="20" customWidth="1"/>
    <col min="10" max="10" width="46.1093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53.5546875" style="20" customWidth="1"/>
    <col min="15" max="15" width="20" customWidth="1"/>
    <col min="16" max="16" width="20.109375" customWidth="1"/>
  </cols>
  <sheetData>
    <row r="1" spans="1:15" ht="37.5" customHeight="1" x14ac:dyDescent="0.3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 x14ac:dyDescent="0.3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 x14ac:dyDescent="0.3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 x14ac:dyDescent="0.3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 x14ac:dyDescent="0.3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 x14ac:dyDescent="0.3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 x14ac:dyDescent="0.3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 x14ac:dyDescent="0.3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 x14ac:dyDescent="0.3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 x14ac:dyDescent="0.3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 x14ac:dyDescent="0.3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 x14ac:dyDescent="0.3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 x14ac:dyDescent="0.3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 x14ac:dyDescent="0.3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 x14ac:dyDescent="0.3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 x14ac:dyDescent="0.3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 x14ac:dyDescent="0.3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 x14ac:dyDescent="0.3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 x14ac:dyDescent="0.3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 x14ac:dyDescent="0.3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 x14ac:dyDescent="0.3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 x14ac:dyDescent="0.3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 x14ac:dyDescent="0.3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 x14ac:dyDescent="0.3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 x14ac:dyDescent="0.3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 x14ac:dyDescent="0.3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 x14ac:dyDescent="0.3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 x14ac:dyDescent="0.3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 x14ac:dyDescent="0.3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 x14ac:dyDescent="0.3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 x14ac:dyDescent="0.3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 x14ac:dyDescent="0.3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 x14ac:dyDescent="0.3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 x14ac:dyDescent="0.3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 x14ac:dyDescent="0.3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 x14ac:dyDescent="0.3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 x14ac:dyDescent="0.3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3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 x14ac:dyDescent="0.3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3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 x14ac:dyDescent="0.3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 x14ac:dyDescent="0.3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3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 x14ac:dyDescent="0.3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3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3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 x14ac:dyDescent="0.3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 x14ac:dyDescent="0.3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 x14ac:dyDescent="0.3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 x14ac:dyDescent="0.3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 x14ac:dyDescent="0.3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 x14ac:dyDescent="0.3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3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 x14ac:dyDescent="0.3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3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3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3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 x14ac:dyDescent="0.3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3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 x14ac:dyDescent="0.3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 x14ac:dyDescent="0.3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 x14ac:dyDescent="0.3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 x14ac:dyDescent="0.3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3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3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3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3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3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 x14ac:dyDescent="0.3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 x14ac:dyDescent="0.3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 x14ac:dyDescent="0.3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 x14ac:dyDescent="0.3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3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 x14ac:dyDescent="0.3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3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 x14ac:dyDescent="0.3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3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3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3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3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 x14ac:dyDescent="0.3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 x14ac:dyDescent="0.3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3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3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3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 x14ac:dyDescent="0.3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 x14ac:dyDescent="0.3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3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 x14ac:dyDescent="0.3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3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 x14ac:dyDescent="0.3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 x14ac:dyDescent="0.3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 x14ac:dyDescent="0.3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 x14ac:dyDescent="0.3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3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3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3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 x14ac:dyDescent="0.3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 x14ac:dyDescent="0.3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3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 x14ac:dyDescent="0.3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3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 x14ac:dyDescent="0.3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 x14ac:dyDescent="0.3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 x14ac:dyDescent="0.3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3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3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3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3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3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 x14ac:dyDescent="0.3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3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3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3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3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3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3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3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3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3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3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3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5.9015046295826323E-2</v>
      </c>
      <c r="N377" s="46"/>
      <c r="O377" s="47"/>
    </row>
    <row r="378" spans="1:15" ht="15.75" customHeight="1" x14ac:dyDescent="0.3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0.21665393518471521</v>
      </c>
      <c r="N378" s="36" t="s">
        <v>234</v>
      </c>
      <c r="O378" s="77">
        <v>511980</v>
      </c>
    </row>
    <row r="379" spans="1:15" ht="18" customHeight="1" x14ac:dyDescent="0.3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0.32637615740693737</v>
      </c>
      <c r="N379" s="40" t="s">
        <v>237</v>
      </c>
      <c r="O379" s="83">
        <f>IFERROR(O365+O378,"")</f>
        <v>1320530</v>
      </c>
    </row>
    <row r="380" spans="1:15" ht="15" customHeight="1" x14ac:dyDescent="0.3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3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3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3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 x14ac:dyDescent="0.3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 x14ac:dyDescent="0.3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 x14ac:dyDescent="0.3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 x14ac:dyDescent="0.3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 x14ac:dyDescent="0.3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3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3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3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 x14ac:dyDescent="0.3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 x14ac:dyDescent="0.3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 x14ac:dyDescent="0.3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 x14ac:dyDescent="0.3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 x14ac:dyDescent="0.3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 x14ac:dyDescent="0.3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 x14ac:dyDescent="0.3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 x14ac:dyDescent="0.3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 x14ac:dyDescent="0.3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 x14ac:dyDescent="0.3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 x14ac:dyDescent="0.3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 x14ac:dyDescent="0.3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 x14ac:dyDescent="0.3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3.7487152774701826E-2</v>
      </c>
      <c r="N423" s="46"/>
      <c r="O423" s="47"/>
    </row>
    <row r="424" spans="1:15" ht="15" customHeight="1" x14ac:dyDescent="0.3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0.20832048610803519</v>
      </c>
      <c r="N432" s="36" t="s">
        <v>234</v>
      </c>
      <c r="O432" s="77">
        <v>484540</v>
      </c>
    </row>
    <row r="433" spans="1:15" ht="18" customHeight="1" x14ac:dyDescent="0.3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0.35345937499692404</v>
      </c>
      <c r="N433" s="40" t="s">
        <v>237</v>
      </c>
      <c r="O433" s="83">
        <f>IFERROR(O419+O432,"")</f>
        <v>1184540</v>
      </c>
    </row>
    <row r="434" spans="1:15" ht="15" customHeight="1" x14ac:dyDescent="0.3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 x14ac:dyDescent="0.3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 x14ac:dyDescent="0.3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 x14ac:dyDescent="0.3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 x14ac:dyDescent="0.3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 x14ac:dyDescent="0.3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 x14ac:dyDescent="0.3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 x14ac:dyDescent="0.3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 x14ac:dyDescent="0.3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 x14ac:dyDescent="0.3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 x14ac:dyDescent="0.3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 x14ac:dyDescent="0.3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 x14ac:dyDescent="0.3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 x14ac:dyDescent="0.3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 x14ac:dyDescent="0.3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 x14ac:dyDescent="0.3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 x14ac:dyDescent="0.3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 x14ac:dyDescent="0.3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 x14ac:dyDescent="0.3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 x14ac:dyDescent="0.3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 x14ac:dyDescent="0.3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 x14ac:dyDescent="0.3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 x14ac:dyDescent="0.3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 x14ac:dyDescent="0.3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 x14ac:dyDescent="0.3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 x14ac:dyDescent="0.3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 x14ac:dyDescent="0.3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 x14ac:dyDescent="0.3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 x14ac:dyDescent="0.3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 x14ac:dyDescent="0.3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 x14ac:dyDescent="0.3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 x14ac:dyDescent="0.3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 x14ac:dyDescent="0.3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 x14ac:dyDescent="0.3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 x14ac:dyDescent="0.3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 x14ac:dyDescent="0.3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 x14ac:dyDescent="0.3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 x14ac:dyDescent="0.3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 x14ac:dyDescent="0.3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 x14ac:dyDescent="0.3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 x14ac:dyDescent="0.3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 x14ac:dyDescent="0.3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 x14ac:dyDescent="0.3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 x14ac:dyDescent="0.3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 x14ac:dyDescent="0.3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 x14ac:dyDescent="0.3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 x14ac:dyDescent="0.3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 x14ac:dyDescent="0.3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 x14ac:dyDescent="0.3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 x14ac:dyDescent="0.3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 x14ac:dyDescent="0.3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 x14ac:dyDescent="0.3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 x14ac:dyDescent="0.3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 x14ac:dyDescent="0.3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 x14ac:dyDescent="0.3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 x14ac:dyDescent="0.3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 x14ac:dyDescent="0.3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 x14ac:dyDescent="0.3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 x14ac:dyDescent="0.3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 x14ac:dyDescent="0.3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 x14ac:dyDescent="0.3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 x14ac:dyDescent="0.3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 x14ac:dyDescent="0.3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 x14ac:dyDescent="0.3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 x14ac:dyDescent="0.3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 x14ac:dyDescent="0.3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 x14ac:dyDescent="0.3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 x14ac:dyDescent="0.3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 x14ac:dyDescent="0.3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 x14ac:dyDescent="0.3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 x14ac:dyDescent="0.3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 x14ac:dyDescent="0.3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 x14ac:dyDescent="0.3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 x14ac:dyDescent="0.3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 x14ac:dyDescent="0.3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 x14ac:dyDescent="0.3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 x14ac:dyDescent="0.3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 x14ac:dyDescent="0.3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 x14ac:dyDescent="0.3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 x14ac:dyDescent="0.3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 x14ac:dyDescent="0.3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 x14ac:dyDescent="0.3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 x14ac:dyDescent="0.3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 x14ac:dyDescent="0.3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 x14ac:dyDescent="0.3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 x14ac:dyDescent="0.3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 x14ac:dyDescent="0.3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 x14ac:dyDescent="0.3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 x14ac:dyDescent="0.3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 x14ac:dyDescent="0.3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 x14ac:dyDescent="0.3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 x14ac:dyDescent="0.3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 x14ac:dyDescent="0.3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 x14ac:dyDescent="0.3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 x14ac:dyDescent="0.3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 x14ac:dyDescent="0.3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 x14ac:dyDescent="0.3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 x14ac:dyDescent="0.3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 x14ac:dyDescent="0.3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 x14ac:dyDescent="0.3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 x14ac:dyDescent="0.3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 x14ac:dyDescent="0.3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 x14ac:dyDescent="0.3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 x14ac:dyDescent="0.3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 x14ac:dyDescent="0.3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 x14ac:dyDescent="0.3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 x14ac:dyDescent="0.3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 x14ac:dyDescent="0.3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 x14ac:dyDescent="0.3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 x14ac:dyDescent="0.3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 x14ac:dyDescent="0.3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 x14ac:dyDescent="0.3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 x14ac:dyDescent="0.3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 x14ac:dyDescent="0.3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 x14ac:dyDescent="0.3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 x14ac:dyDescent="0.3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 x14ac:dyDescent="0.3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 x14ac:dyDescent="0.3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 x14ac:dyDescent="0.3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 x14ac:dyDescent="0.3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9" t="s">
        <v>233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 x14ac:dyDescent="0.3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 x14ac:dyDescent="0.3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 x14ac:dyDescent="0.3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 x14ac:dyDescent="0.3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 x14ac:dyDescent="0.3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 x14ac:dyDescent="0.3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 x14ac:dyDescent="0.3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 x14ac:dyDescent="0.3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 x14ac:dyDescent="0.3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 x14ac:dyDescent="0.3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 x14ac:dyDescent="0.3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 x14ac:dyDescent="0.3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 x14ac:dyDescent="0.3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 x14ac:dyDescent="0.3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 x14ac:dyDescent="0.3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 x14ac:dyDescent="0.3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 x14ac:dyDescent="0.3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 x14ac:dyDescent="0.3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 x14ac:dyDescent="0.3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 x14ac:dyDescent="0.3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 x14ac:dyDescent="0.3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 x14ac:dyDescent="0.3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 x14ac:dyDescent="0.3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 x14ac:dyDescent="0.3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 x14ac:dyDescent="0.3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 x14ac:dyDescent="0.3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 x14ac:dyDescent="0.3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 x14ac:dyDescent="0.3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 x14ac:dyDescent="0.3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 x14ac:dyDescent="0.3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 x14ac:dyDescent="0.3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413</v>
      </c>
      <c r="O737" s="47"/>
    </row>
    <row r="738" spans="1:15" ht="15" customHeight="1" x14ac:dyDescent="0.3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>
        <v>658990</v>
      </c>
    </row>
    <row r="744" spans="1:15" ht="15" customHeight="1" x14ac:dyDescent="0.3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 x14ac:dyDescent="0.3">
      <c r="A745" s="69">
        <v>46231</v>
      </c>
      <c r="B745" s="32">
        <f t="shared" ref="B745:B755" si="167">B744+TIME(0,60,0)</f>
        <v>0.87499999999999967</v>
      </c>
      <c r="C745" s="81" t="s">
        <v>21</v>
      </c>
      <c r="D745" s="118" t="s">
        <v>30</v>
      </c>
      <c r="E745" s="118" t="s">
        <v>258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 x14ac:dyDescent="0.3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 x14ac:dyDescent="0.3">
      <c r="A747" s="69">
        <v>46231</v>
      </c>
      <c r="B747" s="32">
        <f t="shared" si="167"/>
        <v>0.95833333333333293</v>
      </c>
      <c r="C747" s="81" t="s">
        <v>21</v>
      </c>
      <c r="D747" s="118" t="s">
        <v>30</v>
      </c>
      <c r="E747" s="118" t="s">
        <v>258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 x14ac:dyDescent="0.3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 x14ac:dyDescent="0.3">
      <c r="A749" s="69">
        <v>46231</v>
      </c>
      <c r="B749" s="32">
        <f t="shared" si="167"/>
        <v>1.0416666666666663</v>
      </c>
      <c r="C749" s="81" t="s">
        <v>21</v>
      </c>
      <c r="D749" s="118" t="s">
        <v>30</v>
      </c>
      <c r="E749" s="118" t="s">
        <v>258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46231</v>
      </c>
      <c r="B751" s="32">
        <f t="shared" si="167"/>
        <v>1.1249999999999998</v>
      </c>
      <c r="C751" s="81" t="s">
        <v>21</v>
      </c>
      <c r="D751" s="118" t="s">
        <v>30</v>
      </c>
      <c r="E751" s="118" t="s">
        <v>258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46231</v>
      </c>
      <c r="B753" s="32">
        <f t="shared" si="167"/>
        <v>1.2083333333333333</v>
      </c>
      <c r="C753" s="81" t="s">
        <v>21</v>
      </c>
      <c r="D753" s="118" t="s">
        <v>30</v>
      </c>
      <c r="E753" s="118" t="s">
        <v>258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46231</v>
      </c>
      <c r="B755" s="32">
        <f t="shared" si="167"/>
        <v>1.2916666666666667</v>
      </c>
      <c r="C755" s="81" t="s">
        <v>21</v>
      </c>
      <c r="D755" s="118" t="s">
        <v>30</v>
      </c>
      <c r="E755" s="118" t="s">
        <v>258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234</v>
      </c>
      <c r="O756" s="39">
        <v>605420</v>
      </c>
    </row>
    <row r="757" spans="1:15" ht="18" customHeight="1" x14ac:dyDescent="0.3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237</v>
      </c>
      <c r="O757" s="83">
        <f>IFERROR(O743+O756,"")</f>
        <v>1264410</v>
      </c>
    </row>
    <row r="758" spans="1:15" ht="15" customHeight="1" x14ac:dyDescent="0.3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46232</v>
      </c>
      <c r="B759" s="32">
        <f t="shared" ref="B759:B769" si="170">B758+TIME(0,60,0)</f>
        <v>0.37499999999999967</v>
      </c>
      <c r="C759" s="81" t="s">
        <v>29</v>
      </c>
      <c r="D759" s="118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46232</v>
      </c>
      <c r="B761" s="32">
        <f t="shared" si="170"/>
        <v>0.45833333333333304</v>
      </c>
      <c r="C761" s="81" t="s">
        <v>29</v>
      </c>
      <c r="D761" s="118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46232</v>
      </c>
      <c r="B763" s="32">
        <f t="shared" si="170"/>
        <v>0.54166666666666641</v>
      </c>
      <c r="C763" s="81" t="s">
        <v>29</v>
      </c>
      <c r="D763" s="118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46232</v>
      </c>
      <c r="B765" s="32">
        <f t="shared" si="170"/>
        <v>0.62499999999999967</v>
      </c>
      <c r="C765" s="81" t="s">
        <v>29</v>
      </c>
      <c r="D765" s="118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46232</v>
      </c>
      <c r="B767" s="32">
        <f t="shared" si="170"/>
        <v>0.70833333333333293</v>
      </c>
      <c r="C767" s="81" t="s">
        <v>29</v>
      </c>
      <c r="D767" s="118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46232</v>
      </c>
      <c r="B769" s="32">
        <f t="shared" si="170"/>
        <v>0.79166666666666619</v>
      </c>
      <c r="C769" s="81" t="s">
        <v>29</v>
      </c>
      <c r="D769" s="118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 x14ac:dyDescent="0.3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 x14ac:dyDescent="0.3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 x14ac:dyDescent="0.3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 x14ac:dyDescent="0.3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 x14ac:dyDescent="0.3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O744" sqref="O744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 x14ac:dyDescent="0.3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 x14ac:dyDescent="0.3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 x14ac:dyDescent="0.3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 x14ac:dyDescent="0.3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 x14ac:dyDescent="0.3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 x14ac:dyDescent="0.3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 x14ac:dyDescent="0.3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 x14ac:dyDescent="0.3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 x14ac:dyDescent="0.3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 x14ac:dyDescent="0.3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 x14ac:dyDescent="0.3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 x14ac:dyDescent="0.3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 x14ac:dyDescent="0.3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 x14ac:dyDescent="0.3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 x14ac:dyDescent="0.3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 x14ac:dyDescent="0.3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 x14ac:dyDescent="0.3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 x14ac:dyDescent="0.3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 x14ac:dyDescent="0.3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 x14ac:dyDescent="0.3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 x14ac:dyDescent="0.3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 x14ac:dyDescent="0.3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 x14ac:dyDescent="0.3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 x14ac:dyDescent="0.3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 x14ac:dyDescent="0.3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 x14ac:dyDescent="0.3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 x14ac:dyDescent="0.3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 x14ac:dyDescent="0.3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3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3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 x14ac:dyDescent="0.3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3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3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3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3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 x14ac:dyDescent="0.3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3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3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 x14ac:dyDescent="0.3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 x14ac:dyDescent="0.3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3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 x14ac:dyDescent="0.3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3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3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 x14ac:dyDescent="0.3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3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3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3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 x14ac:dyDescent="0.3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 x14ac:dyDescent="0.3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3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3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3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3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 x14ac:dyDescent="0.3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3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3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3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3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 x14ac:dyDescent="0.3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 x14ac:dyDescent="0.3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3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3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3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3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 x14ac:dyDescent="0.3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3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 x14ac:dyDescent="0.3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3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3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3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 x14ac:dyDescent="0.3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3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 x14ac:dyDescent="0.3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 x14ac:dyDescent="0.3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3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3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3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3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3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3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3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 x14ac:dyDescent="0.3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3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 x14ac:dyDescent="0.3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3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3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 x14ac:dyDescent="0.3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3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3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 x14ac:dyDescent="0.3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 x14ac:dyDescent="0.3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3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3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3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 x14ac:dyDescent="0.3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3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 x14ac:dyDescent="0.3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 x14ac:dyDescent="0.3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3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3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3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 x14ac:dyDescent="0.3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 x14ac:dyDescent="0.3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 x14ac:dyDescent="0.3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3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3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 x14ac:dyDescent="0.3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3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3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3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 x14ac:dyDescent="0.3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3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3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3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 x14ac:dyDescent="0.3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 x14ac:dyDescent="0.3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3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 x14ac:dyDescent="0.3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3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3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3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 x14ac:dyDescent="0.3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 x14ac:dyDescent="0.3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3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3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3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 x14ac:dyDescent="0.3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3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 x14ac:dyDescent="0.3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 x14ac:dyDescent="0.3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 x14ac:dyDescent="0.3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 x14ac:dyDescent="0.3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 x14ac:dyDescent="0.3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 x14ac:dyDescent="0.3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3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 x14ac:dyDescent="0.3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 x14ac:dyDescent="0.3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 x14ac:dyDescent="0.3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 x14ac:dyDescent="0.3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 x14ac:dyDescent="0.3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 x14ac:dyDescent="0.3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 x14ac:dyDescent="0.3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 x14ac:dyDescent="0.3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 x14ac:dyDescent="0.3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 x14ac:dyDescent="0.3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 x14ac:dyDescent="0.3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 x14ac:dyDescent="0.3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 x14ac:dyDescent="0.3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 x14ac:dyDescent="0.3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 x14ac:dyDescent="0.3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 x14ac:dyDescent="0.3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 x14ac:dyDescent="0.3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 x14ac:dyDescent="0.3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 x14ac:dyDescent="0.3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 x14ac:dyDescent="0.3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 x14ac:dyDescent="0.3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 x14ac:dyDescent="0.3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 x14ac:dyDescent="0.3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 x14ac:dyDescent="0.3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 x14ac:dyDescent="0.3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 x14ac:dyDescent="0.3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 x14ac:dyDescent="0.3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 x14ac:dyDescent="0.3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 x14ac:dyDescent="0.3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 x14ac:dyDescent="0.3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 x14ac:dyDescent="0.3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 x14ac:dyDescent="0.3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 x14ac:dyDescent="0.3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 x14ac:dyDescent="0.3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 x14ac:dyDescent="0.3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 x14ac:dyDescent="0.3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 x14ac:dyDescent="0.3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 x14ac:dyDescent="0.3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 x14ac:dyDescent="0.3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 x14ac:dyDescent="0.3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 x14ac:dyDescent="0.3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 x14ac:dyDescent="0.3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 x14ac:dyDescent="0.3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 x14ac:dyDescent="0.3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 x14ac:dyDescent="0.3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 x14ac:dyDescent="0.3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 x14ac:dyDescent="0.3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 x14ac:dyDescent="0.3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 x14ac:dyDescent="0.3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 x14ac:dyDescent="0.3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 x14ac:dyDescent="0.3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 x14ac:dyDescent="0.3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 x14ac:dyDescent="0.3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 x14ac:dyDescent="0.3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 x14ac:dyDescent="0.3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 x14ac:dyDescent="0.3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 x14ac:dyDescent="0.3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 x14ac:dyDescent="0.3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 x14ac:dyDescent="0.3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 x14ac:dyDescent="0.3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 x14ac:dyDescent="0.3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 x14ac:dyDescent="0.3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 x14ac:dyDescent="0.3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 x14ac:dyDescent="0.3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 x14ac:dyDescent="0.3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 x14ac:dyDescent="0.3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 x14ac:dyDescent="0.3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 x14ac:dyDescent="0.3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 x14ac:dyDescent="0.3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 x14ac:dyDescent="0.3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 x14ac:dyDescent="0.3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 x14ac:dyDescent="0.3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 x14ac:dyDescent="0.3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 x14ac:dyDescent="0.3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 x14ac:dyDescent="0.3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 x14ac:dyDescent="0.3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 x14ac:dyDescent="0.3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 x14ac:dyDescent="0.3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 x14ac:dyDescent="0.3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 x14ac:dyDescent="0.3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 x14ac:dyDescent="0.3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 x14ac:dyDescent="0.3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 x14ac:dyDescent="0.3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 x14ac:dyDescent="0.3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 x14ac:dyDescent="0.3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 x14ac:dyDescent="0.3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 x14ac:dyDescent="0.3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 x14ac:dyDescent="0.3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 x14ac:dyDescent="0.3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 x14ac:dyDescent="0.3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 x14ac:dyDescent="0.3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 x14ac:dyDescent="0.3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 x14ac:dyDescent="0.3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 x14ac:dyDescent="0.3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 x14ac:dyDescent="0.3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 x14ac:dyDescent="0.3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 x14ac:dyDescent="0.3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 x14ac:dyDescent="0.3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 x14ac:dyDescent="0.3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 x14ac:dyDescent="0.3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 x14ac:dyDescent="0.3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 x14ac:dyDescent="0.3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 x14ac:dyDescent="0.3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 x14ac:dyDescent="0.3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 x14ac:dyDescent="0.3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319</v>
      </c>
      <c r="O735" s="47"/>
    </row>
    <row r="736" spans="1:15" ht="15" customHeight="1" x14ac:dyDescent="0.3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102">
        <f>IF(F741="","",IF(E741="PC 17",F741*4.2,IF(E741="PC 19",F741*5,"")))</f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>
        <v>6</v>
      </c>
      <c r="G742" s="102">
        <f>IF(F742="","",IF(E742="PC 17",F742*4.2,IF(E742="PC 19",F742*5,"")))</f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>
        <v>272000</v>
      </c>
    </row>
    <row r="744" spans="1:15" ht="15" customHeight="1" x14ac:dyDescent="0.3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 x14ac:dyDescent="0.3">
      <c r="A745" s="69">
        <v>46231</v>
      </c>
      <c r="B745" s="32">
        <f t="shared" ref="B745:B755" si="167">B744+TIME(0,60,0)</f>
        <v>0.87499999999999967</v>
      </c>
      <c r="C745" s="81" t="s">
        <v>21</v>
      </c>
      <c r="D745" s="118" t="s">
        <v>30</v>
      </c>
      <c r="E745" s="118" t="s">
        <v>258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417</v>
      </c>
      <c r="O745" s="47"/>
    </row>
    <row r="746" spans="1:15" ht="15" customHeight="1" x14ac:dyDescent="0.3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 x14ac:dyDescent="0.3">
      <c r="A747" s="69">
        <v>46231</v>
      </c>
      <c r="B747" s="32">
        <f t="shared" si="167"/>
        <v>0.95833333333333293</v>
      </c>
      <c r="C747" s="81" t="s">
        <v>21</v>
      </c>
      <c r="D747" s="118" t="s">
        <v>30</v>
      </c>
      <c r="E747" s="118" t="s">
        <v>258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418</v>
      </c>
      <c r="O747" s="47"/>
    </row>
    <row r="748" spans="1:15" ht="15" customHeight="1" x14ac:dyDescent="0.3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 x14ac:dyDescent="0.3">
      <c r="A749" s="69">
        <v>46231</v>
      </c>
      <c r="B749" s="32">
        <f t="shared" si="167"/>
        <v>1.0416666666666663</v>
      </c>
      <c r="C749" s="81" t="s">
        <v>21</v>
      </c>
      <c r="D749" s="118" t="s">
        <v>30</v>
      </c>
      <c r="E749" s="118" t="s">
        <v>258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 x14ac:dyDescent="0.3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 x14ac:dyDescent="0.3">
      <c r="A751" s="69">
        <v>46231</v>
      </c>
      <c r="B751" s="32">
        <f t="shared" si="167"/>
        <v>1.1249999999999998</v>
      </c>
      <c r="C751" s="81" t="s">
        <v>21</v>
      </c>
      <c r="D751" s="118" t="s">
        <v>30</v>
      </c>
      <c r="E751" s="118" t="s">
        <v>258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69">
        <v>46231</v>
      </c>
      <c r="B753" s="32">
        <f t="shared" si="167"/>
        <v>1.2083333333333333</v>
      </c>
      <c r="C753" s="81" t="s">
        <v>21</v>
      </c>
      <c r="D753" s="118" t="s">
        <v>30</v>
      </c>
      <c r="E753" s="118" t="s">
        <v>258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69">
        <v>46231</v>
      </c>
      <c r="B755" s="32">
        <f t="shared" si="167"/>
        <v>1.2916666666666667</v>
      </c>
      <c r="C755" s="81" t="s">
        <v>21</v>
      </c>
      <c r="D755" s="118" t="s">
        <v>30</v>
      </c>
      <c r="E755" s="118" t="s">
        <v>258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234</v>
      </c>
      <c r="O756" s="39">
        <v>154160</v>
      </c>
    </row>
    <row r="757" spans="1:15" ht="18" customHeight="1" x14ac:dyDescent="0.3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237</v>
      </c>
      <c r="O757" s="48">
        <f>IFERROR(O743+O756,"")</f>
        <v>426160</v>
      </c>
    </row>
    <row r="758" spans="1:15" ht="15" customHeight="1" x14ac:dyDescent="0.3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69">
        <v>46232</v>
      </c>
      <c r="B759" s="32">
        <f t="shared" ref="B759:B769" si="170">B758+TIME(0,60,0)</f>
        <v>0.37499999999999967</v>
      </c>
      <c r="C759" s="81" t="s">
        <v>29</v>
      </c>
      <c r="D759" s="118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69">
        <v>46232</v>
      </c>
      <c r="B761" s="32">
        <f t="shared" si="170"/>
        <v>0.45833333333333304</v>
      </c>
      <c r="C761" s="81" t="s">
        <v>29</v>
      </c>
      <c r="D761" s="118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69">
        <v>46232</v>
      </c>
      <c r="B763" s="32">
        <f t="shared" si="170"/>
        <v>0.54166666666666641</v>
      </c>
      <c r="C763" s="81" t="s">
        <v>29</v>
      </c>
      <c r="D763" s="118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69">
        <v>46232</v>
      </c>
      <c r="B765" s="32">
        <f t="shared" si="170"/>
        <v>0.62499999999999967</v>
      </c>
      <c r="C765" s="81" t="s">
        <v>29</v>
      </c>
      <c r="D765" s="118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69">
        <v>46232</v>
      </c>
      <c r="B767" s="32">
        <f t="shared" si="170"/>
        <v>0.70833333333333293</v>
      </c>
      <c r="C767" s="81" t="s">
        <v>29</v>
      </c>
      <c r="D767" s="118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69">
        <v>46232</v>
      </c>
      <c r="B769" s="32">
        <f t="shared" si="170"/>
        <v>0.79166666666666619</v>
      </c>
      <c r="C769" s="81" t="s">
        <v>29</v>
      </c>
      <c r="D769" s="118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 x14ac:dyDescent="0.3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 x14ac:dyDescent="0.3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 x14ac:dyDescent="0.3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 x14ac:dyDescent="0.3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 x14ac:dyDescent="0.3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L738" sqref="L738"/>
    </sheetView>
  </sheetViews>
  <sheetFormatPr defaultColWidth="8.5546875" defaultRowHeight="14.4" x14ac:dyDescent="0.3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48.44140625" style="57" customWidth="1"/>
    <col min="11" max="11" width="18.44140625" style="57" customWidth="1"/>
    <col min="12" max="12" width="14" style="58" customWidth="1"/>
    <col min="13" max="13" width="14" style="57" customWidth="1"/>
    <col min="14" max="14" width="52.5546875" style="57" customWidth="1"/>
    <col min="15" max="15" width="14" customWidth="1"/>
    <col min="16" max="16" width="9.44140625" bestFit="1" customWidth="1"/>
  </cols>
  <sheetData>
    <row r="1" spans="1:15" ht="37.5" customHeight="1" x14ac:dyDescent="0.3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 x14ac:dyDescent="0.3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 x14ac:dyDescent="0.3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 x14ac:dyDescent="0.3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 x14ac:dyDescent="0.3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 x14ac:dyDescent="0.3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 x14ac:dyDescent="0.3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 x14ac:dyDescent="0.3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 x14ac:dyDescent="0.3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 x14ac:dyDescent="0.3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 x14ac:dyDescent="0.3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 x14ac:dyDescent="0.3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 x14ac:dyDescent="0.3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 x14ac:dyDescent="0.3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 x14ac:dyDescent="0.3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 x14ac:dyDescent="0.3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 x14ac:dyDescent="0.3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 x14ac:dyDescent="0.3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 x14ac:dyDescent="0.3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 x14ac:dyDescent="0.3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 x14ac:dyDescent="0.3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 x14ac:dyDescent="0.3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 x14ac:dyDescent="0.3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 x14ac:dyDescent="0.3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 x14ac:dyDescent="0.3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 x14ac:dyDescent="0.3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 x14ac:dyDescent="0.3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 x14ac:dyDescent="0.3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 x14ac:dyDescent="0.3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 x14ac:dyDescent="0.3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4.9292708332359325E-2</v>
      </c>
      <c r="N128" s="27"/>
      <c r="O128" s="60"/>
    </row>
    <row r="129" spans="1:18" ht="15" customHeight="1" x14ac:dyDescent="0.3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 x14ac:dyDescent="0.3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0.24859826388791495</v>
      </c>
      <c r="N135" s="36" t="s">
        <v>234</v>
      </c>
      <c r="O135" s="39">
        <v>729290</v>
      </c>
    </row>
    <row r="136" spans="1:18" ht="18" customHeight="1" x14ac:dyDescent="0.3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0.61595937499902598</v>
      </c>
      <c r="N136" s="40" t="s">
        <v>237</v>
      </c>
      <c r="O136" s="48">
        <f>IFERROR(O122+O135,"")</f>
        <v>1003740</v>
      </c>
    </row>
    <row r="137" spans="1:18" ht="15" customHeight="1" x14ac:dyDescent="0.3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 x14ac:dyDescent="0.3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 x14ac:dyDescent="0.3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 x14ac:dyDescent="0.3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 x14ac:dyDescent="0.3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 x14ac:dyDescent="0.3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3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3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3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3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 x14ac:dyDescent="0.3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 x14ac:dyDescent="0.3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3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3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3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 x14ac:dyDescent="0.3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 x14ac:dyDescent="0.3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3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3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 x14ac:dyDescent="0.3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 x14ac:dyDescent="0.3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 x14ac:dyDescent="0.3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3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3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 x14ac:dyDescent="0.3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3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3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3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 x14ac:dyDescent="0.3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 x14ac:dyDescent="0.3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 x14ac:dyDescent="0.3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3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 x14ac:dyDescent="0.3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3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3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3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3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3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 x14ac:dyDescent="0.3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3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 x14ac:dyDescent="0.3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3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3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3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3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 x14ac:dyDescent="0.3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 x14ac:dyDescent="0.3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 x14ac:dyDescent="0.3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3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3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3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 x14ac:dyDescent="0.3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3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3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 x14ac:dyDescent="0.3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 x14ac:dyDescent="0.3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3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3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3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 x14ac:dyDescent="0.3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3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3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3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3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3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3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3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 x14ac:dyDescent="0.3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 x14ac:dyDescent="0.3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 x14ac:dyDescent="0.3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3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3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3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3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 x14ac:dyDescent="0.3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3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3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3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3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3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3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 x14ac:dyDescent="0.3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3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3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 x14ac:dyDescent="0.3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 x14ac:dyDescent="0.3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3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 x14ac:dyDescent="0.3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3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3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3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3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3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3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3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3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3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3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 x14ac:dyDescent="0.3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3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3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3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3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3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3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3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3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 x14ac:dyDescent="0.3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 x14ac:dyDescent="0.3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 x14ac:dyDescent="0.3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3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3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3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3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3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3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 x14ac:dyDescent="0.3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3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3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3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3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3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3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3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3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3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3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3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3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 x14ac:dyDescent="0.3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 x14ac:dyDescent="0.3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 x14ac:dyDescent="0.3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3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 x14ac:dyDescent="0.3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3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 x14ac:dyDescent="0.3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3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 x14ac:dyDescent="0.3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3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3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3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 x14ac:dyDescent="0.3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3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 x14ac:dyDescent="0.3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 x14ac:dyDescent="0.3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 x14ac:dyDescent="0.3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 x14ac:dyDescent="0.3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 x14ac:dyDescent="0.3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 x14ac:dyDescent="0.3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 x14ac:dyDescent="0.3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 x14ac:dyDescent="0.3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 x14ac:dyDescent="0.3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 x14ac:dyDescent="0.3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 x14ac:dyDescent="0.3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 x14ac:dyDescent="0.3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 x14ac:dyDescent="0.3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 x14ac:dyDescent="0.3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 x14ac:dyDescent="0.3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 x14ac:dyDescent="0.3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 x14ac:dyDescent="0.3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 x14ac:dyDescent="0.3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 x14ac:dyDescent="0.3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 x14ac:dyDescent="0.3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 x14ac:dyDescent="0.3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 x14ac:dyDescent="0.3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 x14ac:dyDescent="0.3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 x14ac:dyDescent="0.3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 x14ac:dyDescent="0.3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 x14ac:dyDescent="0.3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 x14ac:dyDescent="0.3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 x14ac:dyDescent="0.3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 x14ac:dyDescent="0.3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 x14ac:dyDescent="0.3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 x14ac:dyDescent="0.3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 x14ac:dyDescent="0.3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 x14ac:dyDescent="0.3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 x14ac:dyDescent="0.3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 x14ac:dyDescent="0.3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 x14ac:dyDescent="0.3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 x14ac:dyDescent="0.3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 x14ac:dyDescent="0.3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 x14ac:dyDescent="0.3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 x14ac:dyDescent="0.3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 x14ac:dyDescent="0.3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 x14ac:dyDescent="0.3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 x14ac:dyDescent="0.3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 x14ac:dyDescent="0.3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 x14ac:dyDescent="0.3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 x14ac:dyDescent="0.3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 x14ac:dyDescent="0.3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 x14ac:dyDescent="0.3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 x14ac:dyDescent="0.3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 x14ac:dyDescent="0.3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 x14ac:dyDescent="0.3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 x14ac:dyDescent="0.3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 x14ac:dyDescent="0.3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 x14ac:dyDescent="0.3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 x14ac:dyDescent="0.3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 x14ac:dyDescent="0.3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 x14ac:dyDescent="0.3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 x14ac:dyDescent="0.3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 x14ac:dyDescent="0.3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 x14ac:dyDescent="0.3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 x14ac:dyDescent="0.3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 x14ac:dyDescent="0.3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 x14ac:dyDescent="0.3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 x14ac:dyDescent="0.3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 x14ac:dyDescent="0.3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 x14ac:dyDescent="0.3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 x14ac:dyDescent="0.3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 x14ac:dyDescent="0.3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 x14ac:dyDescent="0.3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 x14ac:dyDescent="0.3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 x14ac:dyDescent="0.3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 x14ac:dyDescent="0.3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6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 x14ac:dyDescent="0.3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 x14ac:dyDescent="0.3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3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3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3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3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3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3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3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3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3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 x14ac:dyDescent="0.3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 x14ac:dyDescent="0.3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 x14ac:dyDescent="0.3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 x14ac:dyDescent="0.3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 x14ac:dyDescent="0.3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3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 x14ac:dyDescent="0.3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 x14ac:dyDescent="0.3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 x14ac:dyDescent="0.3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 x14ac:dyDescent="0.3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 x14ac:dyDescent="0.3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 x14ac:dyDescent="0.3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 x14ac:dyDescent="0.3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 x14ac:dyDescent="0.3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 x14ac:dyDescent="0.3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 x14ac:dyDescent="0.3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 x14ac:dyDescent="0.3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 x14ac:dyDescent="0.3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 x14ac:dyDescent="0.3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 x14ac:dyDescent="0.3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 x14ac:dyDescent="0.3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 x14ac:dyDescent="0.3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 x14ac:dyDescent="0.3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 x14ac:dyDescent="0.3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 x14ac:dyDescent="0.3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 x14ac:dyDescent="0.3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 x14ac:dyDescent="0.3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 x14ac:dyDescent="0.3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 x14ac:dyDescent="0.3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 x14ac:dyDescent="0.3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 x14ac:dyDescent="0.3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 x14ac:dyDescent="0.3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 x14ac:dyDescent="0.3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 x14ac:dyDescent="0.3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 x14ac:dyDescent="0.3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 x14ac:dyDescent="0.3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 x14ac:dyDescent="0.3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 x14ac:dyDescent="0.3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 x14ac:dyDescent="0.3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 x14ac:dyDescent="0.3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 x14ac:dyDescent="0.3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 x14ac:dyDescent="0.3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 x14ac:dyDescent="0.3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 x14ac:dyDescent="0.3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 x14ac:dyDescent="0.3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 x14ac:dyDescent="0.3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 x14ac:dyDescent="0.3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 x14ac:dyDescent="0.3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 x14ac:dyDescent="0.3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 x14ac:dyDescent="0.3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 x14ac:dyDescent="0.3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 x14ac:dyDescent="0.3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 x14ac:dyDescent="0.3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 x14ac:dyDescent="0.3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 x14ac:dyDescent="0.3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 x14ac:dyDescent="0.3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 x14ac:dyDescent="0.3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 x14ac:dyDescent="0.3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 x14ac:dyDescent="0.3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 x14ac:dyDescent="0.3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 x14ac:dyDescent="0.3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 x14ac:dyDescent="0.3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 x14ac:dyDescent="0.3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 x14ac:dyDescent="0.3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 x14ac:dyDescent="0.3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 x14ac:dyDescent="0.3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 x14ac:dyDescent="0.3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 x14ac:dyDescent="0.3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 x14ac:dyDescent="0.3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 x14ac:dyDescent="0.3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 x14ac:dyDescent="0.3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 x14ac:dyDescent="0.3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 x14ac:dyDescent="0.3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 x14ac:dyDescent="0.3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 x14ac:dyDescent="0.3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 x14ac:dyDescent="0.3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 x14ac:dyDescent="0.3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 x14ac:dyDescent="0.3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 x14ac:dyDescent="0.3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 x14ac:dyDescent="0.3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 x14ac:dyDescent="0.3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 x14ac:dyDescent="0.3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412</v>
      </c>
      <c r="O734" s="60"/>
    </row>
    <row r="735" spans="1:15" ht="15" customHeight="1" x14ac:dyDescent="0.3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 x14ac:dyDescent="0.3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 x14ac:dyDescent="0.3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 x14ac:dyDescent="0.3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 x14ac:dyDescent="0.3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 x14ac:dyDescent="0.3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>
        <v>635080</v>
      </c>
    </row>
    <row r="744" spans="1:15" ht="15" customHeight="1" x14ac:dyDescent="0.3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 x14ac:dyDescent="0.3">
      <c r="A745" s="69">
        <v>46231</v>
      </c>
      <c r="B745" s="32">
        <f t="shared" ref="B745:B755" si="167">B744+TIME(0,60,0)</f>
        <v>0.87499999999999967</v>
      </c>
      <c r="C745" s="81" t="s">
        <v>21</v>
      </c>
      <c r="D745" s="118" t="s">
        <v>30</v>
      </c>
      <c r="E745" s="118" t="s">
        <v>258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415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 x14ac:dyDescent="0.3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80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 x14ac:dyDescent="0.3">
      <c r="A747" s="69">
        <v>46231</v>
      </c>
      <c r="B747" s="32">
        <f t="shared" si="167"/>
        <v>0.95833333333333293</v>
      </c>
      <c r="C747" s="81" t="s">
        <v>21</v>
      </c>
      <c r="D747" s="118" t="s">
        <v>30</v>
      </c>
      <c r="E747" s="118" t="s">
        <v>258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415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 x14ac:dyDescent="0.3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 x14ac:dyDescent="0.3">
      <c r="A749" s="69">
        <v>46231</v>
      </c>
      <c r="B749" s="32">
        <f t="shared" si="167"/>
        <v>1.0416666666666663</v>
      </c>
      <c r="C749" s="81" t="s">
        <v>21</v>
      </c>
      <c r="D749" s="118" t="s">
        <v>30</v>
      </c>
      <c r="E749" s="118" t="s">
        <v>258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 x14ac:dyDescent="0.3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69">
        <v>46231</v>
      </c>
      <c r="B751" s="32">
        <f t="shared" si="167"/>
        <v>1.1249999999999998</v>
      </c>
      <c r="C751" s="81" t="s">
        <v>21</v>
      </c>
      <c r="D751" s="118" t="s">
        <v>30</v>
      </c>
      <c r="E751" s="118" t="s">
        <v>258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69">
        <v>46231</v>
      </c>
      <c r="B753" s="32">
        <f t="shared" si="167"/>
        <v>1.2083333333333333</v>
      </c>
      <c r="C753" s="81" t="s">
        <v>21</v>
      </c>
      <c r="D753" s="118" t="s">
        <v>30</v>
      </c>
      <c r="E753" s="118" t="s">
        <v>258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69">
        <v>46231</v>
      </c>
      <c r="B755" s="32">
        <f t="shared" si="167"/>
        <v>1.2916666666666667</v>
      </c>
      <c r="C755" s="81" t="s">
        <v>21</v>
      </c>
      <c r="D755" s="118" t="s">
        <v>30</v>
      </c>
      <c r="E755" s="118" t="s">
        <v>258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234</v>
      </c>
      <c r="O756" s="39">
        <v>545970</v>
      </c>
    </row>
    <row r="757" spans="1:15" ht="18" customHeight="1" x14ac:dyDescent="0.3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237</v>
      </c>
      <c r="O757" s="48">
        <f>IFERROR(O743+O756,"")</f>
        <v>1181050</v>
      </c>
    </row>
    <row r="758" spans="1:15" ht="15" customHeight="1" x14ac:dyDescent="0.3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6.9317129673436284E-3</v>
      </c>
      <c r="N758" s="27"/>
      <c r="O758" s="60"/>
    </row>
    <row r="759" spans="1:15" ht="15" customHeight="1" x14ac:dyDescent="0.3">
      <c r="A759" s="69">
        <v>46232</v>
      </c>
      <c r="B759" s="32">
        <f t="shared" ref="B759:B769" si="170">B758+TIME(0,60,0)</f>
        <v>0.37499999999999967</v>
      </c>
      <c r="C759" s="81" t="s">
        <v>29</v>
      </c>
      <c r="D759" s="118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69">
        <v>46232</v>
      </c>
      <c r="B761" s="32">
        <f t="shared" si="170"/>
        <v>0.45833333333333304</v>
      </c>
      <c r="C761" s="81" t="s">
        <v>29</v>
      </c>
      <c r="D761" s="118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69">
        <v>46232</v>
      </c>
      <c r="B763" s="32">
        <f t="shared" si="170"/>
        <v>0.54166666666666641</v>
      </c>
      <c r="C763" s="81" t="s">
        <v>29</v>
      </c>
      <c r="D763" s="118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69">
        <v>46232</v>
      </c>
      <c r="B765" s="32">
        <f t="shared" si="170"/>
        <v>0.62499999999999967</v>
      </c>
      <c r="C765" s="81" t="s">
        <v>29</v>
      </c>
      <c r="D765" s="118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69">
        <v>46232</v>
      </c>
      <c r="B767" s="32">
        <f t="shared" si="170"/>
        <v>0.70833333333333293</v>
      </c>
      <c r="C767" s="81" t="s">
        <v>29</v>
      </c>
      <c r="D767" s="118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69">
        <v>46232</v>
      </c>
      <c r="B769" s="32">
        <f t="shared" si="170"/>
        <v>0.79166666666666619</v>
      </c>
      <c r="C769" s="81" t="s">
        <v>29</v>
      </c>
      <c r="D769" s="118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6.9317129673436284E-3</v>
      </c>
      <c r="N770" s="36" t="s">
        <v>234</v>
      </c>
      <c r="O770" s="39"/>
    </row>
    <row r="771" spans="1:15" ht="15" customHeight="1" x14ac:dyDescent="0.3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 x14ac:dyDescent="0.3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6.9317129673436284E-3</v>
      </c>
      <c r="N784" s="40" t="s">
        <v>237</v>
      </c>
      <c r="O784" s="48">
        <f>IFERROR(O770+O783,"")</f>
        <v>0</v>
      </c>
    </row>
    <row r="785" spans="1:15" ht="15" customHeight="1" x14ac:dyDescent="0.3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 x14ac:dyDescent="0.3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 x14ac:dyDescent="0.3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2026-07-29T11:11:07Z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