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78" documentId="8_{AF585B22-221D-4780-BB9C-493D365A6A02}" xr6:coauthVersionLast="47" xr6:coauthVersionMax="47" xr10:uidLastSave="{76BB9F43-D703-4991-A7CE-2BD70B62FA0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<sst xmlns="http://schemas.openxmlformats.org/spreadsheetml/2006/main" count="2702" uniqueCount="239">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</sst>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N126" sqref="N1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 t="s">
        <v>18</v>
      </c>
      <c r="I125" s="33" t="s">
        <v>149</v>
      </c>
      <c r="J125" s="33" t="s">
        <v>146</v>
      </c>
      <c r="K125" s="29" t="s">
        <v>220</v>
      </c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17</v>
      </c>
      <c r="G126" s="28">
        <f t="shared" si="27"/>
        <v>85</v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79</v>
      </c>
      <c r="G135" s="36">
        <f>SUM(G123:G134)</f>
        <v>395</v>
      </c>
      <c r="H135" s="37"/>
      <c r="I135" s="37"/>
      <c r="J135" s="37"/>
      <c r="K135" s="37"/>
      <c r="L135" s="37"/>
      <c r="M135" s="38">
        <f ca="1">IFERROR(SUM(M123:M134),"")</f>
        <v>2.6388888888889017E-2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214</v>
      </c>
      <c r="G136" s="40">
        <f>G122+G135</f>
        <v>962</v>
      </c>
      <c r="H136" s="41"/>
      <c r="I136" s="41"/>
      <c r="J136" s="41"/>
      <c r="K136" s="41"/>
      <c r="L136" s="41"/>
      <c r="M136" s="42">
        <f ca="1">IFERROR(M122+M135,"")</f>
        <v>0.16805555555555568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36</v>
      </c>
      <c r="G135" s="36">
        <f>SUM(G123:G134)</f>
        <v>180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43</v>
      </c>
      <c r="G136" s="40">
        <f>G122+G135</f>
        <v>209.4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21" activePane="bottomLeft" state="frozen"/>
      <selection pane="bottomLeft" activeCell="K125" sqref="K1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231</v>
      </c>
      <c r="L58" s="29">
        <v>0.54097222222222219</v>
      </c>
      <c r="M58" s="30" t="str">
        <f t="shared" ca="1" si="13"/>
        <v/>
      </c>
      <c r="N58" s="27" t="s">
        <v>232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/>
      <c r="M124" s="30">
        <f t="shared" ca="1" si="28"/>
        <v>7.1556712937308475E-3</v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61"/>
      <c r="L135" s="61"/>
      <c r="M135" s="38">
        <f ca="1">IFERROR(SUM(M123:M134),"")</f>
        <v>6.6183449071508638E-2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116</v>
      </c>
      <c r="G136" s="40">
        <f>G122+G135</f>
        <v>536.79999999999995</v>
      </c>
      <c r="H136" s="41"/>
      <c r="I136" s="41"/>
      <c r="J136" s="41"/>
      <c r="K136" s="63"/>
      <c r="L136" s="63"/>
      <c r="M136" s="42">
        <f ca="1">IFERROR(M122+M135,"")</f>
        <v>0.43354456018261972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2026-07-06T03:15:24Z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