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7" documentId="13_ncr:1_{A6DBCFB4-28D9-4249-9038-216934055CA6}" xr6:coauthVersionLast="47" xr6:coauthVersionMax="47" xr10:uidLastSave="{7D39B50B-FE54-4153-8D40-99F58DAC731A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<sst xmlns="http://schemas.openxmlformats.org/spreadsheetml/2006/main" count="8660" uniqueCount="399">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</sst>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864280</v>
      </c>
      <c r="G22" s="20">
        <f t="shared" si="0"/>
        <v>2726800</v>
      </c>
      <c r="H22" s="21">
        <f>IFERROR('Linha 1'!T514+'Linha 2'!T514+'Linha 3'!T514,0)</f>
        <v>451.52657999999997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28979710</v>
      </c>
      <c r="G35" s="30">
        <f t="shared" si="2"/>
        <v>64548300</v>
      </c>
      <c r="H35" s="31">
        <f t="shared" si="2"/>
        <v>5397.0207450601883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O514" sqref="O51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/>
      <c r="M502" s="66">
        <f t="shared" ca="1" si="108"/>
        <v>3.347523148113396E-2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3.9725231481133966E-2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0.15153078703668962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00" activePane="bottomLeft" state="frozen"/>
      <selection pane="bottomLeft" activeCell="G513" sqref="G51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0.16819745369866723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0.30708634258755496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0.39180856480977777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11.046481967213113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6.4437811475409825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4.6027008196721306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9.2054016393442613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7.3643213114754102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11.046481967213113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15.649182786885243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112.30589999999998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112.30589999999998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198.46686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198.46686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S514" sqref="S51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6.2499500000000001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8.0356499999999986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6.2499500000000001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5.3571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5.3571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10.7142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74.999399999999994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74.999399999999994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128.60339999999999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128.60339999999999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D512" sqref="D51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/>
      <c r="F512" s="92">
        <f>IFERROR(IF($D512="","",VLOOKUP($D512,Cadastro!$C$4:$E$7,3,FALSE())),"")</f>
        <v>0.35</v>
      </c>
      <c r="G512" s="89"/>
      <c r="H512" s="92" t="str">
        <f>IFERROR(IF($G512="","",$G512*$S$513/$G$513/Cadastro!$E$33),"")</f>
        <v/>
      </c>
      <c r="I512" s="93">
        <f>IFERROR(IF($D512="","",VLOOKUP($D512,Cadastro!$C$4:$G$7,5,FALSE())),"")</f>
        <v>0.6</v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2026-08-20T10:57:21Z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