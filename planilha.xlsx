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62" documentId="8_{C51EB6CB-002B-4D6B-B68F-DDEBDB4460C0}" xr6:coauthVersionLast="47" xr6:coauthVersionMax="47" xr10:uidLastSave="{4B122C91-84F0-46C2-A2D3-2ABC82F31371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<sst xmlns="http://schemas.openxmlformats.org/spreadsheetml/2006/main" count="3642" uniqueCount="288">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</sst>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F165" sqref="F1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233</v>
      </c>
      <c r="O162" s="44">
        <v>842000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237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231</v>
      </c>
      <c r="F164" s="27">
        <v>45</v>
      </c>
      <c r="G164" s="28">
        <f t="shared" ref="G164:G175" si="36">IF(F164="","",IF(E164="PC 17",F164*4.2,IF(E164="PC 19",F164*5,IF(E164="CB",F164*35,""))))</f>
        <v>225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231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231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231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231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231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231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231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231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231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231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231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45</v>
      </c>
      <c r="G176" s="36">
        <f>SUM(G164:G175)</f>
        <v>225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45</v>
      </c>
      <c r="G190" s="40">
        <f>G176+G189</f>
        <v>225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33" activePane="bottomLeft" state="frozen"/>
      <selection pane="bottomLeft" activeCell="F165" sqref="F1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0.21173622684727889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0.35062511573616778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0.43534733795839009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233</v>
      </c>
      <c r="O162" s="54">
        <v>501750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237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158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2</v>
      </c>
      <c r="G176" s="36">
        <f>SUM(G164:G175)</f>
        <v>8.4</v>
      </c>
      <c r="H176" s="37"/>
      <c r="I176" s="37"/>
      <c r="J176" s="37"/>
      <c r="K176" s="37"/>
      <c r="L176" s="37"/>
      <c r="M176" s="38">
        <f ca="1">IFERROR(SUM(M164:M175),"")</f>
        <v>3.125E-2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2</v>
      </c>
      <c r="G190" s="40">
        <f>G176+G189</f>
        <v>8.4</v>
      </c>
      <c r="H190" s="41"/>
      <c r="I190" s="41"/>
      <c r="J190" s="41"/>
      <c r="K190" s="41"/>
      <c r="L190" s="41"/>
      <c r="M190" s="42">
        <f ca="1">IFERROR(M176+M189,"")</f>
        <v>3.125E-2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44" zoomScale="50" zoomScaleNormal="50" workbookViewId="0">
      <selection activeCell="L165" sqref="L1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>
        <v>169760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3.4722222222222099E-3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3.4722222222222099E-3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L166" sqref="L16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233</v>
      </c>
      <c r="O162" s="39">
        <v>573230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237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2.4999999999999967E-2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2.4999999999999967E-2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2026-08-07T11:59:56Z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