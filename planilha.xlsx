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89" documentId="8_{C51EB6CB-002B-4D6B-B68F-DDEBDB4460C0}" xr6:coauthVersionLast="47" xr6:coauthVersionMax="47" xr10:uidLastSave="{951DC07C-BAD1-4640-BE52-46E9630BE214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<sst xmlns="http://schemas.openxmlformats.org/spreadsheetml/2006/main" count="5902" uniqueCount="344">
  <si>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</si>
  <si>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</si>
  <si>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</si>
  <si>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</si>
  <si>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</si>
  <si>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</si>
  <si>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</si>
  <si>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</si>
  <si>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</si>
  <si>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</si>
  <si>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</si>
  <si>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</si>
  <si>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</si>
  <si>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</si>
  <si>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</si>
  <si>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</si>
  <si>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</si>
  <si>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</si>
  <si>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</si>
  <si>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</si>
  <si>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</si>
  <si>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</si>
  <si>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</si>
  <si>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</si>
  <si>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</si>
  <si>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</si>
  <si>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</si>
  <si>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</si>
  <si>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</si>
  <si>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</si>
  <si>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</si>
  <si>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</si>
  <si>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</si>
  <si>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</si>
  <si>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</si>
  <si>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</si>
  <si>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</si>
  <si>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</si>
  <si>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</si>
  <si>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</si>
  <si>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</si>
  <si>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</si>
  <si>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</si>
  <si>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</si>
  <si>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</si>
  <si>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</si>
  <si>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</si>
  <si>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</si>
  <si>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</si>
  <si>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</si>
  <si>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</si>
  <si>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</si>
  <si>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</si>
  <si>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</si>
  <si>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</si>
  <si>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</si>
  <si>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</si>
  <si>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</si>
  <si>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</si>
  <si>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</si>
  <si>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</si>
  <si>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</si>
  <si>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</si>
  <si>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</si>
  <si>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</si>
  <si>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</si>
  <si>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</si>
  <si>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</si>
  <si>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</si>
  <si>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</si>
  <si>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</si>
  <si>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</si>
  <si>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</si>
  <si>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</si>
  <si>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</si>
  <si>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</si>
  <si>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</si>
  <si>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</si>
  <si>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</si>
  <si>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</si>
  <si>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</si>
  <si>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</si>
  <si>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</si>
  <si>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</si>
  <si>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</si>
  <si>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</si>
  <si>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</si>
  <si>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</si>
  <si>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</si>
  <si>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</si>
  <si>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</si>
  <si>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</si>
  <si>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</si>
  <si>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</si>
  <si>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</si>
  <si>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</si>
  <si>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</si>
  <si>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</si>
  <si>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</si>
  <si>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</si>
  <si>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</si>
  <si>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</si>
  <si>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</si>
  <si>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</si>
  <si>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</si>
  <si>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</si>
  <si>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</si>
  <si>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</si>
  <si>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</si>
  <si>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</si>
  <si>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</si>
  <si>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</si>
  <si>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</si>
  <si>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</si>
  <si>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</si>
  <si>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</si>
  <si>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</si>
  <si>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</si>
  <si>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</si>
  <si>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</si>
  <si>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</si>
  <si>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</si>
  <si>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</si>
  <si>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</si>
  <si>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</si>
  <si>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</si>
  <si>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</si>
  <si>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</si>
  <si>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</si>
  <si>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</si>
  <si>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</si>
  <si>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</si>
  <si>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</si>
  <si>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</si>
  <si>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</si>
  <si>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</si>
  <si>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</si>
  <si>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</si>
  <si>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</si>
  <si>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</si>
  <si>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</si>
  <si>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</si>
  <si>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</si>
  <si>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</si>
  <si>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</si>
  <si>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</si>
  <si>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</si>
  <si>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</si>
  <si>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</si>
  <si>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</si>
  <si>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</si>
  <si>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</si>
  <si>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</si>
  <si>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</si>
  <si>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</si>
  <si>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</si>
  <si>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</si>
  <si>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</si>
  <si>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</si>
  <si>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</si>
  <si>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</si>
  <si>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</si>
  <si>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</si>
  <si>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</si>
  <si>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</si>
  <si>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</si>
  <si>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</si>
  <si>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</si>
  <si>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</si>
  <si>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</si>
  <si>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</si>
  <si>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</si>
  <si>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</si>
  <si>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</si>
  <si>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</si>
  <si>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</si>
  <si>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</si>
  <si>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</si>
  <si>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</si>
  <si>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</si>
  <si>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</si>
  <si>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</si>
  <si>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</si>
  <si>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</si>
  <si>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</si>
  <si>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</si>
  <si>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</si>
  <si>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</si>
  <si>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</si>
  <si>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</si>
  <si>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</si>
  <si>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</si>
  <si>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</si>
  <si>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</si>
  <si>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</si>
  <si>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</si>
  <si>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</si>
  <si>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</si>
  <si>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</si>
  <si>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</si>
  <si>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</si>
  <si>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</si>
  <si>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</si>
  <si>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</si>
  <si>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</si>
  <si>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</si>
  <si>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</si>
  <si>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</si>
  <si>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</si>
  <si>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</si>
  <si>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</si>
  <si>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</si>
  <si>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</si>
  <si>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</si>
  <si>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</si>
  <si>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</si>
  <si>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</si>
  <si>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</si>
  <si>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</si>
  <si>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</si>
  <si>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</si>
  <si>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</si>
  <si>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</si>
  <si>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</si>
  <si>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</si>
  <si>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</si>
  <si>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</si>
  <si>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</si>
  <si>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</si>
  <si>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</si>
  <si>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</si>
  <si>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</si>
  <si>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</si>
  <si>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</si>
  <si>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</si>
  <si>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</si>
  <si>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</si>
  <si>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</si>
  <si>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</si>
  <si>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</si>
  <si>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</si>
  <si>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</si>
  <si>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</si>
  <si>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</si>
  <si>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</si>
  <si>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</si>
  <si>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</si>
  <si>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</si>
  <si>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</si>
  <si>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</si>
  <si>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</si>
  <si>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</si>
  <si>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</si>
  <si>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</si>
  <si>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</si>
  <si>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</si>
  <si>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</si>
  <si>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</si>
  <si>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</si>
  <si>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</si>
  <si>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</si>
  <si>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</si>
  <si>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</si>
  <si>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</si>
  <si>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</si>
  <si>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</si>
  <si>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</si>
  <si>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</si>
  <si>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</si>
  <si>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</si>
  <si>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</si>
  <si>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</si>
  <si>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</si>
  <si>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</si>
  <si>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</si>
  <si>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</si>
  <si>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</si>
  <si>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</si>
  <si>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</si>
  <si>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</si>
  <si>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</si>
  <si>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</si>
  <si>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</si>
  <si>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</si>
  <si>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</si>
  <si>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</si>
  <si>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</si>
  <si>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</si>
  <si>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</si>
  <si>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</si>
  <si>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</si>
  <si>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</si>
  <si>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</si>
  <si>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lubrificação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</si>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</sst>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1479900</v>
      </c>
      <c r="E15" s="11">
        <f>IFERROR('Linha 2'!O325,"")</f>
        <v>856930</v>
      </c>
      <c r="F15" s="11">
        <f>IFERROR('Linha 3'!O325,"")</f>
        <v>948950</v>
      </c>
      <c r="G15" s="12">
        <f t="shared" si="0"/>
        <v>3285780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14325530</v>
      </c>
      <c r="E35" s="13">
        <f>IFERROR(SUM(E4:E34),"")</f>
        <v>7129520</v>
      </c>
      <c r="F35" s="13">
        <f>IFERROR(SUM(F4:F34),"")</f>
        <v>16502400</v>
      </c>
      <c r="G35" s="13">
        <f>IFERROR(SUM(G4:G34),"")</f>
        <v>37957450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L314" sqref="L31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>
        <v>0.25</v>
      </c>
      <c r="M313" s="35">
        <f t="shared" ca="1" si="70"/>
        <v>3.125E-2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>
        <v>0</v>
      </c>
      <c r="G322" s="28">
        <f t="shared" si="69"/>
        <v>0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>
        <v>35</v>
      </c>
      <c r="G323" s="28">
        <f t="shared" si="69"/>
        <v>175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O324" sqref="O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0.16584930555109167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0.30473819443998057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0.38946041666220288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17</v>
      </c>
      <c r="I320" s="26" t="s">
        <v>135</v>
      </c>
      <c r="J320" s="26" t="s">
        <v>49</v>
      </c>
      <c r="K320" s="29">
        <v>0.25069444444444444</v>
      </c>
      <c r="L320" s="29">
        <v>0.27430555555555558</v>
      </c>
      <c r="M320" s="30">
        <f t="shared" ca="1" si="70"/>
        <v>2.3611111111111138E-2</v>
      </c>
      <c r="N320" s="46" t="s">
        <v>293</v>
      </c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4</v>
      </c>
      <c r="G323" s="34">
        <f t="shared" si="69"/>
        <v>16.8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168</v>
      </c>
      <c r="G324" s="36">
        <f>SUM(G312:G323)</f>
        <v>716</v>
      </c>
      <c r="H324" s="37"/>
      <c r="I324" s="37"/>
      <c r="J324" s="37"/>
      <c r="K324" s="37"/>
      <c r="L324" s="37"/>
      <c r="M324" s="38">
        <f ca="1">IFERROR(SUM(M312:M323),"")</f>
        <v>0.11180555555555541</v>
      </c>
      <c r="N324" s="36" t="s">
        <v>236</v>
      </c>
      <c r="O324" s="77">
        <v>725030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337</v>
      </c>
      <c r="G325" s="40">
        <f>G311+G324</f>
        <v>1425.8</v>
      </c>
      <c r="H325" s="41"/>
      <c r="I325" s="41"/>
      <c r="J325" s="41"/>
      <c r="K325" s="41"/>
      <c r="L325" s="41"/>
      <c r="M325" s="42">
        <f ca="1">IFERROR(M311+M324,"")</f>
        <v>0.16527777777777755</v>
      </c>
      <c r="N325" s="40" t="s">
        <v>240</v>
      </c>
      <c r="O325" s="83">
        <f>IFERROR(O311+O324,"")</f>
        <v>1479900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O324" sqref="O32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300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307</v>
      </c>
      <c r="M222" s="30" t="str">
        <f t="shared" ca="1" si="49"/>
        <v/>
      </c>
      <c r="N222" s="27" t="s">
        <v>308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309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9.2932638886850327E-2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0.15473819444240589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0.21584930555351706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310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311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 t="s">
        <v>17</v>
      </c>
      <c r="I316" s="26" t="s">
        <v>135</v>
      </c>
      <c r="J316" s="26" t="s">
        <v>49</v>
      </c>
      <c r="K316" s="29">
        <v>0.25069444444444444</v>
      </c>
      <c r="L316" s="29">
        <v>0.28125</v>
      </c>
      <c r="M316" s="30">
        <f t="shared" ca="1" si="70"/>
        <v>3.0555555555555558E-2</v>
      </c>
      <c r="N316" s="27" t="s">
        <v>293</v>
      </c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6.8055555555555522E-2</v>
      </c>
      <c r="N324" s="36" t="s">
        <v>236</v>
      </c>
      <c r="O324" s="39">
        <v>289490</v>
      </c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9.652777777777781E-2</v>
      </c>
      <c r="N325" s="40" t="s">
        <v>240</v>
      </c>
      <c r="O325" s="48">
        <f>IFERROR(O311+O324,"")</f>
        <v>856930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4" sqref="F32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320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330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301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339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340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341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342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343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>
        <v>18</v>
      </c>
      <c r="G323" s="34">
        <f t="shared" si="69"/>
        <v>75.600000000000009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231</v>
      </c>
      <c r="G324" s="36">
        <f>SUM(G312:G323)</f>
        <v>983.8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423</v>
      </c>
      <c r="G325" s="40">
        <f>G311+G324</f>
        <v>1790.1999999999998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2026-08-13T10:54:20Z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