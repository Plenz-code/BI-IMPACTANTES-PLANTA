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06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6598" documentId="8_{AF585B22-221D-4780-BB9C-493D365A6A02}" xr6:coauthVersionLast="47" xr6:coauthVersionMax="47" xr10:uidLastSave="{88B0847A-6014-49A2-B2E1-A10457428CD3}"/>
  <bookViews>
    <workbookView xWindow="-110" yWindow="-110" windowWidth="25820" windowHeight="15500" tabRatio="500" activeTab="5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313" i="3" l="1"/>
  <c r="G314" i="3"/>
  <c r="G315" i="3"/>
  <c r="G316" i="3"/>
  <c r="G317" i="3"/>
  <c r="G318" i="3"/>
  <c r="G319" i="3"/>
  <c r="G320" i="3"/>
  <c r="G321" i="3"/>
  <c r="G322" i="3"/>
  <c r="G323" i="3"/>
  <c r="G312" i="3"/>
  <c r="F284" i="5"/>
  <c r="F270" i="4"/>
  <c r="G181" i="5"/>
  <c r="M125" i="4"/>
  <c r="O109" i="3"/>
  <c r="G98" i="6"/>
  <c r="G99" i="6"/>
  <c r="G100" i="6"/>
  <c r="G101" i="6"/>
  <c r="G102" i="6"/>
  <c r="G103" i="6"/>
  <c r="G104" i="6"/>
  <c r="G105" i="6"/>
  <c r="G106" i="6"/>
  <c r="G107" i="6"/>
  <c r="M44" i="4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40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6" i="3"/>
  <c r="G465" i="3"/>
  <c r="G464" i="3"/>
  <c r="G463" i="3"/>
  <c r="G462" i="3"/>
  <c r="G461" i="3"/>
  <c r="G473" i="3" s="1"/>
  <c r="F459" i="3"/>
  <c r="G458" i="3"/>
  <c r="G457" i="3"/>
  <c r="G456" i="3"/>
  <c r="G455" i="3"/>
  <c r="G454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F405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80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2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4" i="4"/>
  <c r="G413" i="4"/>
  <c r="G412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G782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2" i="5"/>
  <c r="G741" i="5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6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2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98" i="5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E689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E513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E432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E433" i="4" s="1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O703" i="4"/>
  <c r="D29" i="1" s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2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M624" i="4"/>
  <c r="M623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8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C7" i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C31" i="1"/>
  <c r="E30" i="1"/>
  <c r="E29" i="1"/>
  <c r="E28" i="1"/>
  <c r="E27" i="1"/>
  <c r="C27" i="1"/>
  <c r="E26" i="1"/>
  <c r="C26" i="1"/>
  <c r="E25" i="1"/>
  <c r="D25" i="1"/>
  <c r="C25" i="1"/>
  <c r="D24" i="1"/>
  <c r="E23" i="1"/>
  <c r="E22" i="1"/>
  <c r="E21" i="1"/>
  <c r="D21" i="1"/>
  <c r="C21" i="1"/>
  <c r="E20" i="1"/>
  <c r="C20" i="1"/>
  <c r="E19" i="1"/>
  <c r="D19" i="1"/>
  <c r="C19" i="1"/>
  <c r="E18" i="1"/>
  <c r="D18" i="1"/>
  <c r="C18" i="1"/>
  <c r="D17" i="1"/>
  <c r="C16" i="1"/>
  <c r="E15" i="1"/>
  <c r="D15" i="1"/>
  <c r="E14" i="1"/>
  <c r="D14" i="1"/>
  <c r="D13" i="1"/>
  <c r="C13" i="1"/>
  <c r="C12" i="1"/>
  <c r="E10" i="1"/>
  <c r="D10" i="1"/>
  <c r="E9" i="1"/>
  <c r="D9" i="1"/>
  <c r="E8" i="1"/>
  <c r="D8" i="1"/>
  <c r="C8" i="1"/>
  <c r="D7" i="1"/>
  <c r="D6" i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G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30" i="1" s="1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G729" i="6" s="1"/>
  <c r="F716" i="6"/>
  <c r="F730" i="6" s="1"/>
  <c r="E716" i="6"/>
  <c r="E730" i="6" s="1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G716" i="6" s="1"/>
  <c r="O703" i="6"/>
  <c r="F29" i="1" s="1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28" i="1" s="1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E676" i="6" s="1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27" i="1" s="1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26" i="1" s="1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E622" i="6" s="1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25" i="1" s="1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G594" i="6" s="1"/>
  <c r="F581" i="6"/>
  <c r="F595" i="6" s="1"/>
  <c r="E581" i="6"/>
  <c r="E595" i="6" s="1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24" i="1" s="1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M555" i="6"/>
  <c r="G555" i="6"/>
  <c r="F554" i="6"/>
  <c r="F568" i="6" s="1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23" i="1" s="1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O460" i="6"/>
  <c r="F20" i="1" s="1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G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G446" i="6" s="1"/>
  <c r="O433" i="6"/>
  <c r="F19" i="1" s="1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F433" i="6" s="1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18" i="1" s="1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17" i="1" s="1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14" i="1" s="1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F257" i="6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G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F244" i="6" s="1"/>
  <c r="E230" i="6"/>
  <c r="E244" i="6" s="1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11" i="1" s="1"/>
  <c r="G11" i="1" s="1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F217" i="6" s="1"/>
  <c r="E203" i="6"/>
  <c r="E217" i="6" s="1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F190" i="6" s="1"/>
  <c r="E176" i="6"/>
  <c r="E190" i="6" s="1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G176" i="6" s="1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G149" i="6" s="1"/>
  <c r="O136" i="6"/>
  <c r="F8" i="1" s="1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7" i="1" s="1"/>
  <c r="F108" i="6"/>
  <c r="E108" i="6"/>
  <c r="M107" i="6"/>
  <c r="M106" i="6"/>
  <c r="M105" i="6"/>
  <c r="M104" i="6"/>
  <c r="M103" i="6"/>
  <c r="M102" i="6"/>
  <c r="M101" i="6"/>
  <c r="M100" i="6"/>
  <c r="M99" i="6"/>
  <c r="M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G95" i="6" s="1"/>
  <c r="O82" i="6"/>
  <c r="F6" i="1" s="1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G81" i="6" s="1"/>
  <c r="F68" i="6"/>
  <c r="E68" i="6"/>
  <c r="E82" i="6" s="1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G46" i="6"/>
  <c r="G45" i="6"/>
  <c r="G44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F136" i="6" l="1"/>
  <c r="E163" i="6"/>
  <c r="G230" i="6"/>
  <c r="G243" i="6"/>
  <c r="G270" i="6"/>
  <c r="F271" i="6"/>
  <c r="E352" i="6"/>
  <c r="G378" i="6"/>
  <c r="G459" i="6"/>
  <c r="E460" i="6"/>
  <c r="F460" i="6"/>
  <c r="G473" i="6"/>
  <c r="E541" i="6"/>
  <c r="G554" i="6"/>
  <c r="G567" i="6"/>
  <c r="G581" i="6"/>
  <c r="G595" i="6" s="1"/>
  <c r="G621" i="6"/>
  <c r="E757" i="6"/>
  <c r="G770" i="6"/>
  <c r="G783" i="6"/>
  <c r="G9" i="1"/>
  <c r="G13" i="1"/>
  <c r="G18" i="1"/>
  <c r="G19" i="1"/>
  <c r="G20" i="1"/>
  <c r="G24" i="1"/>
  <c r="G31" i="1"/>
  <c r="G6" i="1"/>
  <c r="G22" i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514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M392" i="3"/>
  <c r="M162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G514" i="6" s="1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109" i="6" s="1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541" i="6" l="1"/>
  <c r="G757" i="6"/>
  <c r="G406" i="6"/>
  <c r="G568" i="6"/>
  <c r="G244" i="6"/>
  <c r="G784" i="5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<sst xmlns="http://schemas.openxmlformats.org/spreadsheetml/2006/main" count="5915" uniqueCount="314">
  <si>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</si>
  <si>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</si>
  <si>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</si>
  <si>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</si>
  <si>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</si>
  <si>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</si>
  <si>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</si>
  <si>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</si>
  <si>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</si>
  <si>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</si>
  <si>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</si>
  <si>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</si>
  <si>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</si>
  <si>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</si>
  <si>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</si>
  <si>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</si>
  <si>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</si>
  <si>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</si>
  <si>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</si>
  <si>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</si>
  <si>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</si>
  <si>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</si>
  <si>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</si>
  <si>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</si>
  <si>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</si>
  <si>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</si>
  <si>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</si>
  <si>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</si>
  <si>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</si>
  <si>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</si>
  <si>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</si>
  <si>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</si>
  <si>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</si>
  <si>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</si>
  <si>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</si>
  <si>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</si>
  <si>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</si>
  <si>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</si>
  <si>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</si>
  <si>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</si>
  <si>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</si>
  <si>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</si>
  <si>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</si>
  <si>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</si>
  <si>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</si>
  <si>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</si>
  <si>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</si>
  <si>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</si>
  <si>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</si>
  <si>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</si>
  <si>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</si>
  <si>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</si>
  <si>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</si>
  <si>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</si>
  <si>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</si>
  <si>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</si>
  <si>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</si>
  <si>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</si>
  <si>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</si>
  <si>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</si>
  <si>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</si>
  <si>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</si>
  <si>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</si>
  <si>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</si>
  <si>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</si>
  <si>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</si>
  <si>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</si>
  <si>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</si>
  <si>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</si>
  <si>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</si>
  <si>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</si>
  <si>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</si>
  <si>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</si>
  <si>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</si>
  <si>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</si>
  <si>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</si>
  <si>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</si>
  <si>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</si>
  <si>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</si>
  <si>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</si>
  <si>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</si>
  <si>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manuteçao programada ,serviço de solda na tubulaçao da agua das alimentçoes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</si>
  <si>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</si>
  <si>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</si>
  <si>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</si>
  <si>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</si>
  <si>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</si>
  <si>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</si>
  <si>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</si>
  <si>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</si>
  <si>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</si>
  <si>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</si>
  <si>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</si>
  <si>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</si>
  <si>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</si>
  <si>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</si>
  <si>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</si>
  <si>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</si>
  <si>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</si>
  <si>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</si>
  <si>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</si>
  <si>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</si>
  <si>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</si>
  <si>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</si>
  <si>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</si>
  <si>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</si>
  <si>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</si>
  <si>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</si>
  <si>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</si>
  <si>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</si>
  <si>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</si>
  <si>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</si>
  <si>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</si>
  <si>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</si>
  <si>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</si>
  <si>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</si>
  <si>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</si>
  <si>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</si>
  <si>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</si>
  <si>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</si>
  <si>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</si>
  <si>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</si>
  <si>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</si>
  <si>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</si>
  <si>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</si>
  <si>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</si>
  <si>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</si>
  <si>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</si>
  <si>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</si>
  <si>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</si>
  <si>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</si>
  <si>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</si>
  <si>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</si>
  <si>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</si>
  <si>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</si>
  <si>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</si>
  <si>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</si>
  <si>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</si>
  <si>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</si>
  <si>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</si>
  <si>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</si>
  <si>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</si>
  <si>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</si>
  <si>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</si>
  <si>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</si>
  <si>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</si>
  <si>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</si>
  <si>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</si>
  <si>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</si>
  <si>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</si>
  <si>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</si>
  <si>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</si>
  <si>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</si>
  <si>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</si>
  <si>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</si>
  <si>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</si>
  <si>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</si>
  <si>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</si>
  <si>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</si>
  <si>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</si>
  <si>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</si>
  <si>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</si>
  <si>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</si>
  <si>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</si>
  <si>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</si>
  <si>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</si>
  <si>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</si>
  <si>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</si>
  <si>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</si>
  <si>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</si>
  <si>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</si>
  <si>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</si>
  <si>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</si>
  <si>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</si>
  <si>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</si>
  <si>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</si>
  <si>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</si>
  <si>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</si>
  <si>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</si>
  <si>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</si>
  <si>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</si>
  <si>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</si>
  <si>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</si>
  <si>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</si>
  <si>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</si>
  <si>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</si>
  <si>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</si>
  <si>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</si>
  <si>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</si>
  <si>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</si>
  <si>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</si>
  <si>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</si>
  <si>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</si>
  <si>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</si>
  <si>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</si>
  <si>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</si>
  <si>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</si>
  <si>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emenda da tc 02</t>
  </si>
  <si>
    <t>Recolocação de parafuso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</si>
  <si>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</si>
  <si>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</si>
  <si>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</si>
  <si>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</si>
  <si>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</si>
  <si>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</si>
  <si>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</si>
  <si>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</si>
  <si>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</si>
  <si>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</si>
  <si>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</si>
  <si>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</si>
  <si>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</si>
  <si>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</si>
  <si>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</si>
  <si>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</si>
  <si>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</si>
  <si>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</si>
  <si>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</si>
  <si>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</si>
  <si>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</si>
  <si>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</si>
  <si>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</si>
  <si>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</si>
  <si>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</si>
  <si>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troca de pino, virada das facas</t>
  </si>
  <si>
    <t>apertar parafuso do mancal</t>
  </si>
  <si>
    <t>pc 19 em manutenção, escavadeira alimentando britagem</t>
  </si>
  <si>
    <t>quebrou os pinos da facas,troca de facas</t>
  </si>
  <si>
    <t>e 5s na britagem</t>
  </si>
  <si>
    <t>TROCA DE 2 PINOS QUEBRADO</t>
  </si>
  <si>
    <t>CARREGANDO COM CAMINHÃO</t>
  </si>
  <si>
    <t>NA TC2</t>
  </si>
  <si>
    <t>na tc 3</t>
  </si>
  <si>
    <t>carregando com caminhão</t>
  </si>
  <si>
    <t>troca de balata</t>
  </si>
  <si>
    <t>reaperto, engraxamento, revisão</t>
  </si>
  <si>
    <t>PC 17</t>
  </si>
  <si>
    <t>martelo soltou, troca de martelo, aperto de parafuso do mancal, manutenção bomba de rejeito</t>
  </si>
  <si>
    <t>obs: trocar parafuso do mancal</t>
  </si>
  <si>
    <t>centrifrica 7 parada pra reparo eletrico</t>
  </si>
  <si>
    <t>troca do martelo do moinhio 01,manuteçâo no alimentado</t>
  </si>
  <si>
    <t>troca de grelha,solda na chapa</t>
  </si>
  <si>
    <t>sendo trocado rolamento do moinho 1 , operando apenas MM2</t>
  </si>
  <si>
    <t>mm1 e mm2 operando</t>
  </si>
  <si>
    <t>balata soltou</t>
  </si>
  <si>
    <t>troca de grelha</t>
  </si>
  <si>
    <t>passado graxa</t>
  </si>
  <si>
    <t>balata solta</t>
  </si>
  <si>
    <t>02:00 PC19 furou pneu, caminhão basculante jogando e escavadeira empurrando o material</t>
  </si>
  <si>
    <t>arrebetou balata,troca de martelo moinho 1</t>
  </si>
  <si>
    <t>troca de martelo moinho 2</t>
  </si>
  <si>
    <t>22:00 alimentação baixa, pouco material britado</t>
  </si>
  <si>
    <t>01:30 rolamento do moinho 2 estourou, operando apenas moinho 1</t>
  </si>
  <si>
    <t>manutenção no rolamento mm2, caindo material na manutenção</t>
  </si>
  <si>
    <t>manutenção no rolamento mm2</t>
  </si>
  <si>
    <t>troca de martelo mm1</t>
  </si>
  <si>
    <t xml:space="preserve">Sanar vazamento </t>
  </si>
  <si>
    <t>engraxamento dos rolamento do moinhos e troca de martelo</t>
  </si>
  <si>
    <t>um sevico de solda na bica  e troca de martelo do moiho 02</t>
  </si>
  <si>
    <t>e troca de grelhas no moinho 02 e teve que coloca outra balata  e troca de martelo</t>
  </si>
  <si>
    <t>VAZAMENTO NO MOINHO</t>
  </si>
  <si>
    <t>tava com material</t>
  </si>
  <si>
    <t>troca de balata ,manutenção na balata</t>
  </si>
  <si>
    <t>troca do redutor do alimentador da linha 1</t>
  </si>
  <si>
    <t>moinho de bola 1 jogando material pra fora, troca de martelo</t>
  </si>
  <si>
    <t>solda no eixo</t>
  </si>
  <si>
    <t>solda no eixo,moinho moendo grosso</t>
  </si>
  <si>
    <t>solda na grelha</t>
  </si>
  <si>
    <t>solda na tampa do moinho</t>
  </si>
  <si>
    <t>troca de grelha e martelo, manutenção bomba de rejeito</t>
  </si>
  <si>
    <t>material processado Blend rabo de bica com baixo teor</t>
  </si>
  <si>
    <t>troca de martelo</t>
  </si>
  <si>
    <t>material processando blend  rabo de bica com alto teor</t>
  </si>
  <si>
    <t>17;51</t>
  </si>
  <si>
    <t>reposição de grelha</t>
  </si>
  <si>
    <t>00:020:00</t>
  </si>
  <si>
    <t>martelo pegando no revestimento</t>
  </si>
  <si>
    <t>TROCA DE GRELHA</t>
  </si>
  <si>
    <t>blend com material da goiana</t>
  </si>
  <si>
    <t>troca de 2 grelha e solda na grelha</t>
  </si>
  <si>
    <t>(02 grelhas adicionadas/trocadas)</t>
  </si>
  <si>
    <t>SERVIÇO DE SOLDA NAS GRELHAS</t>
  </si>
  <si>
    <t>e troca de martelo</t>
  </si>
  <si>
    <t>troca de 3 grelhas</t>
  </si>
  <si>
    <t>5;44</t>
  </si>
  <si>
    <t xml:space="preserve">troca de balata, solda na grelha </t>
  </si>
  <si>
    <t>manutençao no rolamento do moinho 4</t>
  </si>
  <si>
    <t>OBS: APENAS MM 05 EM OPERACÃO</t>
  </si>
  <si>
    <t>bola 4 entupido, acoplamento do bola 3 solto, troca de martelo</t>
  </si>
  <si>
    <t>martelo quebrou</t>
  </si>
  <si>
    <t>11;29</t>
  </si>
  <si>
    <t>orelha do martelo quebrou,troca de grelha e aperto no parafuso do mancal</t>
  </si>
  <si>
    <t>solda na grelha, troca de martelo</t>
  </si>
  <si>
    <t>troca de martelo, manutenção no acoplamento do MB3</t>
  </si>
  <si>
    <t xml:space="preserve">troca de martelo   </t>
  </si>
  <si>
    <t>troca de martelo moinho 4 e 5</t>
  </si>
  <si>
    <t>troca de grelha,aperto de parafuso</t>
  </si>
  <si>
    <t>aperto no parafuso do mancal,solda na chapa</t>
  </si>
  <si>
    <t>tc3 patinando</t>
  </si>
  <si>
    <t>desobstrução do hidrociclone</t>
  </si>
  <si>
    <t xml:space="preserve">solda na grelha </t>
  </si>
  <si>
    <t>troca de martelo, 22:00 alimentação baixa, pouco material britado</t>
  </si>
  <si>
    <t>troca de martelo moinho 4</t>
  </si>
  <si>
    <t>furo na turbulaçâo,colocar graxeta na bomba de polpa 03</t>
  </si>
  <si>
    <t>moinho 4 com novo martelo;para teste</t>
  </si>
  <si>
    <t xml:space="preserve">forramento do moinho </t>
  </si>
  <si>
    <t>martelo novo</t>
  </si>
  <si>
    <t>solda na bica</t>
  </si>
  <si>
    <t>18;08</t>
  </si>
  <si>
    <t>moinho vibrando, aperto de parafuso do mancal</t>
  </si>
  <si>
    <t>engraxamento dos rolamento dos moinhos</t>
  </si>
  <si>
    <t>CORREIA DA MOEGA ESTA RASGADA TEVE TROCA DE MARTELO DO MOINHO 5</t>
  </si>
  <si>
    <t>22;01</t>
  </si>
  <si>
    <t>moinho moedo grosso,solda no eixo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</si>
</sst>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4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9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04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64" fontId="5" fillId="8" borderId="2" xfId="0" applyNumberFormat="1" applyFont="1" applyFill="1" applyBorder="1" applyAlignment="1" applyProtection="1">
      <alignment horizontal="center" vertical="center"/>
      <protection locked="0"/>
    </xf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N9" sqref="N9"/>
    </sheetView>
  </sheetViews>
  <sheetFormatPr defaultColWidth="8.5703125" defaultRowHeight="14.45"/>
  <cols>
    <col min="1" max="1" width="17.5703125" customWidth="1"/>
    <col min="2" max="2" width="21" style="71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92" t="s">
        <v>0</v>
      </c>
      <c r="B1" s="92"/>
      <c r="C1" s="92"/>
      <c r="D1" s="92"/>
      <c r="E1" s="92"/>
      <c r="F1" s="92"/>
      <c r="G1" s="92"/>
    </row>
    <row r="2" spans="1:7" ht="24.75" customHeight="1">
      <c r="A2" s="93"/>
      <c r="B2" s="93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2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3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4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>
      <c r="A6" s="7">
        <v>3</v>
      </c>
      <c r="B6" s="73">
        <v>46206</v>
      </c>
      <c r="C6" s="8">
        <f>IFERROR(Britador!O82,"")</f>
        <v>2831180</v>
      </c>
      <c r="D6" s="8">
        <f>IFERROR('Linha 1'!O82,"")</f>
        <v>787860</v>
      </c>
      <c r="E6" s="8">
        <f>IFERROR('Linha 2'!O82,"")</f>
        <v>837780</v>
      </c>
      <c r="F6" s="8">
        <f>IFERROR('Linha 3'!O82,"")</f>
        <v>1328490</v>
      </c>
      <c r="G6" s="9">
        <f t="shared" si="0"/>
        <v>2954130</v>
      </c>
    </row>
    <row r="7" spans="1:7" ht="15.75" customHeight="1">
      <c r="A7" s="10">
        <v>4</v>
      </c>
      <c r="B7" s="74">
        <v>46207</v>
      </c>
      <c r="C7" s="11">
        <f>IFERROR(Britador!O109,"")</f>
        <v>3404450</v>
      </c>
      <c r="D7" s="11">
        <f>IFERROR('Linha 1'!O109,"")</f>
        <v>1664690</v>
      </c>
      <c r="E7" s="11">
        <f>IFERROR('Linha 2'!O109,"")</f>
        <v>577520</v>
      </c>
      <c r="F7" s="11">
        <f>IFERROR('Linha 3'!O109,"")</f>
        <v>1335500</v>
      </c>
      <c r="G7" s="12">
        <f t="shared" si="0"/>
        <v>3577710</v>
      </c>
    </row>
    <row r="8" spans="1:7" ht="15.75" customHeight="1">
      <c r="A8" s="7">
        <v>5</v>
      </c>
      <c r="B8" s="73">
        <v>46208</v>
      </c>
      <c r="C8" s="8">
        <f>IFERROR(Britador!O136,"")</f>
        <v>2487750</v>
      </c>
      <c r="D8" s="8">
        <f>IFERROR('Linha 1'!O136,"")</f>
        <v>1663740</v>
      </c>
      <c r="E8" s="8">
        <f>IFERROR('Linha 2'!O136,"")</f>
        <v>432380</v>
      </c>
      <c r="F8" s="8">
        <f>IFERROR('Linha 3'!O136,"")</f>
        <v>1003740</v>
      </c>
      <c r="G8" s="9">
        <f t="shared" si="0"/>
        <v>3099860</v>
      </c>
    </row>
    <row r="9" spans="1:7" ht="15.75" customHeight="1">
      <c r="A9" s="10">
        <v>6</v>
      </c>
      <c r="B9" s="74">
        <v>46209</v>
      </c>
      <c r="C9" s="11">
        <f>IFERROR(Britador!O163,"")</f>
        <v>2667300</v>
      </c>
      <c r="D9" s="11">
        <f>IFERROR('Linha 1'!O163,"")</f>
        <v>1474080</v>
      </c>
      <c r="E9" s="11">
        <f>IFERROR('Linha 2'!O163,"")</f>
        <v>921800</v>
      </c>
      <c r="F9" s="11">
        <f>IFERROR('Linha 3'!O163,"")</f>
        <v>1755660</v>
      </c>
      <c r="G9" s="12">
        <f t="shared" si="0"/>
        <v>4151540</v>
      </c>
    </row>
    <row r="10" spans="1:7" ht="15.75" customHeight="1">
      <c r="A10" s="7">
        <v>7</v>
      </c>
      <c r="B10" s="73">
        <v>46210</v>
      </c>
      <c r="C10" s="8">
        <f>IFERROR(Britador!O190,"")</f>
        <v>4302240</v>
      </c>
      <c r="D10" s="8">
        <f>IFERROR('Linha 1'!O190,"")</f>
        <v>0</v>
      </c>
      <c r="E10" s="8">
        <f>IFERROR('Linha 2'!O190,"")</f>
        <v>938160</v>
      </c>
      <c r="F10" s="8">
        <f>IFERROR('Linha 3'!O190,"")</f>
        <v>1473950</v>
      </c>
      <c r="G10" s="9">
        <f t="shared" si="0"/>
        <v>2412110</v>
      </c>
    </row>
    <row r="11" spans="1:7" ht="15.75" customHeight="1">
      <c r="A11" s="10">
        <v>8</v>
      </c>
      <c r="B11" s="74">
        <v>46211</v>
      </c>
      <c r="C11" s="11">
        <f>IFERROR(Britador!O217,"")</f>
        <v>3908370</v>
      </c>
      <c r="D11" s="11">
        <f>IFERROR('Linha 1'!O217,"")</f>
        <v>648410</v>
      </c>
      <c r="E11" s="11">
        <f>IFERROR('Linha 2'!O217,"")</f>
        <v>793270</v>
      </c>
      <c r="F11" s="11">
        <f>IFERROR('Linha 3'!O217,"")</f>
        <v>1735070</v>
      </c>
      <c r="G11" s="12">
        <f t="shared" si="0"/>
        <v>3176750</v>
      </c>
    </row>
    <row r="12" spans="1:7" ht="15.75" customHeight="1">
      <c r="A12" s="7">
        <v>9</v>
      </c>
      <c r="B12" s="73">
        <v>46212</v>
      </c>
      <c r="C12" s="8">
        <f>IFERROR(Britador!O244,"")</f>
        <v>2981650</v>
      </c>
      <c r="D12" s="8">
        <f>IFERROR('Linha 1'!O244,"")</f>
        <v>1331170</v>
      </c>
      <c r="E12" s="8">
        <f>IFERROR('Linha 2'!O244,"")</f>
        <v>1045450</v>
      </c>
      <c r="F12" s="8">
        <f>IFERROR('Linha 3'!O244,"")</f>
        <v>1569570</v>
      </c>
      <c r="G12" s="9">
        <f t="shared" si="0"/>
        <v>3946190</v>
      </c>
    </row>
    <row r="13" spans="1:7" ht="15.75" customHeight="1">
      <c r="A13" s="10">
        <v>10</v>
      </c>
      <c r="B13" s="74">
        <v>46213</v>
      </c>
      <c r="C13" s="11">
        <f>IFERROR(Britador!O271,"")</f>
        <v>3252750</v>
      </c>
      <c r="D13" s="11">
        <f>IFERROR('Linha 1'!O271,"")</f>
        <v>1256650</v>
      </c>
      <c r="E13" s="11">
        <f>IFERROR('Linha 2'!O271,"")</f>
        <v>939780</v>
      </c>
      <c r="F13" s="11">
        <f>IFERROR('Linha 3'!O271,"")</f>
        <v>2082930</v>
      </c>
      <c r="G13" s="12">
        <f t="shared" si="0"/>
        <v>4279360</v>
      </c>
    </row>
    <row r="14" spans="1:7" ht="15.75" customHeight="1">
      <c r="A14" s="7">
        <v>11</v>
      </c>
      <c r="B14" s="73">
        <v>46214</v>
      </c>
      <c r="C14" s="8">
        <f>IFERROR(Britador!O298,"")</f>
        <v>4291460</v>
      </c>
      <c r="D14" s="8">
        <f>IFERROR('Linha 1'!O298,"")</f>
        <v>1385120</v>
      </c>
      <c r="E14" s="8">
        <f>IFERROR('Linha 2'!O298,"")</f>
        <v>791700</v>
      </c>
      <c r="F14" s="8">
        <f>IFERROR('Linha 3'!O298,"")</f>
        <v>1836090</v>
      </c>
      <c r="G14" s="9">
        <f t="shared" si="0"/>
        <v>4012910</v>
      </c>
    </row>
    <row r="15" spans="1:7" ht="15.75" customHeight="1">
      <c r="A15" s="10">
        <v>12</v>
      </c>
      <c r="B15" s="74">
        <v>46215</v>
      </c>
      <c r="C15" s="11">
        <f>IFERROR(Britador!O325,"")</f>
        <v>2895688</v>
      </c>
      <c r="D15" s="11">
        <f>IFERROR('Linha 1'!O325,"")</f>
        <v>1129970</v>
      </c>
      <c r="E15" s="11">
        <f>IFERROR('Linha 2'!O325,"")</f>
        <v>982760</v>
      </c>
      <c r="F15" s="11">
        <f>IFERROR('Linha 3'!O325,"")</f>
        <v>1209300</v>
      </c>
      <c r="G15" s="12">
        <f t="shared" si="0"/>
        <v>3322030</v>
      </c>
    </row>
    <row r="16" spans="1:7" ht="15.75" customHeight="1">
      <c r="A16" s="7">
        <v>13</v>
      </c>
      <c r="B16" s="73">
        <v>46216</v>
      </c>
      <c r="C16" s="8">
        <f>IFERROR(Britador!O352,"")</f>
        <v>2226874</v>
      </c>
      <c r="D16" s="8">
        <f>IFERROR('Linha 1'!O352,"")</f>
        <v>1435420</v>
      </c>
      <c r="E16" s="8">
        <f>IFERROR('Linha 2'!O352,"")</f>
        <v>605940</v>
      </c>
      <c r="F16" s="8">
        <f>IFERROR('Linha 3'!O352,"")</f>
        <v>1476140</v>
      </c>
      <c r="G16" s="9">
        <f t="shared" si="0"/>
        <v>3517500</v>
      </c>
    </row>
    <row r="17" spans="1:7" ht="15.75" customHeight="1">
      <c r="A17" s="10">
        <v>14</v>
      </c>
      <c r="B17" s="74">
        <v>46217</v>
      </c>
      <c r="C17" s="11">
        <f>IFERROR(Britador!O379,"")</f>
        <v>0</v>
      </c>
      <c r="D17" s="11">
        <f>IFERROR('Linha 1'!O379,"")</f>
        <v>0</v>
      </c>
      <c r="E17" s="11">
        <f>IFERROR('Linha 2'!O379,"")</f>
        <v>0</v>
      </c>
      <c r="F17" s="11">
        <f>IFERROR('Linha 3'!O379,"")</f>
        <v>0</v>
      </c>
      <c r="G17" s="12">
        <f t="shared" si="0"/>
        <v>0</v>
      </c>
    </row>
    <row r="18" spans="1:7" ht="15.75" customHeight="1">
      <c r="A18" s="7">
        <v>15</v>
      </c>
      <c r="B18" s="73">
        <v>46218</v>
      </c>
      <c r="C18" s="8">
        <f>IFERROR(Britador!O406,"")</f>
        <v>0</v>
      </c>
      <c r="D18" s="8">
        <f>IFERROR('Linha 1'!O406,"")</f>
        <v>0</v>
      </c>
      <c r="E18" s="8">
        <f>IFERROR('Linha 2'!O406,"")</f>
        <v>0</v>
      </c>
      <c r="F18" s="8">
        <f>IFERROR('Linha 3'!O406,"")</f>
        <v>0</v>
      </c>
      <c r="G18" s="9">
        <f t="shared" si="0"/>
        <v>0</v>
      </c>
    </row>
    <row r="19" spans="1:7" ht="15.75" customHeight="1">
      <c r="A19" s="10">
        <v>16</v>
      </c>
      <c r="B19" s="74">
        <v>46219</v>
      </c>
      <c r="C19" s="11">
        <f>IFERROR(Britador!O433,"")</f>
        <v>0</v>
      </c>
      <c r="D19" s="11">
        <f>IFERROR('Linha 1'!O433,"")</f>
        <v>0</v>
      </c>
      <c r="E19" s="11">
        <f>IFERROR('Linha 2'!O433,"")</f>
        <v>0</v>
      </c>
      <c r="F19" s="11">
        <f>IFERROR('Linha 3'!O433,"")</f>
        <v>0</v>
      </c>
      <c r="G19" s="12">
        <f t="shared" si="0"/>
        <v>0</v>
      </c>
    </row>
    <row r="20" spans="1:7" ht="15.75" customHeight="1">
      <c r="A20" s="7">
        <v>17</v>
      </c>
      <c r="B20" s="73">
        <v>46220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>
      <c r="A21" s="10">
        <v>18</v>
      </c>
      <c r="B21" s="74">
        <v>46221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3">
        <v>46222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4">
        <v>46223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3">
        <v>46224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4">
        <v>46225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3">
        <v>46226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4">
        <v>46227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3">
        <v>46228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4">
        <v>46229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3">
        <v>46230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4">
        <v>46231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3">
        <v>46232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4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4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94" t="s">
        <v>9</v>
      </c>
      <c r="B35" s="94"/>
      <c r="C35" s="13">
        <f>IFERROR(SUM(C4:C34),"")</f>
        <v>38990102</v>
      </c>
      <c r="D35" s="13">
        <f>IFERROR(SUM(D4:D34),"")</f>
        <v>14425670</v>
      </c>
      <c r="E35" s="13">
        <f>IFERROR(SUM(E4:E34),"")</f>
        <v>9797450</v>
      </c>
      <c r="F35" s="13">
        <f>IFERROR(SUM(F4:F34),"")</f>
        <v>18114640</v>
      </c>
      <c r="G35" s="13">
        <f>IFERROR(SUM(G4:G34),"")</f>
        <v>42337760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E1" zoomScale="85" zoomScaleNormal="85" workbookViewId="0">
      <selection activeCell="M54" sqref="M54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95" t="s">
        <v>10</v>
      </c>
      <c r="B1" s="95"/>
      <c r="C1" s="95"/>
      <c r="D1" s="95"/>
      <c r="E1" s="95"/>
      <c r="F1" s="95"/>
      <c r="G1" s="95"/>
      <c r="H1" s="96"/>
      <c r="I1" s="97" t="s">
        <v>11</v>
      </c>
      <c r="J1" s="97"/>
      <c r="K1" s="97"/>
      <c r="L1" s="97"/>
      <c r="M1" s="97"/>
    </row>
    <row r="2" spans="1:13" ht="4.5" customHeight="1">
      <c r="H2" s="96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96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96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96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96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96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96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96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96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96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96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96"/>
      <c r="I13" s="17" t="s">
        <v>81</v>
      </c>
      <c r="J13" s="17" t="s">
        <v>82</v>
      </c>
      <c r="K13" s="17" t="s">
        <v>83</v>
      </c>
      <c r="L13" s="17" t="s">
        <v>84</v>
      </c>
      <c r="M13" s="17" t="s">
        <v>85</v>
      </c>
    </row>
    <row r="14" spans="1:13" ht="15.75" customHeight="1">
      <c r="A14" s="16"/>
      <c r="C14" s="16"/>
      <c r="E14" s="16"/>
      <c r="G14" s="16" t="s">
        <v>86</v>
      </c>
      <c r="H14" s="96"/>
      <c r="I14" s="16" t="s">
        <v>87</v>
      </c>
      <c r="J14" s="16" t="s">
        <v>88</v>
      </c>
      <c r="K14" s="16" t="s">
        <v>89</v>
      </c>
      <c r="L14" s="16" t="s">
        <v>90</v>
      </c>
      <c r="M14" s="16" t="s">
        <v>91</v>
      </c>
    </row>
    <row r="15" spans="1:13" ht="15.75" customHeight="1">
      <c r="A15" s="17"/>
      <c r="C15" s="17"/>
      <c r="E15" s="17"/>
      <c r="G15" s="17" t="s">
        <v>92</v>
      </c>
      <c r="H15" s="96"/>
      <c r="I15" s="17" t="s">
        <v>93</v>
      </c>
      <c r="J15" s="17" t="s">
        <v>94</v>
      </c>
      <c r="K15" s="17" t="s">
        <v>95</v>
      </c>
      <c r="L15" s="17" t="s">
        <v>96</v>
      </c>
      <c r="M15" s="17" t="s">
        <v>97</v>
      </c>
    </row>
    <row r="16" spans="1:13" ht="15.75" customHeight="1">
      <c r="A16" s="16"/>
      <c r="C16" s="16"/>
      <c r="E16" s="16"/>
      <c r="G16" s="16" t="s">
        <v>98</v>
      </c>
      <c r="H16" s="96"/>
      <c r="I16" s="16" t="s">
        <v>99</v>
      </c>
      <c r="J16" s="16" t="s">
        <v>100</v>
      </c>
      <c r="K16" s="16" t="s">
        <v>101</v>
      </c>
      <c r="L16" s="16" t="s">
        <v>102</v>
      </c>
      <c r="M16" s="16" t="s">
        <v>103</v>
      </c>
    </row>
    <row r="17" spans="1:13" ht="15.75" customHeight="1">
      <c r="A17" s="17"/>
      <c r="C17" s="17"/>
      <c r="E17" s="17"/>
      <c r="G17" s="17" t="s">
        <v>104</v>
      </c>
      <c r="H17" s="96"/>
      <c r="I17" s="17"/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96"/>
      <c r="I18" s="16"/>
      <c r="J18" s="16"/>
      <c r="K18" s="16" t="s">
        <v>110</v>
      </c>
      <c r="L18" s="16" t="s">
        <v>111</v>
      </c>
      <c r="M18" s="16" t="s">
        <v>112</v>
      </c>
    </row>
    <row r="19" spans="1:13" ht="15.75" customHeight="1">
      <c r="A19" s="17"/>
      <c r="C19" s="17"/>
      <c r="E19" s="17"/>
      <c r="G19" s="17" t="s">
        <v>113</v>
      </c>
      <c r="H19" s="96"/>
      <c r="I19" s="17"/>
      <c r="J19" s="17"/>
      <c r="K19" s="17" t="s">
        <v>114</v>
      </c>
      <c r="L19" s="17"/>
      <c r="M19" s="17" t="s">
        <v>115</v>
      </c>
    </row>
    <row r="20" spans="1:13" ht="15.75" customHeight="1">
      <c r="A20" s="16"/>
      <c r="C20" s="16"/>
      <c r="E20" s="16"/>
      <c r="G20" s="16" t="s">
        <v>116</v>
      </c>
      <c r="H20" s="96"/>
      <c r="I20" s="16"/>
      <c r="J20" s="16"/>
      <c r="K20" s="16" t="s">
        <v>117</v>
      </c>
      <c r="L20" s="16"/>
      <c r="M20" s="16" t="s">
        <v>118</v>
      </c>
    </row>
    <row r="21" spans="1:13" ht="15.75" customHeight="1">
      <c r="A21" s="17"/>
      <c r="C21" s="17"/>
      <c r="E21" s="17"/>
      <c r="G21" s="17" t="s">
        <v>119</v>
      </c>
      <c r="H21" s="96"/>
      <c r="I21" s="17"/>
      <c r="J21" s="17"/>
      <c r="K21" s="17" t="s">
        <v>120</v>
      </c>
      <c r="L21" s="17"/>
      <c r="M21" s="17" t="s">
        <v>121</v>
      </c>
    </row>
    <row r="22" spans="1:13" ht="15.75" customHeight="1">
      <c r="A22" s="16"/>
      <c r="C22" s="16"/>
      <c r="E22" s="16"/>
      <c r="G22" s="16" t="s">
        <v>122</v>
      </c>
      <c r="H22" s="96"/>
      <c r="I22" s="16"/>
      <c r="J22" s="16"/>
      <c r="K22" s="16" t="s">
        <v>123</v>
      </c>
      <c r="L22" s="16"/>
      <c r="M22" s="16" t="s">
        <v>124</v>
      </c>
    </row>
    <row r="23" spans="1:13" ht="15.75" customHeight="1">
      <c r="A23" s="17"/>
      <c r="C23" s="17"/>
      <c r="E23" s="17"/>
      <c r="G23" s="17" t="s">
        <v>125</v>
      </c>
      <c r="H23" s="96"/>
      <c r="I23" s="17"/>
      <c r="J23" s="17"/>
      <c r="K23" s="17" t="s">
        <v>126</v>
      </c>
      <c r="L23" s="17"/>
      <c r="M23" s="17" t="s">
        <v>127</v>
      </c>
    </row>
    <row r="24" spans="1:13" ht="15.75" customHeight="1">
      <c r="A24" s="16"/>
      <c r="C24" s="16"/>
      <c r="E24" s="16"/>
      <c r="G24" s="16" t="s">
        <v>128</v>
      </c>
      <c r="H24" s="96"/>
      <c r="I24" s="16"/>
      <c r="J24" s="16"/>
      <c r="K24" s="16" t="s">
        <v>129</v>
      </c>
      <c r="L24" s="16"/>
      <c r="M24" s="16" t="s">
        <v>130</v>
      </c>
    </row>
    <row r="25" spans="1:13" ht="15.75" customHeight="1">
      <c r="A25" s="17"/>
      <c r="C25" s="17"/>
      <c r="E25" s="17"/>
      <c r="G25" s="17" t="s">
        <v>131</v>
      </c>
      <c r="H25" s="96"/>
      <c r="I25" s="17"/>
      <c r="J25" s="17"/>
      <c r="K25" s="17" t="s">
        <v>132</v>
      </c>
      <c r="L25" s="17"/>
      <c r="M25" s="17" t="s">
        <v>133</v>
      </c>
    </row>
    <row r="26" spans="1:13" ht="15.75" customHeight="1">
      <c r="A26" s="16"/>
      <c r="C26" s="16"/>
      <c r="E26" s="16"/>
      <c r="G26" s="16" t="s">
        <v>134</v>
      </c>
      <c r="H26" s="96"/>
      <c r="I26" s="16"/>
      <c r="J26" s="16"/>
      <c r="K26" s="16" t="s">
        <v>135</v>
      </c>
      <c r="L26" s="16"/>
      <c r="M26" s="16"/>
    </row>
    <row r="27" spans="1:13" ht="15.75" customHeight="1">
      <c r="A27" s="17"/>
      <c r="C27" s="17"/>
      <c r="E27" s="17"/>
      <c r="G27" s="17" t="s">
        <v>136</v>
      </c>
      <c r="H27" s="96"/>
      <c r="I27" s="17"/>
      <c r="J27" s="17"/>
      <c r="K27" s="17" t="s">
        <v>127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137</v>
      </c>
      <c r="H28" s="96"/>
      <c r="I28" s="16"/>
      <c r="J28" s="16"/>
      <c r="K28" s="16" t="s">
        <v>130</v>
      </c>
      <c r="L28" s="16"/>
      <c r="M28" s="16" t="s">
        <v>138</v>
      </c>
    </row>
    <row r="29" spans="1:13" ht="15.75" customHeight="1">
      <c r="A29" s="17"/>
      <c r="C29" s="17"/>
      <c r="E29" s="17"/>
      <c r="G29" s="17" t="s">
        <v>139</v>
      </c>
      <c r="H29" s="96"/>
      <c r="I29" s="17"/>
      <c r="J29" s="17"/>
      <c r="K29" s="17" t="s">
        <v>140</v>
      </c>
      <c r="L29" s="17"/>
      <c r="M29" s="17" t="s">
        <v>141</v>
      </c>
    </row>
    <row r="30" spans="1:13" ht="15.75" customHeight="1">
      <c r="A30" s="16"/>
      <c r="C30" s="16"/>
      <c r="E30" s="16"/>
      <c r="G30" s="16" t="s">
        <v>142</v>
      </c>
      <c r="H30" s="96"/>
      <c r="I30" s="16"/>
      <c r="J30" s="16"/>
      <c r="K30" s="16" t="s">
        <v>143</v>
      </c>
      <c r="L30" s="16"/>
      <c r="M30" s="16" t="s">
        <v>144</v>
      </c>
    </row>
    <row r="31" spans="1:13" ht="15.75" customHeight="1">
      <c r="A31" s="17"/>
      <c r="C31" s="17"/>
      <c r="E31" s="17"/>
      <c r="G31" s="17" t="s">
        <v>145</v>
      </c>
      <c r="H31" s="96"/>
      <c r="I31" s="17"/>
      <c r="J31" s="17"/>
      <c r="K31" s="18" t="s">
        <v>146</v>
      </c>
      <c r="L31" s="17"/>
      <c r="M31" s="17" t="s">
        <v>147</v>
      </c>
    </row>
    <row r="32" spans="1:13" ht="15.75" customHeight="1">
      <c r="A32" s="16"/>
      <c r="C32" s="16"/>
      <c r="E32" s="16"/>
      <c r="G32" s="16" t="s">
        <v>148</v>
      </c>
      <c r="H32" s="96"/>
      <c r="I32" s="16"/>
      <c r="J32" s="16"/>
      <c r="K32" s="16" t="s">
        <v>149</v>
      </c>
      <c r="L32" s="16"/>
      <c r="M32" t="s">
        <v>150</v>
      </c>
    </row>
    <row r="33" spans="1:13" ht="15.75" customHeight="1">
      <c r="A33" s="17"/>
      <c r="C33" s="17"/>
      <c r="E33" s="17"/>
      <c r="G33" s="17" t="s">
        <v>151</v>
      </c>
      <c r="H33" s="96"/>
      <c r="I33" s="17"/>
      <c r="J33" s="17"/>
      <c r="K33" s="18" t="s">
        <v>152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153</v>
      </c>
      <c r="H34" s="96"/>
      <c r="I34" s="16"/>
      <c r="J34" s="16"/>
      <c r="K34" s="16" t="s">
        <v>79</v>
      </c>
      <c r="L34" s="16"/>
      <c r="M34" s="16" t="s">
        <v>154</v>
      </c>
    </row>
    <row r="35" spans="1:13" ht="15.75" customHeight="1">
      <c r="A35" s="17"/>
      <c r="C35" s="17"/>
      <c r="E35" s="17"/>
      <c r="G35" s="17" t="s">
        <v>155</v>
      </c>
      <c r="H35" s="96"/>
      <c r="I35" s="17"/>
      <c r="J35" s="17"/>
      <c r="K35" s="17" t="s">
        <v>156</v>
      </c>
      <c r="L35" s="17"/>
      <c r="M35" s="17" t="s">
        <v>157</v>
      </c>
    </row>
    <row r="36" spans="1:13" ht="15.75" customHeight="1">
      <c r="A36" s="16"/>
      <c r="C36" s="16"/>
      <c r="E36" s="16"/>
      <c r="G36" s="16" t="s">
        <v>158</v>
      </c>
      <c r="H36" s="96"/>
      <c r="I36" s="16"/>
      <c r="J36" s="16"/>
      <c r="K36" s="16" t="s">
        <v>159</v>
      </c>
      <c r="L36" s="16"/>
      <c r="M36" s="16" t="s">
        <v>160</v>
      </c>
    </row>
    <row r="37" spans="1:13" ht="15.75" customHeight="1">
      <c r="A37" s="17"/>
      <c r="C37" s="17"/>
      <c r="E37" s="17"/>
      <c r="G37" s="17" t="s">
        <v>161</v>
      </c>
      <c r="H37" s="96"/>
      <c r="I37" s="17"/>
      <c r="J37" s="17"/>
      <c r="K37" s="17" t="s">
        <v>162</v>
      </c>
      <c r="L37" s="17"/>
      <c r="M37" s="17" t="s">
        <v>163</v>
      </c>
    </row>
    <row r="38" spans="1:13" ht="15.75" customHeight="1">
      <c r="A38" s="16"/>
      <c r="C38" s="16"/>
      <c r="E38" s="16"/>
      <c r="G38" s="16"/>
      <c r="H38" s="96"/>
      <c r="I38" s="16"/>
      <c r="J38" s="16"/>
      <c r="K38" s="16" t="s">
        <v>164</v>
      </c>
      <c r="L38" s="16"/>
      <c r="M38" s="16" t="s">
        <v>165</v>
      </c>
    </row>
    <row r="39" spans="1:13" ht="15.75" customHeight="1">
      <c r="A39" s="17"/>
      <c r="C39" s="17"/>
      <c r="E39" s="17"/>
      <c r="G39" s="17"/>
      <c r="H39" s="96"/>
      <c r="I39" s="17"/>
      <c r="J39" s="17"/>
      <c r="K39" s="17" t="s">
        <v>166</v>
      </c>
      <c r="L39" s="17"/>
      <c r="M39" s="17" t="s">
        <v>167</v>
      </c>
    </row>
    <row r="40" spans="1:13" ht="15.75" customHeight="1">
      <c r="A40" s="16"/>
      <c r="C40" s="16"/>
      <c r="E40" s="16"/>
      <c r="G40" s="16"/>
      <c r="H40" s="96"/>
      <c r="I40" s="16"/>
      <c r="J40" s="16"/>
      <c r="K40" s="16" t="s">
        <v>168</v>
      </c>
      <c r="L40" s="16"/>
      <c r="M40" s="16" t="s">
        <v>169</v>
      </c>
    </row>
    <row r="41" spans="1:13" ht="15.75" customHeight="1">
      <c r="A41" s="17"/>
      <c r="C41" s="17"/>
      <c r="E41" s="17"/>
      <c r="G41" s="17"/>
      <c r="H41" s="96"/>
      <c r="I41" s="17"/>
      <c r="J41" s="17"/>
      <c r="K41" s="17" t="s">
        <v>170</v>
      </c>
      <c r="L41" s="17"/>
      <c r="M41" s="17" t="s">
        <v>171</v>
      </c>
    </row>
    <row r="42" spans="1:13" ht="15.75" customHeight="1">
      <c r="A42" s="16"/>
      <c r="C42" s="16"/>
      <c r="E42" s="16"/>
      <c r="G42" s="16"/>
      <c r="H42" s="96"/>
      <c r="I42" s="16"/>
      <c r="J42" s="16"/>
      <c r="K42" s="16" t="s">
        <v>172</v>
      </c>
      <c r="L42" s="16"/>
      <c r="M42" s="16" t="s">
        <v>173</v>
      </c>
    </row>
    <row r="43" spans="1:13" ht="15.75" customHeight="1">
      <c r="A43" s="17"/>
      <c r="C43" s="17"/>
      <c r="E43" s="17"/>
      <c r="G43" s="17"/>
      <c r="H43" s="96"/>
      <c r="I43" s="17"/>
      <c r="J43" s="17"/>
      <c r="K43" s="17" t="s">
        <v>174</v>
      </c>
      <c r="L43" s="17"/>
      <c r="M43" s="17" t="s">
        <v>175</v>
      </c>
    </row>
    <row r="44" spans="1:13" ht="15.75" customHeight="1">
      <c r="A44" s="16"/>
      <c r="C44" s="16"/>
      <c r="E44" s="16"/>
      <c r="G44" s="16"/>
      <c r="H44" s="96"/>
      <c r="I44" s="16"/>
      <c r="J44" s="16"/>
      <c r="K44" s="16" t="s">
        <v>176</v>
      </c>
      <c r="L44" s="16"/>
      <c r="M44" s="16" t="s">
        <v>177</v>
      </c>
    </row>
    <row r="45" spans="1:13" ht="15.75" customHeight="1">
      <c r="A45" s="17"/>
      <c r="C45" s="17"/>
      <c r="E45" s="17"/>
      <c r="G45" s="17"/>
      <c r="H45" s="96"/>
      <c r="I45" s="17"/>
      <c r="J45" s="17"/>
      <c r="K45" s="17"/>
      <c r="L45" s="17"/>
      <c r="M45" s="17" t="s">
        <v>178</v>
      </c>
    </row>
    <row r="46" spans="1:13" ht="15.75" customHeight="1">
      <c r="A46" s="16"/>
      <c r="C46" s="16"/>
      <c r="E46" s="16"/>
      <c r="G46" s="16"/>
      <c r="H46" s="96"/>
      <c r="I46" s="16"/>
      <c r="J46" s="16"/>
      <c r="K46" s="16" t="s">
        <v>179</v>
      </c>
      <c r="L46" s="16"/>
      <c r="M46" s="16" t="s">
        <v>180</v>
      </c>
    </row>
    <row r="47" spans="1:13" ht="15.75" customHeight="1">
      <c r="A47" s="17"/>
      <c r="C47" s="17"/>
      <c r="E47" s="17"/>
      <c r="G47" s="17"/>
      <c r="H47" s="96"/>
      <c r="I47" s="17"/>
      <c r="J47" s="17"/>
      <c r="K47" s="17" t="s">
        <v>181</v>
      </c>
      <c r="L47" s="17"/>
      <c r="M47" s="17" t="s">
        <v>182</v>
      </c>
    </row>
    <row r="48" spans="1:13" ht="15.75" customHeight="1">
      <c r="A48" s="16"/>
      <c r="C48" s="16"/>
      <c r="E48" s="16"/>
      <c r="G48" s="16"/>
      <c r="H48" s="96"/>
      <c r="I48" s="16"/>
      <c r="J48" s="16"/>
      <c r="K48" s="16" t="s">
        <v>183</v>
      </c>
      <c r="L48" s="16"/>
      <c r="M48" s="16" t="s">
        <v>184</v>
      </c>
    </row>
    <row r="49" spans="1:13" ht="18" customHeight="1">
      <c r="H49" s="96"/>
      <c r="I49" s="17"/>
      <c r="J49" s="17"/>
      <c r="K49" s="17" t="s">
        <v>185</v>
      </c>
      <c r="L49" s="17"/>
      <c r="M49" s="17" t="s">
        <v>186</v>
      </c>
    </row>
    <row r="50" spans="1:13" ht="21" customHeight="1">
      <c r="A50" s="19" t="s">
        <v>187</v>
      </c>
      <c r="B50" s="19"/>
      <c r="C50" s="19"/>
      <c r="D50" s="19"/>
      <c r="E50" s="19"/>
      <c r="F50" s="19"/>
      <c r="G50" s="19"/>
      <c r="H50" s="96"/>
      <c r="I50" s="16"/>
      <c r="J50" s="16"/>
      <c r="K50" s="16" t="s">
        <v>188</v>
      </c>
      <c r="L50" s="16"/>
      <c r="M50" s="16" t="s">
        <v>189</v>
      </c>
    </row>
    <row r="51" spans="1:13" ht="24" customHeight="1">
      <c r="H51" s="96"/>
      <c r="I51" s="17"/>
      <c r="J51" s="17"/>
      <c r="K51" s="17" t="s">
        <v>190</v>
      </c>
      <c r="L51" s="17"/>
      <c r="M51" s="17" t="s">
        <v>191</v>
      </c>
    </row>
    <row r="52" spans="1:13" ht="24" customHeight="1">
      <c r="H52" s="96"/>
      <c r="I52" s="16"/>
      <c r="J52" s="16"/>
      <c r="K52" s="16" t="s">
        <v>192</v>
      </c>
      <c r="L52" s="16"/>
      <c r="M52" s="16" t="s">
        <v>193</v>
      </c>
    </row>
    <row r="53" spans="1:13" ht="36" customHeight="1">
      <c r="H53" s="96"/>
      <c r="I53" s="17"/>
      <c r="J53" s="17"/>
      <c r="K53" s="17" t="s">
        <v>194</v>
      </c>
      <c r="L53" s="17"/>
      <c r="M53" s="17" t="s">
        <v>195</v>
      </c>
    </row>
    <row r="54" spans="1:13" ht="15" customHeight="1">
      <c r="H54" s="96"/>
      <c r="I54" s="16"/>
      <c r="J54" s="16"/>
      <c r="K54" s="16" t="s">
        <v>196</v>
      </c>
      <c r="L54" s="16"/>
      <c r="M54" s="16"/>
    </row>
    <row r="55" spans="1:13" ht="15" customHeight="1">
      <c r="H55" s="96"/>
      <c r="I55" s="17"/>
      <c r="J55" s="17"/>
      <c r="K55" s="17" t="s">
        <v>197</v>
      </c>
      <c r="L55" s="17"/>
      <c r="M55" s="17"/>
    </row>
    <row r="56" spans="1:13" ht="15" customHeight="1">
      <c r="H56" s="96"/>
      <c r="I56" s="16"/>
      <c r="J56" s="16"/>
      <c r="K56" s="16" t="s">
        <v>198</v>
      </c>
      <c r="L56" s="16"/>
      <c r="M56" s="16"/>
    </row>
    <row r="57" spans="1:13" ht="15" customHeight="1">
      <c r="H57" s="96"/>
      <c r="I57" s="17"/>
      <c r="J57" s="17"/>
      <c r="K57" s="17" t="s">
        <v>50</v>
      </c>
      <c r="L57" s="17"/>
      <c r="M57" s="17"/>
    </row>
    <row r="58" spans="1:13" ht="15" customHeight="1">
      <c r="H58" s="96"/>
      <c r="I58" s="16"/>
      <c r="J58" s="16"/>
      <c r="K58" s="16" t="s">
        <v>199</v>
      </c>
      <c r="L58" s="16"/>
      <c r="M58" s="16"/>
    </row>
    <row r="59" spans="1:13" ht="15" customHeight="1">
      <c r="H59" s="96"/>
      <c r="I59" s="17"/>
      <c r="J59" s="17"/>
      <c r="K59" s="17" t="s">
        <v>200</v>
      </c>
      <c r="L59" s="17"/>
      <c r="M59" s="17"/>
    </row>
    <row r="60" spans="1:13" ht="15" customHeight="1">
      <c r="H60" s="96"/>
      <c r="I60" s="16"/>
      <c r="J60" s="16"/>
      <c r="K60" s="87" t="s">
        <v>105</v>
      </c>
      <c r="L60" s="16"/>
      <c r="M60" s="16"/>
    </row>
    <row r="61" spans="1:13" ht="15" customHeight="1">
      <c r="H61" s="96"/>
      <c r="I61" s="17"/>
      <c r="J61" s="17"/>
      <c r="K61" s="17" t="s">
        <v>201</v>
      </c>
      <c r="L61" s="17"/>
      <c r="M61" s="17"/>
    </row>
    <row r="62" spans="1:13" ht="15" customHeight="1">
      <c r="H62" s="96"/>
      <c r="I62" s="16"/>
      <c r="J62" s="16"/>
      <c r="K62" s="16" t="s">
        <v>202</v>
      </c>
      <c r="L62" s="16"/>
      <c r="M62" s="16"/>
    </row>
    <row r="63" spans="1:13" ht="15" customHeight="1">
      <c r="H63" s="96"/>
      <c r="I63" s="17"/>
      <c r="J63" s="17"/>
      <c r="K63" s="17" t="s">
        <v>203</v>
      </c>
      <c r="L63" s="17"/>
      <c r="M63" s="17"/>
    </row>
    <row r="64" spans="1:13" ht="15" customHeight="1">
      <c r="H64" s="96"/>
      <c r="I64" s="16"/>
      <c r="J64" s="16"/>
      <c r="K64" s="16" t="s">
        <v>204</v>
      </c>
      <c r="L64" s="16"/>
      <c r="M64" s="16"/>
    </row>
    <row r="65" spans="8:13" ht="15" customHeight="1">
      <c r="H65" s="96"/>
      <c r="I65" s="17"/>
      <c r="J65" s="17"/>
      <c r="K65" s="17"/>
      <c r="L65" s="17"/>
      <c r="M65" s="17"/>
    </row>
    <row r="66" spans="8:13" ht="15" customHeight="1">
      <c r="H66" s="96"/>
      <c r="I66" s="16"/>
      <c r="J66" s="16"/>
      <c r="K66" s="16"/>
      <c r="L66" s="16"/>
      <c r="M66" s="16"/>
    </row>
    <row r="67" spans="8:13" ht="15" customHeight="1">
      <c r="H67" s="96"/>
      <c r="I67" s="17"/>
      <c r="J67" s="17"/>
      <c r="K67" s="17"/>
      <c r="L67" s="17"/>
      <c r="M67" s="17"/>
    </row>
    <row r="68" spans="8:13" ht="15" customHeight="1">
      <c r="H68" s="96"/>
      <c r="I68" s="16"/>
      <c r="J68" s="16"/>
      <c r="K68" s="16"/>
      <c r="L68" s="16"/>
      <c r="M68" s="16"/>
    </row>
    <row r="69" spans="8:13" ht="15" customHeight="1">
      <c r="H69" s="96"/>
      <c r="I69" s="17"/>
      <c r="J69" s="17"/>
      <c r="K69" s="17"/>
      <c r="L69" s="17"/>
      <c r="M69" s="17"/>
    </row>
    <row r="70" spans="8:13" ht="15" customHeight="1">
      <c r="H70" s="96"/>
      <c r="I70" s="16"/>
      <c r="J70" s="16"/>
      <c r="K70" s="16"/>
      <c r="L70" s="16"/>
      <c r="M70" s="16"/>
    </row>
    <row r="71" spans="8:13" ht="15" customHeight="1">
      <c r="H71" s="96"/>
      <c r="I71" s="17"/>
      <c r="J71" s="17"/>
      <c r="K71" s="17"/>
      <c r="L71" s="17"/>
      <c r="M71" s="17"/>
    </row>
    <row r="72" spans="8:13" ht="15" customHeight="1">
      <c r="H72" s="96"/>
      <c r="I72" s="16"/>
      <c r="J72" s="16"/>
      <c r="K72" s="16"/>
      <c r="L72" s="16"/>
      <c r="M72" s="16"/>
    </row>
    <row r="73" spans="8:13" ht="15" customHeight="1">
      <c r="H73" s="96"/>
      <c r="I73" s="17"/>
      <c r="J73" s="17"/>
      <c r="K73" s="17"/>
      <c r="L73" s="17"/>
      <c r="M73" s="17"/>
    </row>
    <row r="74" spans="8:13" ht="15" customHeight="1">
      <c r="H74" s="96"/>
      <c r="I74" s="16"/>
      <c r="J74" s="16"/>
      <c r="K74" s="16"/>
      <c r="L74" s="16"/>
      <c r="M74" s="16"/>
    </row>
    <row r="75" spans="8:13" ht="15" customHeight="1">
      <c r="H75" s="96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1"/>
  <sheetViews>
    <sheetView showGridLines="0" zoomScale="60" zoomScaleNormal="60" workbookViewId="0">
      <pane ySplit="1" topLeftCell="A353" activePane="bottomLeft" state="frozen"/>
      <selection pane="bottomLeft" activeCell="K353" sqref="K353"/>
    </sheetView>
  </sheetViews>
  <sheetFormatPr defaultColWidth="8.5703125" defaultRowHeight="14.45"/>
  <cols>
    <col min="1" max="1" width="13" style="71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46" style="20" customWidth="1"/>
    <col min="15" max="15" width="14" customWidth="1"/>
  </cols>
  <sheetData>
    <row r="1" spans="1:15" ht="37.5" customHeight="1">
      <c r="A1" s="68" t="s">
        <v>7</v>
      </c>
      <c r="B1" s="23" t="s">
        <v>205</v>
      </c>
      <c r="C1" s="23" t="s">
        <v>12</v>
      </c>
      <c r="D1" s="22" t="s">
        <v>13</v>
      </c>
      <c r="E1" s="22" t="s">
        <v>206</v>
      </c>
      <c r="F1" s="23" t="s">
        <v>207</v>
      </c>
      <c r="G1" s="23" t="s">
        <v>208</v>
      </c>
      <c r="H1" s="23" t="s">
        <v>14</v>
      </c>
      <c r="I1" s="23" t="s">
        <v>15</v>
      </c>
      <c r="J1" s="23" t="s">
        <v>209</v>
      </c>
      <c r="K1" s="23" t="s">
        <v>210</v>
      </c>
      <c r="L1" s="23" t="s">
        <v>211</v>
      </c>
      <c r="M1" s="24" t="s">
        <v>212</v>
      </c>
      <c r="N1" s="23" t="s">
        <v>213</v>
      </c>
      <c r="O1" s="23" t="s">
        <v>214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20" t="s">
        <v>215</v>
      </c>
      <c r="E2" s="59" t="s">
        <v>216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107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217</v>
      </c>
      <c r="O2" s="31"/>
    </row>
    <row r="3" spans="1:15" ht="15" customHeight="1">
      <c r="A3" s="70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216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141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9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216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70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216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9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216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70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216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9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216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70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216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9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216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70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216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9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216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70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216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101" t="s">
        <v>218</v>
      </c>
      <c r="B14" s="102"/>
      <c r="C14" s="102"/>
      <c r="D14" s="102"/>
      <c r="E14" s="103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219</v>
      </c>
      <c r="O14" s="39">
        <v>1489420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216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216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216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216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216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216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216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216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216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216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216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216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101" t="s">
        <v>220</v>
      </c>
      <c r="B27" s="102"/>
      <c r="C27" s="102"/>
      <c r="D27" s="102"/>
      <c r="E27" s="103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219</v>
      </c>
      <c r="O27" s="39">
        <v>1183060</v>
      </c>
    </row>
    <row r="28" spans="1:15" ht="18" customHeight="1">
      <c r="A28" s="98" t="s">
        <v>221</v>
      </c>
      <c r="B28" s="99"/>
      <c r="C28" s="99"/>
      <c r="D28" s="99"/>
      <c r="E28" s="100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222</v>
      </c>
      <c r="O28" s="43">
        <f>IFERROR(O14+O27,"")</f>
        <v>2672480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216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216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181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223</v>
      </c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216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216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216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216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216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216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216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216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216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216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1" t="s">
        <v>218</v>
      </c>
      <c r="B41" s="102"/>
      <c r="C41" s="102"/>
      <c r="D41" s="102"/>
      <c r="E41" s="103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219</v>
      </c>
      <c r="O41" s="39">
        <v>108620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216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216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216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216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216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216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216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216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216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216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216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216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01" t="s">
        <v>220</v>
      </c>
      <c r="B54" s="102"/>
      <c r="C54" s="102"/>
      <c r="D54" s="102"/>
      <c r="E54" s="103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219</v>
      </c>
      <c r="O54" s="39">
        <v>959290</v>
      </c>
    </row>
    <row r="55" spans="1:15" ht="18" customHeight="1">
      <c r="A55" s="98" t="s">
        <v>221</v>
      </c>
      <c r="B55" s="99"/>
      <c r="C55" s="99"/>
      <c r="D55" s="99"/>
      <c r="E55" s="100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222</v>
      </c>
      <c r="O55" s="43">
        <f>IFERROR(O41+O54,"")</f>
        <v>1067910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216</v>
      </c>
      <c r="F56" s="27">
        <v>12</v>
      </c>
      <c r="G56" s="28">
        <f t="shared" ref="G56:G67" si="12">IF(F56="","",IF(E56="PC 17",F56*4.2,IF(E56="PC 19",F56*5,"")))</f>
        <v>60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216</v>
      </c>
      <c r="F57" s="27">
        <v>45</v>
      </c>
      <c r="G57" s="34">
        <f t="shared" si="12"/>
        <v>225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216</v>
      </c>
      <c r="F58" s="27">
        <v>40</v>
      </c>
      <c r="G58" s="28">
        <f t="shared" si="12"/>
        <v>200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216</v>
      </c>
      <c r="F59" s="27">
        <v>30</v>
      </c>
      <c r="G59" s="34">
        <f t="shared" si="12"/>
        <v>150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216</v>
      </c>
      <c r="F60" s="27">
        <v>30</v>
      </c>
      <c r="G60" s="28">
        <f t="shared" si="12"/>
        <v>150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216</v>
      </c>
      <c r="F61" s="27">
        <v>28</v>
      </c>
      <c r="G61" s="34">
        <f t="shared" si="12"/>
        <v>140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216</v>
      </c>
      <c r="F62" s="27">
        <v>32</v>
      </c>
      <c r="G62" s="28">
        <f t="shared" si="12"/>
        <v>160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216</v>
      </c>
      <c r="F63" s="27">
        <v>35</v>
      </c>
      <c r="G63" s="34">
        <f t="shared" si="12"/>
        <v>175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216</v>
      </c>
      <c r="F64" s="27">
        <v>35</v>
      </c>
      <c r="G64" s="28">
        <f t="shared" si="12"/>
        <v>175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216</v>
      </c>
      <c r="F65" s="27">
        <v>35</v>
      </c>
      <c r="G65" s="34">
        <f t="shared" si="12"/>
        <v>175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216</v>
      </c>
      <c r="F66" s="27">
        <v>30</v>
      </c>
      <c r="G66" s="28">
        <f t="shared" si="12"/>
        <v>150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216</v>
      </c>
      <c r="F67" s="27">
        <v>17</v>
      </c>
      <c r="G67" s="34">
        <f t="shared" si="12"/>
        <v>85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1" t="s">
        <v>218</v>
      </c>
      <c r="B68" s="102"/>
      <c r="C68" s="102"/>
      <c r="D68" s="102"/>
      <c r="E68" s="103">
        <f>SUM(E56:E67)</f>
        <v>0</v>
      </c>
      <c r="F68" s="36">
        <f>SUM(F56:F67)</f>
        <v>369</v>
      </c>
      <c r="G68" s="36">
        <f>SUM(G56:G67)</f>
        <v>1845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219</v>
      </c>
      <c r="O68" s="39">
        <v>1953130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216</v>
      </c>
      <c r="F69" s="27">
        <v>30</v>
      </c>
      <c r="G69" s="34">
        <f t="shared" ref="G69:G80" si="15">IF(F69="","",IF(E69="PC 17",F69*4.2,IF(E69="PC 19",F69*5,"")))</f>
        <v>150</v>
      </c>
      <c r="H69" s="33" t="s">
        <v>20</v>
      </c>
      <c r="I69" s="33" t="s">
        <v>23</v>
      </c>
      <c r="J69" s="33" t="s">
        <v>178</v>
      </c>
      <c r="K69" s="29">
        <v>0.98611111111111116</v>
      </c>
      <c r="L69" s="29">
        <v>1.9444444444444445E-2</v>
      </c>
      <c r="M69" s="35">
        <f t="shared" ref="M69:M80" ca="1" si="16">IFERROR(IF(K69="","",IF(L69="",MOD(NOW()-K69,1),IF(L69&gt;=K69,L69-K69,L69+1-K69))),"")</f>
        <v>3.3333333333333215E-2</v>
      </c>
      <c r="N69" s="27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216</v>
      </c>
      <c r="F70" s="27">
        <v>12</v>
      </c>
      <c r="G70" s="28">
        <f t="shared" si="15"/>
        <v>60</v>
      </c>
      <c r="H70" s="26" t="s">
        <v>20</v>
      </c>
      <c r="I70" s="26" t="s">
        <v>23</v>
      </c>
      <c r="J70" s="26" t="s">
        <v>130</v>
      </c>
      <c r="K70" s="29">
        <v>0.1388888888888889</v>
      </c>
      <c r="L70" s="29">
        <v>0.22222222222222221</v>
      </c>
      <c r="M70" s="30">
        <f t="shared" ca="1" si="16"/>
        <v>8.3333333333333315E-2</v>
      </c>
      <c r="N70" s="27" t="s">
        <v>224</v>
      </c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216</v>
      </c>
      <c r="F71" s="27">
        <v>13</v>
      </c>
      <c r="G71" s="34">
        <f t="shared" si="15"/>
        <v>65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216</v>
      </c>
      <c r="F72" s="27">
        <v>23</v>
      </c>
      <c r="G72" s="28">
        <f t="shared" si="15"/>
        <v>115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216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216</v>
      </c>
      <c r="F74" s="27">
        <v>30</v>
      </c>
      <c r="G74" s="28">
        <f t="shared" si="15"/>
        <v>150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216</v>
      </c>
      <c r="F75" s="27">
        <v>40</v>
      </c>
      <c r="G75" s="34">
        <f t="shared" si="15"/>
        <v>200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216</v>
      </c>
      <c r="F76" s="27">
        <v>20</v>
      </c>
      <c r="G76" s="28">
        <f t="shared" si="15"/>
        <v>100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216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216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22</v>
      </c>
      <c r="E79" s="62" t="s">
        <v>216</v>
      </c>
      <c r="F79" s="27">
        <v>26</v>
      </c>
      <c r="G79" s="34">
        <f t="shared" si="15"/>
        <v>130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216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1" t="s">
        <v>220</v>
      </c>
      <c r="B81" s="102"/>
      <c r="C81" s="102"/>
      <c r="D81" s="102"/>
      <c r="E81" s="103">
        <f>SUM(E69:E80)</f>
        <v>0</v>
      </c>
      <c r="F81" s="36">
        <f>SUM(F69:F80)</f>
        <v>194</v>
      </c>
      <c r="G81" s="36">
        <f>SUM(G69:G80)</f>
        <v>970</v>
      </c>
      <c r="H81" s="37"/>
      <c r="I81" s="37"/>
      <c r="J81" s="37"/>
      <c r="K81" s="37"/>
      <c r="L81" s="37"/>
      <c r="M81" s="38">
        <f ca="1">IFERROR(SUM(M69:M80),"")</f>
        <v>0.11666666666666653</v>
      </c>
      <c r="N81" s="36" t="s">
        <v>219</v>
      </c>
      <c r="O81" s="39">
        <v>878050</v>
      </c>
    </row>
    <row r="82" spans="1:15" ht="18" customHeight="1">
      <c r="A82" s="98" t="s">
        <v>221</v>
      </c>
      <c r="B82" s="99"/>
      <c r="C82" s="99"/>
      <c r="D82" s="99"/>
      <c r="E82" s="100">
        <f>E68+E81</f>
        <v>0</v>
      </c>
      <c r="F82" s="40">
        <f>F68+F81</f>
        <v>563</v>
      </c>
      <c r="G82" s="40">
        <f>G68+G81</f>
        <v>2815</v>
      </c>
      <c r="H82" s="41"/>
      <c r="I82" s="41"/>
      <c r="J82" s="41"/>
      <c r="K82" s="41"/>
      <c r="L82" s="41"/>
      <c r="M82" s="42">
        <f ca="1">IFERROR(M68+M81,"")</f>
        <v>0.11666666666666653</v>
      </c>
      <c r="N82" s="40" t="s">
        <v>222</v>
      </c>
      <c r="O82" s="43">
        <f>IFERROR(O68+O81,"")</f>
        <v>2831180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216</v>
      </c>
      <c r="F83" s="27">
        <v>25</v>
      </c>
      <c r="G83" s="28">
        <f t="shared" ref="G83:G94" si="18">IF(F83="","",IF(E83="PC 17",F83*4.2,IF(E83="PC 19",F83*5,"")))</f>
        <v>125</v>
      </c>
      <c r="H83" s="33" t="s">
        <v>18</v>
      </c>
      <c r="I83" s="33"/>
      <c r="J83" s="33" t="s">
        <v>164</v>
      </c>
      <c r="K83" s="29">
        <v>0.29722222222222222</v>
      </c>
      <c r="L83" s="29">
        <v>0.31319444444444444</v>
      </c>
      <c r="M83" s="35">
        <f t="shared" ref="M83:M94" ca="1" si="19">IFERROR(IF(K83="","",IF(L83="",MOD(NOW()-K83,1),IF(L83&gt;=K83,L83-K83,L83+1-K83))),"")</f>
        <v>1.5972222222222221E-2</v>
      </c>
      <c r="N83" s="27" t="s">
        <v>225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216</v>
      </c>
      <c r="F84" s="27">
        <v>25</v>
      </c>
      <c r="G84" s="34">
        <f t="shared" si="18"/>
        <v>125</v>
      </c>
      <c r="H84" s="26" t="s">
        <v>19</v>
      </c>
      <c r="I84" s="26" t="s">
        <v>23</v>
      </c>
      <c r="J84" s="26" t="s">
        <v>50</v>
      </c>
      <c r="K84" s="29">
        <v>0.37291666666666667</v>
      </c>
      <c r="L84" s="29">
        <v>0.41944444444444445</v>
      </c>
      <c r="M84" s="30">
        <f t="shared" ca="1" si="19"/>
        <v>4.6527777777777779E-2</v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216</v>
      </c>
      <c r="F85" s="27">
        <v>0</v>
      </c>
      <c r="G85" s="28">
        <f t="shared" si="18"/>
        <v>0</v>
      </c>
      <c r="H85" s="33" t="s">
        <v>20</v>
      </c>
      <c r="I85" s="33" t="s">
        <v>142</v>
      </c>
      <c r="J85" s="33" t="s">
        <v>127</v>
      </c>
      <c r="K85" s="29">
        <v>0.48402777777777778</v>
      </c>
      <c r="L85" s="29">
        <v>0.53333333333333333</v>
      </c>
      <c r="M85" s="35">
        <f t="shared" ca="1" si="19"/>
        <v>4.9305555555555547E-2</v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216</v>
      </c>
      <c r="F86" s="27">
        <v>15</v>
      </c>
      <c r="G86" s="34">
        <f t="shared" si="18"/>
        <v>75</v>
      </c>
      <c r="H86" s="26" t="s">
        <v>18</v>
      </c>
      <c r="I86" s="26" t="s">
        <v>23</v>
      </c>
      <c r="J86" s="26" t="s">
        <v>190</v>
      </c>
      <c r="K86" s="29">
        <v>0.60624999999999996</v>
      </c>
      <c r="L86" s="29">
        <v>0.66041666666666665</v>
      </c>
      <c r="M86" s="30">
        <f t="shared" ca="1" si="19"/>
        <v>5.4166666666666696E-2</v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216</v>
      </c>
      <c r="F87" s="27">
        <v>17</v>
      </c>
      <c r="G87" s="28">
        <f t="shared" si="18"/>
        <v>85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216</v>
      </c>
      <c r="F88" s="27">
        <v>24</v>
      </c>
      <c r="G88" s="34">
        <f t="shared" si="18"/>
        <v>120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216</v>
      </c>
      <c r="F89" s="27">
        <v>15</v>
      </c>
      <c r="G89" s="28">
        <f t="shared" si="18"/>
        <v>75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216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216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22</v>
      </c>
      <c r="E92" s="59" t="s">
        <v>216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22</v>
      </c>
      <c r="E93" s="59" t="s">
        <v>216</v>
      </c>
      <c r="F93" s="27">
        <v>23</v>
      </c>
      <c r="G93" s="28">
        <f t="shared" si="18"/>
        <v>115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 t="s">
        <v>216</v>
      </c>
      <c r="F94" s="27">
        <v>22</v>
      </c>
      <c r="G94" s="34">
        <f t="shared" si="18"/>
        <v>110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1" t="s">
        <v>218</v>
      </c>
      <c r="B95" s="102"/>
      <c r="C95" s="102"/>
      <c r="D95" s="102"/>
      <c r="E95" s="103">
        <f>SUM(E83:E94)</f>
        <v>0</v>
      </c>
      <c r="F95" s="36">
        <f>SUM(F83:F94)</f>
        <v>166</v>
      </c>
      <c r="G95" s="36">
        <f>SUM(G83:G94)</f>
        <v>830</v>
      </c>
      <c r="H95" s="37"/>
      <c r="I95" s="37"/>
      <c r="J95" s="37"/>
      <c r="K95" s="37"/>
      <c r="L95" s="37"/>
      <c r="M95" s="38">
        <f ca="1">IFERROR(SUM(M83:M94),"")</f>
        <v>0.16597222222222224</v>
      </c>
      <c r="N95" s="36" t="s">
        <v>219</v>
      </c>
      <c r="O95" s="39">
        <v>1704450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 t="s">
        <v>226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1" t="s">
        <v>220</v>
      </c>
      <c r="B108" s="102"/>
      <c r="C108" s="102"/>
      <c r="D108" s="102"/>
      <c r="E108" s="103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219</v>
      </c>
      <c r="O108" s="39">
        <v>1700000</v>
      </c>
    </row>
    <row r="109" spans="1:15" ht="18" customHeight="1">
      <c r="A109" s="98" t="s">
        <v>221</v>
      </c>
      <c r="B109" s="99"/>
      <c r="C109" s="99"/>
      <c r="D109" s="99"/>
      <c r="E109" s="100">
        <f>E95+E108</f>
        <v>0</v>
      </c>
      <c r="F109" s="40">
        <f>F95+F108</f>
        <v>166</v>
      </c>
      <c r="G109" s="40">
        <f>G95+G108</f>
        <v>830</v>
      </c>
      <c r="H109" s="41"/>
      <c r="I109" s="41"/>
      <c r="J109" s="41"/>
      <c r="K109" s="41"/>
      <c r="L109" s="41"/>
      <c r="M109" s="42">
        <f ca="1">IFERROR(M95+M108,"")</f>
        <v>0.16597222222222224</v>
      </c>
      <c r="N109" s="40" t="s">
        <v>222</v>
      </c>
      <c r="O109" s="43">
        <f>IFERROR(O95+O108,"")</f>
        <v>3404450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216</v>
      </c>
      <c r="F110" s="27">
        <v>20</v>
      </c>
      <c r="G110" s="28">
        <f t="shared" ref="G110:G121" si="24">IF(F110="","",IF(E110="PC 17",F110*4.2,IF(E110="PC 19",F110*5,"")))</f>
        <v>100</v>
      </c>
      <c r="H110" s="26" t="s">
        <v>18</v>
      </c>
      <c r="I110" s="26" t="s">
        <v>23</v>
      </c>
      <c r="J110" s="26" t="s">
        <v>197</v>
      </c>
      <c r="K110" s="29">
        <v>0.46875</v>
      </c>
      <c r="L110" s="29">
        <v>0.4826388888888889</v>
      </c>
      <c r="M110" s="30">
        <f t="shared" ref="M110:M121" ca="1" si="25">IFERROR(IF(K110="","",IF(L110="",MOD(NOW()-K110,1),IF(L110&gt;=K110,L110-K110,L110+1-K110))),"")</f>
        <v>1.3888888888888895E-2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216</v>
      </c>
      <c r="F111" s="27">
        <v>30</v>
      </c>
      <c r="G111" s="34">
        <f t="shared" si="24"/>
        <v>150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216</v>
      </c>
      <c r="F112" s="27">
        <v>40</v>
      </c>
      <c r="G112" s="28">
        <f t="shared" si="24"/>
        <v>200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216</v>
      </c>
      <c r="F113" s="27">
        <v>40</v>
      </c>
      <c r="G113" s="34">
        <f t="shared" si="24"/>
        <v>200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216</v>
      </c>
      <c r="F114" s="27">
        <v>20</v>
      </c>
      <c r="G114" s="28">
        <f t="shared" si="24"/>
        <v>100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216</v>
      </c>
      <c r="F115" s="27">
        <v>30</v>
      </c>
      <c r="G115" s="34">
        <f t="shared" si="24"/>
        <v>150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216</v>
      </c>
      <c r="F116" s="27">
        <v>15</v>
      </c>
      <c r="G116" s="28">
        <f t="shared" si="24"/>
        <v>75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216</v>
      </c>
      <c r="F117" s="27">
        <v>6</v>
      </c>
      <c r="G117" s="34">
        <f t="shared" si="24"/>
        <v>30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216</v>
      </c>
      <c r="F118" s="27">
        <v>32</v>
      </c>
      <c r="G118" s="28">
        <f t="shared" si="24"/>
        <v>160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216</v>
      </c>
      <c r="F119" s="27">
        <v>24</v>
      </c>
      <c r="G119" s="34">
        <f t="shared" si="24"/>
        <v>120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216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216</v>
      </c>
      <c r="F121" s="27">
        <v>10</v>
      </c>
      <c r="G121" s="34">
        <f t="shared" si="24"/>
        <v>50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1" t="s">
        <v>218</v>
      </c>
      <c r="B122" s="102"/>
      <c r="C122" s="102"/>
      <c r="D122" s="102"/>
      <c r="E122" s="103">
        <f>SUM(E110:E121)</f>
        <v>0</v>
      </c>
      <c r="F122" s="36">
        <f>SUM(F110:F121)</f>
        <v>267</v>
      </c>
      <c r="G122" s="36">
        <f>SUM(G110:G121)</f>
        <v>1335</v>
      </c>
      <c r="H122" s="37"/>
      <c r="I122" s="37"/>
      <c r="J122" s="37"/>
      <c r="K122" s="37"/>
      <c r="L122" s="37"/>
      <c r="M122" s="38">
        <f ca="1">IFERROR(SUM(M110:M121),"")</f>
        <v>1.3888888888888895E-2</v>
      </c>
      <c r="N122" s="36" t="s">
        <v>219</v>
      </c>
      <c r="O122" s="39">
        <v>1625420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/>
      <c r="F123" s="27"/>
      <c r="G123" s="34" t="str">
        <f t="shared" ref="G123:G134" si="27">IF(F123="","",IF(E123="PC 17",F123*4.2,IF(E123="PC 19",F123*5,"")))</f>
        <v/>
      </c>
      <c r="H123" s="33" t="s">
        <v>20</v>
      </c>
      <c r="I123" s="33" t="s">
        <v>23</v>
      </c>
      <c r="J123" s="33" t="s">
        <v>184</v>
      </c>
      <c r="K123" s="29">
        <v>0.86805555555555558</v>
      </c>
      <c r="L123" s="29">
        <v>0.89583333333333337</v>
      </c>
      <c r="M123" s="35">
        <f t="shared" ref="M123:M134" ca="1" si="28">IFERROR(IF(K123="","",IF(L123="",MOD(NOW()-K123,1),IF(L123&gt;=K123,L123-K123,L123+1-K123))),"")</f>
        <v>2.777777777777779E-2</v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216</v>
      </c>
      <c r="F124" s="27">
        <v>4</v>
      </c>
      <c r="G124" s="28">
        <f t="shared" si="27"/>
        <v>20</v>
      </c>
      <c r="H124" s="26" t="s">
        <v>20</v>
      </c>
      <c r="I124" s="26" t="s">
        <v>23</v>
      </c>
      <c r="J124" s="26" t="s">
        <v>186</v>
      </c>
      <c r="K124" s="29">
        <v>0.13194444444444445</v>
      </c>
      <c r="L124" s="29">
        <v>0.20833333333333334</v>
      </c>
      <c r="M124" s="30">
        <f t="shared" ca="1" si="28"/>
        <v>7.6388888888888895E-2</v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1" t="s">
        <v>220</v>
      </c>
      <c r="B135" s="102"/>
      <c r="C135" s="102"/>
      <c r="D135" s="102"/>
      <c r="E135" s="103">
        <f>SUM(E123:E134)</f>
        <v>0</v>
      </c>
      <c r="F135" s="36">
        <f>SUM(F123:F134)</f>
        <v>4</v>
      </c>
      <c r="G135" s="36">
        <f>SUM(G123:G134)</f>
        <v>20</v>
      </c>
      <c r="H135" s="37"/>
      <c r="I135" s="37"/>
      <c r="J135" s="37"/>
      <c r="K135" s="37"/>
      <c r="L135" s="37"/>
      <c r="M135" s="38">
        <f ca="1">IFERROR(SUM(M123:M134),"")</f>
        <v>0.10416666666666669</v>
      </c>
      <c r="N135" s="36" t="s">
        <v>219</v>
      </c>
      <c r="O135" s="39">
        <v>862330</v>
      </c>
    </row>
    <row r="136" spans="1:15" ht="18" customHeight="1">
      <c r="A136" s="98" t="s">
        <v>221</v>
      </c>
      <c r="B136" s="99"/>
      <c r="C136" s="99"/>
      <c r="D136" s="99"/>
      <c r="E136" s="100">
        <f>E122+E135</f>
        <v>0</v>
      </c>
      <c r="F136" s="40">
        <f>F122+F135</f>
        <v>271</v>
      </c>
      <c r="G136" s="40">
        <f>G122+G135</f>
        <v>1355</v>
      </c>
      <c r="H136" s="41"/>
      <c r="I136" s="41"/>
      <c r="J136" s="41"/>
      <c r="K136" s="41"/>
      <c r="L136" s="41"/>
      <c r="M136" s="42">
        <f ca="1">IFERROR(M122+M135,"")</f>
        <v>0.11805555555555558</v>
      </c>
      <c r="N136" s="40" t="s">
        <v>222</v>
      </c>
      <c r="O136" s="43">
        <f>IFERROR(O122+O135,"")</f>
        <v>2487750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216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20</v>
      </c>
      <c r="I137" s="33" t="s">
        <v>23</v>
      </c>
      <c r="J137" s="33" t="s">
        <v>184</v>
      </c>
      <c r="K137" s="29">
        <v>0.29166666666666669</v>
      </c>
      <c r="L137" s="29">
        <v>0.3263888888888889</v>
      </c>
      <c r="M137" s="35">
        <f t="shared" ref="M137:M148" ca="1" si="31">IFERROR(IF(K137="","",IF(L137="",MOD(NOW()-K137,1),IF(L137&gt;=K137,L137-K137,L137+1-K137))),"")</f>
        <v>3.472222222222221E-2</v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216</v>
      </c>
      <c r="F138" s="27">
        <v>22</v>
      </c>
      <c r="G138" s="28">
        <f t="shared" si="30"/>
        <v>110</v>
      </c>
      <c r="H138" s="26" t="s">
        <v>19</v>
      </c>
      <c r="I138" s="26" t="s">
        <v>23</v>
      </c>
      <c r="J138" s="26" t="s">
        <v>67</v>
      </c>
      <c r="K138" s="29">
        <v>0.5493055555555556</v>
      </c>
      <c r="L138" s="29">
        <v>0.57638888888888884</v>
      </c>
      <c r="M138" s="30">
        <f t="shared" ca="1" si="31"/>
        <v>2.7083333333333237E-2</v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216</v>
      </c>
      <c r="F139" s="27">
        <v>8</v>
      </c>
      <c r="G139" s="34">
        <f t="shared" si="30"/>
        <v>40</v>
      </c>
      <c r="H139" s="33" t="s">
        <v>19</v>
      </c>
      <c r="I139" s="33" t="s">
        <v>23</v>
      </c>
      <c r="J139" s="33" t="s">
        <v>107</v>
      </c>
      <c r="K139" s="29">
        <v>0.58333333333333337</v>
      </c>
      <c r="L139" s="29">
        <v>0.60416666666666663</v>
      </c>
      <c r="M139" s="35">
        <f t="shared" ca="1" si="31"/>
        <v>2.0833333333333259E-2</v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216</v>
      </c>
      <c r="F140" s="27">
        <v>6</v>
      </c>
      <c r="G140" s="28">
        <f t="shared" si="30"/>
        <v>30</v>
      </c>
      <c r="H140" s="26" t="s">
        <v>19</v>
      </c>
      <c r="I140" s="26" t="s">
        <v>23</v>
      </c>
      <c r="J140" s="26" t="s">
        <v>50</v>
      </c>
      <c r="K140" s="29">
        <v>0.5493055555555556</v>
      </c>
      <c r="L140" s="29">
        <v>0.68333333333333335</v>
      </c>
      <c r="M140" s="30">
        <f t="shared" ca="1" si="31"/>
        <v>0.13402777777777775</v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216</v>
      </c>
      <c r="F141" s="27">
        <v>7</v>
      </c>
      <c r="G141" s="34">
        <f t="shared" si="30"/>
        <v>35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216</v>
      </c>
      <c r="F142" s="27">
        <v>6</v>
      </c>
      <c r="G142" s="28">
        <f t="shared" si="30"/>
        <v>30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216</v>
      </c>
      <c r="F143" s="27">
        <v>4</v>
      </c>
      <c r="G143" s="34">
        <f t="shared" si="30"/>
        <v>20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216</v>
      </c>
      <c r="F144" s="27">
        <v>0</v>
      </c>
      <c r="G144" s="28">
        <f t="shared" si="30"/>
        <v>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216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216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216</v>
      </c>
      <c r="F147" s="27">
        <v>11</v>
      </c>
      <c r="G147" s="34">
        <f t="shared" si="30"/>
        <v>55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216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1" t="s">
        <v>218</v>
      </c>
      <c r="B149" s="102"/>
      <c r="C149" s="102"/>
      <c r="D149" s="102"/>
      <c r="E149" s="103">
        <f>SUM(E137:E148)</f>
        <v>0</v>
      </c>
      <c r="F149" s="36">
        <f>SUM(F137:F148)</f>
        <v>79</v>
      </c>
      <c r="G149" s="36">
        <f>SUM(G137:G148)</f>
        <v>395</v>
      </c>
      <c r="H149" s="37"/>
      <c r="I149" s="37"/>
      <c r="J149" s="37"/>
      <c r="K149" s="37"/>
      <c r="L149" s="37"/>
      <c r="M149" s="38">
        <f ca="1">IFERROR(SUM(M137:M148),"")</f>
        <v>0.21666666666666645</v>
      </c>
      <c r="N149" s="36" t="s">
        <v>219</v>
      </c>
      <c r="O149" s="44">
        <v>1121220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216</v>
      </c>
      <c r="F150" s="27">
        <v>20</v>
      </c>
      <c r="G150" s="28">
        <f t="shared" ref="G150:G161" si="33">IF(F150="","",IF(E150="PC 17",F150*4.2,IF(E150="PC 19",F150*5,"")))</f>
        <v>100</v>
      </c>
      <c r="H150" s="26" t="s">
        <v>18</v>
      </c>
      <c r="I150" s="26" t="s">
        <v>23</v>
      </c>
      <c r="J150" s="26" t="s">
        <v>162</v>
      </c>
      <c r="K150" s="29">
        <v>0.15138888888888888</v>
      </c>
      <c r="L150" s="29">
        <v>0.15486111111111112</v>
      </c>
      <c r="M150" s="30">
        <f t="shared" ref="M150:M161" ca="1" si="34">IFERROR(IF(K150="","",IF(L150="",MOD(NOW()-K150,1),IF(L150&gt;=K150,L150-K150,L150+1-K150))),"")</f>
        <v>3.4722222222222376E-3</v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216</v>
      </c>
      <c r="F151" s="27">
        <v>10</v>
      </c>
      <c r="G151" s="34">
        <f t="shared" si="33"/>
        <v>50</v>
      </c>
      <c r="H151" s="33" t="s">
        <v>20</v>
      </c>
      <c r="I151" s="33" t="s">
        <v>23</v>
      </c>
      <c r="J151" s="33" t="s">
        <v>141</v>
      </c>
      <c r="K151" s="29">
        <v>0.19097222222222221</v>
      </c>
      <c r="L151" s="29">
        <v>0.20833333333333334</v>
      </c>
      <c r="M151" s="35">
        <f t="shared" ca="1" si="34"/>
        <v>1.7361111111111133E-2</v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216</v>
      </c>
      <c r="F152" s="27">
        <v>23</v>
      </c>
      <c r="G152" s="28">
        <f t="shared" si="33"/>
        <v>115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216</v>
      </c>
      <c r="F153" s="27">
        <v>40</v>
      </c>
      <c r="G153" s="34">
        <f t="shared" si="33"/>
        <v>200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216</v>
      </c>
      <c r="F154" s="27">
        <v>30</v>
      </c>
      <c r="G154" s="28">
        <f t="shared" si="33"/>
        <v>150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216</v>
      </c>
      <c r="F155" s="27">
        <v>32</v>
      </c>
      <c r="G155" s="34">
        <f t="shared" si="33"/>
        <v>160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216</v>
      </c>
      <c r="F156" s="27">
        <v>35</v>
      </c>
      <c r="G156" s="28">
        <f t="shared" si="33"/>
        <v>175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216</v>
      </c>
      <c r="F157" s="27">
        <v>34</v>
      </c>
      <c r="G157" s="34">
        <f t="shared" si="33"/>
        <v>170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216</v>
      </c>
      <c r="F158" s="27">
        <v>27</v>
      </c>
      <c r="G158" s="28">
        <f t="shared" si="33"/>
        <v>135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216</v>
      </c>
      <c r="F159" s="27">
        <v>28</v>
      </c>
      <c r="G159" s="34">
        <f t="shared" si="33"/>
        <v>140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216</v>
      </c>
      <c r="F160" s="27">
        <v>23</v>
      </c>
      <c r="G160" s="28">
        <f t="shared" si="33"/>
        <v>115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216</v>
      </c>
      <c r="F161" s="27">
        <v>14</v>
      </c>
      <c r="G161" s="34">
        <f t="shared" si="33"/>
        <v>70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1" t="s">
        <v>220</v>
      </c>
      <c r="B162" s="102"/>
      <c r="C162" s="102"/>
      <c r="D162" s="102"/>
      <c r="E162" s="103">
        <f>SUM(E150:E161)</f>
        <v>0</v>
      </c>
      <c r="F162" s="36">
        <f>SUM(F150:F161)</f>
        <v>316</v>
      </c>
      <c r="G162" s="36">
        <f>SUM(G150:G161)</f>
        <v>1580</v>
      </c>
      <c r="H162" s="37"/>
      <c r="I162" s="37"/>
      <c r="J162" s="37"/>
      <c r="K162" s="37"/>
      <c r="L162" s="37"/>
      <c r="M162" s="38">
        <f ca="1">IFERROR(SUM(M150:M161),"")</f>
        <v>2.083333333333337E-2</v>
      </c>
      <c r="N162" s="36" t="s">
        <v>219</v>
      </c>
      <c r="O162" s="44">
        <v>1546080</v>
      </c>
    </row>
    <row r="163" spans="1:15" ht="18" customHeight="1">
      <c r="A163" s="98" t="s">
        <v>221</v>
      </c>
      <c r="B163" s="99"/>
      <c r="C163" s="99"/>
      <c r="D163" s="99"/>
      <c r="E163" s="100">
        <f>E149+E162</f>
        <v>0</v>
      </c>
      <c r="F163" s="40">
        <f>F149+F162</f>
        <v>395</v>
      </c>
      <c r="G163" s="40">
        <f>G149+G162</f>
        <v>1975</v>
      </c>
      <c r="H163" s="41"/>
      <c r="I163" s="41"/>
      <c r="J163" s="41"/>
      <c r="K163" s="41"/>
      <c r="L163" s="41"/>
      <c r="M163" s="42">
        <f ca="1">IFERROR(M149+M162,"")</f>
        <v>0.23749999999999982</v>
      </c>
      <c r="N163" s="40" t="s">
        <v>222</v>
      </c>
      <c r="O163" s="43">
        <f>IFERROR(O149+O162,"")</f>
        <v>2667300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22</v>
      </c>
      <c r="E164" s="59" t="s">
        <v>216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18</v>
      </c>
      <c r="I164" s="26" t="s">
        <v>23</v>
      </c>
      <c r="J164" s="26" t="s">
        <v>126</v>
      </c>
      <c r="K164" s="29">
        <v>0.29166666666666669</v>
      </c>
      <c r="L164" s="29">
        <v>0.38611111111111113</v>
      </c>
      <c r="M164" s="30">
        <f t="shared" ref="M164:M175" ca="1" si="37">IFERROR(IF(K164="","",IF(L164="",MOD(NOW()-K164,1),IF(L164&gt;=K164,L164-K164,L164+1-K164))),"")</f>
        <v>9.4444444444444442E-2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59" t="s">
        <v>216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216</v>
      </c>
      <c r="F166" s="27">
        <v>25</v>
      </c>
      <c r="G166" s="28">
        <f t="shared" si="36"/>
        <v>125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59" t="s">
        <v>216</v>
      </c>
      <c r="F167" s="27">
        <v>51</v>
      </c>
      <c r="G167" s="34">
        <f t="shared" si="36"/>
        <v>255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216</v>
      </c>
      <c r="F168" s="27">
        <v>61</v>
      </c>
      <c r="G168" s="28">
        <f t="shared" si="36"/>
        <v>305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59" t="s">
        <v>216</v>
      </c>
      <c r="F169" s="27">
        <v>35</v>
      </c>
      <c r="G169" s="34">
        <f t="shared" si="36"/>
        <v>175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216</v>
      </c>
      <c r="F170" s="27">
        <v>30</v>
      </c>
      <c r="G170" s="28">
        <f t="shared" si="36"/>
        <v>150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59" t="s">
        <v>216</v>
      </c>
      <c r="F171" s="27">
        <v>35</v>
      </c>
      <c r="G171" s="34">
        <f t="shared" si="36"/>
        <v>175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216</v>
      </c>
      <c r="F172" s="27">
        <v>28</v>
      </c>
      <c r="G172" s="28">
        <f t="shared" si="36"/>
        <v>140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59" t="s">
        <v>216</v>
      </c>
      <c r="F173" s="27">
        <v>30</v>
      </c>
      <c r="G173" s="34">
        <f t="shared" si="36"/>
        <v>150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216</v>
      </c>
      <c r="F174" s="27">
        <v>35</v>
      </c>
      <c r="G174" s="28">
        <f t="shared" si="36"/>
        <v>175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59" t="s">
        <v>216</v>
      </c>
      <c r="F175" s="27">
        <v>15</v>
      </c>
      <c r="G175" s="34">
        <f t="shared" si="36"/>
        <v>75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1" t="s">
        <v>218</v>
      </c>
      <c r="B176" s="102"/>
      <c r="C176" s="102"/>
      <c r="D176" s="102"/>
      <c r="E176" s="103">
        <f>SUM(E164:E175)</f>
        <v>0</v>
      </c>
      <c r="F176" s="36">
        <f>SUM(F164:F175)</f>
        <v>345</v>
      </c>
      <c r="G176" s="36">
        <f>SUM(G164:G175)</f>
        <v>1725</v>
      </c>
      <c r="H176" s="37"/>
      <c r="I176" s="37"/>
      <c r="J176" s="37"/>
      <c r="K176" s="37"/>
      <c r="L176" s="37"/>
      <c r="M176" s="38">
        <f ca="1">IFERROR(SUM(M164:M175),"")</f>
        <v>9.4444444444444442E-2</v>
      </c>
      <c r="N176" s="36" t="s">
        <v>219</v>
      </c>
      <c r="O176" s="39">
        <v>1946430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216</v>
      </c>
      <c r="F177" s="27">
        <v>50</v>
      </c>
      <c r="G177" s="34">
        <f t="shared" ref="G177:G188" si="39">IF(F177="","",IF(E177="PC 17",F177*4.2,IF(E177="PC 19",F177*5,"")))</f>
        <v>250</v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216</v>
      </c>
      <c r="F178" s="27">
        <v>19</v>
      </c>
      <c r="G178" s="28">
        <f t="shared" si="39"/>
        <v>95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216</v>
      </c>
      <c r="F179" s="27">
        <v>33</v>
      </c>
      <c r="G179" s="34">
        <f t="shared" si="39"/>
        <v>165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216</v>
      </c>
      <c r="F180" s="27">
        <v>38</v>
      </c>
      <c r="G180" s="28">
        <f t="shared" si="39"/>
        <v>190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216</v>
      </c>
      <c r="F181" s="27">
        <v>34</v>
      </c>
      <c r="G181" s="34">
        <f t="shared" si="39"/>
        <v>170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216</v>
      </c>
      <c r="F182" s="27">
        <v>35</v>
      </c>
      <c r="G182" s="28">
        <f t="shared" si="39"/>
        <v>175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216</v>
      </c>
      <c r="F183" s="27">
        <v>36</v>
      </c>
      <c r="G183" s="34">
        <f t="shared" si="39"/>
        <v>180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216</v>
      </c>
      <c r="F184" s="27">
        <v>30</v>
      </c>
      <c r="G184" s="28">
        <f t="shared" si="39"/>
        <v>150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216</v>
      </c>
      <c r="F185" s="27">
        <v>40</v>
      </c>
      <c r="G185" s="34">
        <f t="shared" si="39"/>
        <v>200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216</v>
      </c>
      <c r="F186" s="27">
        <v>16</v>
      </c>
      <c r="G186" s="28">
        <f t="shared" si="39"/>
        <v>80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30</v>
      </c>
      <c r="E187" s="62" t="s">
        <v>216</v>
      </c>
      <c r="F187" s="27">
        <v>46</v>
      </c>
      <c r="G187" s="34">
        <f t="shared" si="39"/>
        <v>230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30</v>
      </c>
      <c r="E188" s="62" t="s">
        <v>216</v>
      </c>
      <c r="F188" s="27">
        <v>10</v>
      </c>
      <c r="G188" s="28">
        <f t="shared" si="39"/>
        <v>50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1" t="s">
        <v>220</v>
      </c>
      <c r="B189" s="102"/>
      <c r="C189" s="102"/>
      <c r="D189" s="102"/>
      <c r="E189" s="103">
        <f>SUM(E177:E188)</f>
        <v>0</v>
      </c>
      <c r="F189" s="36">
        <f>SUM(F177:F188)</f>
        <v>387</v>
      </c>
      <c r="G189" s="36">
        <f>SUM(G177:G188)</f>
        <v>1935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219</v>
      </c>
      <c r="O189" s="39">
        <v>2355810</v>
      </c>
    </row>
    <row r="190" spans="1:15" ht="18" customHeight="1">
      <c r="A190" s="98" t="s">
        <v>221</v>
      </c>
      <c r="B190" s="99"/>
      <c r="C190" s="99"/>
      <c r="D190" s="99"/>
      <c r="E190" s="100">
        <f>E176+E189</f>
        <v>0</v>
      </c>
      <c r="F190" s="40">
        <f>F176+F189</f>
        <v>732</v>
      </c>
      <c r="G190" s="40">
        <f>G176+G189</f>
        <v>3660</v>
      </c>
      <c r="H190" s="41"/>
      <c r="I190" s="41"/>
      <c r="J190" s="41"/>
      <c r="K190" s="41"/>
      <c r="L190" s="41"/>
      <c r="M190" s="42">
        <f ca="1">IFERROR(M176+M189,"")</f>
        <v>9.4444444444444442E-2</v>
      </c>
      <c r="N190" s="40" t="s">
        <v>222</v>
      </c>
      <c r="O190" s="43">
        <f>IFERROR(O176+O189,"")</f>
        <v>4302240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30</v>
      </c>
      <c r="E191" s="62" t="s">
        <v>216</v>
      </c>
      <c r="F191" s="27">
        <v>14</v>
      </c>
      <c r="G191" s="34">
        <f t="shared" ref="G191:G202" si="42">IF(F191="","",IF(E191="PC 17",F191*4.2,IF(E191="PC 19",F191*5,"")))</f>
        <v>70</v>
      </c>
      <c r="H191" s="33" t="s">
        <v>19</v>
      </c>
      <c r="I191" s="33" t="s">
        <v>23</v>
      </c>
      <c r="J191" s="33" t="s">
        <v>67</v>
      </c>
      <c r="K191" s="29">
        <v>0.5083333333333333</v>
      </c>
      <c r="L191" s="29">
        <v>0.52152777777777781</v>
      </c>
      <c r="M191" s="35">
        <f t="shared" ref="M191:M202" ca="1" si="43">IFERROR(IF(K191="","",IF(L191="",MOD(NOW()-K191,1),IF(L191&gt;=K191,L191-K191,L191+1-K191))),"")</f>
        <v>1.3194444444444509E-2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30</v>
      </c>
      <c r="E192" s="62" t="s">
        <v>216</v>
      </c>
      <c r="F192" s="27">
        <v>35</v>
      </c>
      <c r="G192" s="28">
        <f t="shared" si="42"/>
        <v>175</v>
      </c>
      <c r="H192" s="26" t="s">
        <v>17</v>
      </c>
      <c r="I192" s="26" t="s">
        <v>23</v>
      </c>
      <c r="J192" s="26" t="s">
        <v>100</v>
      </c>
      <c r="K192" s="29">
        <v>0.66041666666666665</v>
      </c>
      <c r="L192" s="29">
        <v>0.67083333333333328</v>
      </c>
      <c r="M192" s="30">
        <f t="shared" ca="1" si="43"/>
        <v>1.041666666666663E-2</v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30</v>
      </c>
      <c r="E193" s="62" t="s">
        <v>216</v>
      </c>
      <c r="F193" s="27">
        <v>25</v>
      </c>
      <c r="G193" s="34">
        <f t="shared" si="42"/>
        <v>125</v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30</v>
      </c>
      <c r="E194" s="62" t="s">
        <v>216</v>
      </c>
      <c r="F194" s="27">
        <v>25</v>
      </c>
      <c r="G194" s="28">
        <f t="shared" si="42"/>
        <v>125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30</v>
      </c>
      <c r="E195" s="62" t="s">
        <v>216</v>
      </c>
      <c r="F195" s="27">
        <v>25</v>
      </c>
      <c r="G195" s="34">
        <f t="shared" si="42"/>
        <v>125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30</v>
      </c>
      <c r="E196" s="62" t="s">
        <v>216</v>
      </c>
      <c r="F196" s="27">
        <v>21</v>
      </c>
      <c r="G196" s="28">
        <f t="shared" si="42"/>
        <v>105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30</v>
      </c>
      <c r="E197" s="62" t="s">
        <v>216</v>
      </c>
      <c r="F197" s="27">
        <v>35</v>
      </c>
      <c r="G197" s="34">
        <f t="shared" si="42"/>
        <v>175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30</v>
      </c>
      <c r="E198" s="62" t="s">
        <v>216</v>
      </c>
      <c r="F198" s="27">
        <v>35</v>
      </c>
      <c r="G198" s="28">
        <f t="shared" si="42"/>
        <v>175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30</v>
      </c>
      <c r="E199" s="62" t="s">
        <v>216</v>
      </c>
      <c r="F199" s="27">
        <v>35</v>
      </c>
      <c r="G199" s="34">
        <f t="shared" si="42"/>
        <v>175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30</v>
      </c>
      <c r="E200" s="62" t="s">
        <v>216</v>
      </c>
      <c r="F200" s="27">
        <v>30</v>
      </c>
      <c r="G200" s="28">
        <f t="shared" si="42"/>
        <v>150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30</v>
      </c>
      <c r="E201" s="62" t="s">
        <v>216</v>
      </c>
      <c r="F201" s="27">
        <v>30</v>
      </c>
      <c r="G201" s="34">
        <f t="shared" si="42"/>
        <v>150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30</v>
      </c>
      <c r="E202" s="62" t="s">
        <v>216</v>
      </c>
      <c r="F202" s="27">
        <v>20</v>
      </c>
      <c r="G202" s="28">
        <f t="shared" si="42"/>
        <v>100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1" t="s">
        <v>218</v>
      </c>
      <c r="B203" s="102"/>
      <c r="C203" s="102"/>
      <c r="D203" s="102"/>
      <c r="E203" s="103">
        <f>SUM(E191:E202)</f>
        <v>0</v>
      </c>
      <c r="F203" s="36">
        <f>SUM(F191:F202)</f>
        <v>330</v>
      </c>
      <c r="G203" s="36">
        <f>SUM(G191:G202)</f>
        <v>1650</v>
      </c>
      <c r="H203" s="37"/>
      <c r="I203" s="37"/>
      <c r="J203" s="37"/>
      <c r="K203" s="37"/>
      <c r="L203" s="37"/>
      <c r="M203" s="38">
        <f ca="1">IFERROR(SUM(M191:M202),"")</f>
        <v>2.3611111111111138E-2</v>
      </c>
      <c r="N203" s="36" t="s">
        <v>219</v>
      </c>
      <c r="O203" s="45">
        <v>1895110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216</v>
      </c>
      <c r="F204" s="27">
        <v>40</v>
      </c>
      <c r="G204" s="28">
        <f t="shared" ref="G204:G215" si="45">IF(F204="","",IF(E204="PC 17",F204*4.2,IF(E204="PC 19",F204*5,"")))</f>
        <v>200</v>
      </c>
      <c r="H204" s="26" t="s">
        <v>16</v>
      </c>
      <c r="I204" s="26" t="s">
        <v>23</v>
      </c>
      <c r="J204" s="26" t="s">
        <v>93</v>
      </c>
      <c r="K204" s="29">
        <v>0.95277777777777772</v>
      </c>
      <c r="L204" s="29">
        <v>0.97430555555555554</v>
      </c>
      <c r="M204" s="30">
        <f t="shared" ref="M204:M215" ca="1" si="46">IFERROR(IF(K204="","",IF(L204="",MOD(NOW()-K204,1),IF(L204&gt;=K204,L204-K204,L204+1-K204))),"")</f>
        <v>2.1527777777777812E-2</v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216</v>
      </c>
      <c r="F205" s="27">
        <v>26</v>
      </c>
      <c r="G205" s="34">
        <f t="shared" si="45"/>
        <v>130</v>
      </c>
      <c r="H205" s="33" t="s">
        <v>18</v>
      </c>
      <c r="I205" s="33" t="s">
        <v>23</v>
      </c>
      <c r="J205" s="33" t="s">
        <v>152</v>
      </c>
      <c r="K205" s="29">
        <v>0.1388888888888889</v>
      </c>
      <c r="L205" s="29">
        <v>0.16041666666666668</v>
      </c>
      <c r="M205" s="35">
        <f t="shared" ca="1" si="46"/>
        <v>2.1527777777777785E-2</v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216</v>
      </c>
      <c r="F206" s="27">
        <v>25</v>
      </c>
      <c r="G206" s="28">
        <f t="shared" si="45"/>
        <v>125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216</v>
      </c>
      <c r="F207" s="27">
        <v>20</v>
      </c>
      <c r="G207" s="34">
        <f t="shared" si="45"/>
        <v>100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216</v>
      </c>
      <c r="F208" s="27">
        <v>35</v>
      </c>
      <c r="G208" s="28">
        <f t="shared" si="45"/>
        <v>175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216</v>
      </c>
      <c r="F209" s="27">
        <v>23</v>
      </c>
      <c r="G209" s="34">
        <f t="shared" si="45"/>
        <v>115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216</v>
      </c>
      <c r="F210" s="27">
        <v>39</v>
      </c>
      <c r="G210" s="28">
        <f t="shared" si="45"/>
        <v>195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216</v>
      </c>
      <c r="F211" s="27">
        <v>38</v>
      </c>
      <c r="G211" s="34">
        <f t="shared" si="45"/>
        <v>190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216</v>
      </c>
      <c r="F212" s="27">
        <v>17</v>
      </c>
      <c r="G212" s="28">
        <f t="shared" si="45"/>
        <v>85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216</v>
      </c>
      <c r="F213" s="27">
        <v>40</v>
      </c>
      <c r="G213" s="34">
        <f t="shared" si="45"/>
        <v>200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216</v>
      </c>
      <c r="F214" s="27">
        <v>25</v>
      </c>
      <c r="G214" s="28">
        <f t="shared" si="45"/>
        <v>125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216</v>
      </c>
      <c r="F215" s="27">
        <v>15</v>
      </c>
      <c r="G215" s="34">
        <f t="shared" si="45"/>
        <v>75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1" t="s">
        <v>220</v>
      </c>
      <c r="B216" s="102"/>
      <c r="C216" s="102"/>
      <c r="D216" s="102"/>
      <c r="E216" s="103">
        <f>SUM(E204:E215)</f>
        <v>0</v>
      </c>
      <c r="F216" s="36">
        <f>SUM(F204:F215)</f>
        <v>343</v>
      </c>
      <c r="G216" s="36">
        <f>SUM(G204:G215)</f>
        <v>1715</v>
      </c>
      <c r="H216" s="37"/>
      <c r="I216" s="37"/>
      <c r="J216" s="37"/>
      <c r="K216" s="37"/>
      <c r="L216" s="37"/>
      <c r="M216" s="38">
        <f ca="1">IFERROR(SUM(M204:M215),"")</f>
        <v>4.3055555555555597E-2</v>
      </c>
      <c r="N216" s="36" t="s">
        <v>219</v>
      </c>
      <c r="O216" s="45">
        <v>2013260</v>
      </c>
    </row>
    <row r="217" spans="1:15" ht="18" customHeight="1">
      <c r="A217" s="98" t="s">
        <v>221</v>
      </c>
      <c r="B217" s="99"/>
      <c r="C217" s="99"/>
      <c r="D217" s="99"/>
      <c r="E217" s="100">
        <f>E203+E216</f>
        <v>0</v>
      </c>
      <c r="F217" s="40">
        <f>F203+F216</f>
        <v>673</v>
      </c>
      <c r="G217" s="40">
        <f>G203+G216</f>
        <v>3365</v>
      </c>
      <c r="H217" s="41"/>
      <c r="I217" s="41"/>
      <c r="J217" s="41"/>
      <c r="K217" s="41"/>
      <c r="L217" s="41"/>
      <c r="M217" s="42">
        <f ca="1">IFERROR(M203+M216,"")</f>
        <v>6.6666666666666735E-2</v>
      </c>
      <c r="N217" s="40" t="s">
        <v>222</v>
      </c>
      <c r="O217" s="48">
        <f>IFERROR(O203+O216,"")</f>
        <v>3908370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216</v>
      </c>
      <c r="F218" s="27">
        <v>8</v>
      </c>
      <c r="G218" s="28">
        <f t="shared" ref="G218:G229" si="48">IF(F218="","",IF(E218="PC 17",F218*4.2,IF(E218="PC 19",F218*5,"")))</f>
        <v>40</v>
      </c>
      <c r="H218" s="26" t="s">
        <v>19</v>
      </c>
      <c r="I218" s="26" t="s">
        <v>23</v>
      </c>
      <c r="J218" s="26" t="s">
        <v>107</v>
      </c>
      <c r="K218" s="29">
        <v>0.41597222222222224</v>
      </c>
      <c r="L218" s="29">
        <v>0.49444444444444446</v>
      </c>
      <c r="M218" s="30">
        <f t="shared" ref="M218:M229" ca="1" si="49">IFERROR(IF(K218="","",IF(L218="",MOD(NOW()-K218,1),IF(L218&gt;=K218,L218-K218,L218+1-K218))),"")</f>
        <v>7.8472222222222221E-2</v>
      </c>
      <c r="N218" s="46" t="s">
        <v>227</v>
      </c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216</v>
      </c>
      <c r="F219" s="27">
        <v>25</v>
      </c>
      <c r="G219" s="34">
        <f t="shared" si="48"/>
        <v>125</v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216</v>
      </c>
      <c r="F220" s="27">
        <v>25</v>
      </c>
      <c r="G220" s="28">
        <f t="shared" si="48"/>
        <v>125</v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216</v>
      </c>
      <c r="F221" s="27">
        <v>0</v>
      </c>
      <c r="G221" s="34">
        <f t="shared" si="48"/>
        <v>0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216</v>
      </c>
      <c r="F222" s="27">
        <v>0</v>
      </c>
      <c r="G222" s="28">
        <f t="shared" si="48"/>
        <v>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216</v>
      </c>
      <c r="F223" s="27">
        <v>25</v>
      </c>
      <c r="G223" s="34">
        <f t="shared" si="48"/>
        <v>125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216</v>
      </c>
      <c r="F224" s="27">
        <v>30</v>
      </c>
      <c r="G224" s="28">
        <f t="shared" si="48"/>
        <v>150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216</v>
      </c>
      <c r="F225" s="27">
        <v>40</v>
      </c>
      <c r="G225" s="34">
        <f t="shared" si="48"/>
        <v>200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216</v>
      </c>
      <c r="F226" s="27">
        <v>25</v>
      </c>
      <c r="G226" s="28">
        <f t="shared" si="48"/>
        <v>125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216</v>
      </c>
      <c r="F227" s="27">
        <v>40</v>
      </c>
      <c r="G227" s="34">
        <f t="shared" si="48"/>
        <v>200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216</v>
      </c>
      <c r="F228" s="27">
        <v>20</v>
      </c>
      <c r="G228" s="28">
        <f t="shared" si="48"/>
        <v>100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216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101" t="s">
        <v>218</v>
      </c>
      <c r="B230" s="102"/>
      <c r="C230" s="102"/>
      <c r="D230" s="102"/>
      <c r="E230" s="103">
        <f>SUM(E218:E229)</f>
        <v>0</v>
      </c>
      <c r="F230" s="36">
        <f>SUM(F218:F229)</f>
        <v>238</v>
      </c>
      <c r="G230" s="36">
        <f>SUM(G218:G229)</f>
        <v>1190</v>
      </c>
      <c r="H230" s="37"/>
      <c r="I230" s="37"/>
      <c r="J230" s="37"/>
      <c r="K230" s="37"/>
      <c r="L230" s="37"/>
      <c r="M230" s="38">
        <f ca="1">IFERROR(SUM(M218:M229),"")</f>
        <v>7.8472222222222221E-2</v>
      </c>
      <c r="N230" s="36" t="s">
        <v>219</v>
      </c>
      <c r="O230" s="39">
        <v>1436170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216</v>
      </c>
      <c r="F231" s="27">
        <v>30</v>
      </c>
      <c r="G231" s="34">
        <f t="shared" ref="G231:G242" si="51">IF(F231="","",IF(E231="PC 17",F231*4.2,IF(E231="PC 19",F231*5,"")))</f>
        <v>150</v>
      </c>
      <c r="H231" s="33" t="s">
        <v>20</v>
      </c>
      <c r="I231" s="33" t="s">
        <v>23</v>
      </c>
      <c r="J231" s="33" t="s">
        <v>184</v>
      </c>
      <c r="K231" s="29">
        <v>6.5972222222222224E-2</v>
      </c>
      <c r="L231" s="29">
        <v>9.375E-2</v>
      </c>
      <c r="M231" s="35">
        <f t="shared" ref="M231:M242" ca="1" si="52">IFERROR(IF(K231="","",IF(L231="",MOD(NOW()-K231,1),IF(L231&gt;=K231,L231-K231,L231+1-K231))),"")</f>
        <v>2.7777777777777776E-2</v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216</v>
      </c>
      <c r="F232" s="27">
        <v>22</v>
      </c>
      <c r="G232" s="28">
        <f t="shared" si="51"/>
        <v>110</v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216</v>
      </c>
      <c r="F233" s="27">
        <v>30</v>
      </c>
      <c r="G233" s="34">
        <f t="shared" si="51"/>
        <v>150</v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216</v>
      </c>
      <c r="F234" s="27">
        <v>27</v>
      </c>
      <c r="G234" s="28">
        <f t="shared" si="51"/>
        <v>135</v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216</v>
      </c>
      <c r="F235" s="27">
        <v>15</v>
      </c>
      <c r="G235" s="34">
        <f t="shared" si="51"/>
        <v>75</v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216</v>
      </c>
      <c r="F236" s="27">
        <v>20</v>
      </c>
      <c r="G236" s="28">
        <f t="shared" si="51"/>
        <v>100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216</v>
      </c>
      <c r="F237" s="27">
        <v>6</v>
      </c>
      <c r="G237" s="34">
        <f t="shared" si="51"/>
        <v>30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216</v>
      </c>
      <c r="F238" s="27">
        <v>20</v>
      </c>
      <c r="G238" s="28">
        <f t="shared" si="51"/>
        <v>100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216</v>
      </c>
      <c r="F239" s="27">
        <v>30</v>
      </c>
      <c r="G239" s="34">
        <f t="shared" si="51"/>
        <v>150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216</v>
      </c>
      <c r="F240" s="27">
        <v>25</v>
      </c>
      <c r="G240" s="28">
        <f t="shared" si="51"/>
        <v>125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216</v>
      </c>
      <c r="F241" s="27">
        <v>16</v>
      </c>
      <c r="G241" s="34">
        <f t="shared" si="51"/>
        <v>80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216</v>
      </c>
      <c r="F242" s="27">
        <v>6</v>
      </c>
      <c r="G242" s="28">
        <f t="shared" si="51"/>
        <v>30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1" t="s">
        <v>220</v>
      </c>
      <c r="B243" s="102"/>
      <c r="C243" s="102"/>
      <c r="D243" s="102"/>
      <c r="E243" s="103">
        <f>SUM(E231:E242)</f>
        <v>0</v>
      </c>
      <c r="F243" s="36">
        <f>SUM(F231:F242)</f>
        <v>247</v>
      </c>
      <c r="G243" s="36">
        <f>SUM(G231:G242)</f>
        <v>1235</v>
      </c>
      <c r="H243" s="37"/>
      <c r="I243" s="37"/>
      <c r="J243" s="37"/>
      <c r="K243" s="37"/>
      <c r="L243" s="37"/>
      <c r="M243" s="38">
        <f ca="1">IFERROR(SUM(M231:M242),"")</f>
        <v>2.7777777777777776E-2</v>
      </c>
      <c r="N243" s="36" t="s">
        <v>219</v>
      </c>
      <c r="O243" s="39">
        <v>1545480</v>
      </c>
    </row>
    <row r="244" spans="1:15" ht="18" customHeight="1">
      <c r="A244" s="98" t="s">
        <v>221</v>
      </c>
      <c r="B244" s="99"/>
      <c r="C244" s="99"/>
      <c r="D244" s="99"/>
      <c r="E244" s="100">
        <f>E230+E243</f>
        <v>0</v>
      </c>
      <c r="F244" s="40">
        <f>F230+F243</f>
        <v>485</v>
      </c>
      <c r="G244" s="40">
        <f>G230+G243</f>
        <v>2425</v>
      </c>
      <c r="H244" s="41"/>
      <c r="I244" s="41"/>
      <c r="J244" s="41"/>
      <c r="K244" s="41"/>
      <c r="L244" s="41"/>
      <c r="M244" s="42">
        <f ca="1">IFERROR(M230+M243,"")</f>
        <v>0.10625</v>
      </c>
      <c r="N244" s="40" t="s">
        <v>222</v>
      </c>
      <c r="O244" s="48">
        <f>IFERROR(O230+O243,"")</f>
        <v>2981650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216</v>
      </c>
      <c r="F245" s="27">
        <v>15</v>
      </c>
      <c r="G245" s="28">
        <f t="shared" ref="G245:G256" si="54">IF(F245="","",IF(E245="PC 17",F245*4.2,IF(E245="PC 19",F245*5,"")))</f>
        <v>75</v>
      </c>
      <c r="H245" s="33" t="s">
        <v>18</v>
      </c>
      <c r="I245" s="33" t="s">
        <v>23</v>
      </c>
      <c r="J245" s="33" t="s">
        <v>162</v>
      </c>
      <c r="K245" s="29">
        <v>0.29166666666666669</v>
      </c>
      <c r="L245" s="29">
        <v>0.3263888888888889</v>
      </c>
      <c r="M245" s="35">
        <f t="shared" ref="M245:M256" ca="1" si="55">IFERROR(IF(K245="","",IF(L245="",MOD(NOW()-K245,1),IF(L245&gt;=K245,L245-K245,L245+1-K245))),"")</f>
        <v>3.472222222222221E-2</v>
      </c>
      <c r="N245" s="46" t="s">
        <v>228</v>
      </c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216</v>
      </c>
      <c r="F246" s="27">
        <v>20</v>
      </c>
      <c r="G246" s="34">
        <f t="shared" si="54"/>
        <v>100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216</v>
      </c>
      <c r="F247" s="27">
        <v>35</v>
      </c>
      <c r="G247" s="28">
        <f t="shared" si="54"/>
        <v>175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216</v>
      </c>
      <c r="F248" s="27">
        <v>20</v>
      </c>
      <c r="G248" s="34">
        <f t="shared" si="54"/>
        <v>100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216</v>
      </c>
      <c r="F249" s="27">
        <v>20</v>
      </c>
      <c r="G249" s="28">
        <f t="shared" si="54"/>
        <v>100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216</v>
      </c>
      <c r="F250" s="27">
        <v>15</v>
      </c>
      <c r="G250" s="34">
        <f t="shared" si="54"/>
        <v>75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216</v>
      </c>
      <c r="F251" s="27">
        <v>45</v>
      </c>
      <c r="G251" s="28">
        <f t="shared" si="54"/>
        <v>225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216</v>
      </c>
      <c r="F252" s="27">
        <v>40</v>
      </c>
      <c r="G252" s="34">
        <f t="shared" si="54"/>
        <v>200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216</v>
      </c>
      <c r="F253" s="27">
        <v>40</v>
      </c>
      <c r="G253" s="28">
        <f t="shared" si="54"/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216</v>
      </c>
      <c r="F254" s="27">
        <v>35</v>
      </c>
      <c r="G254" s="34">
        <f t="shared" si="54"/>
        <v>175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216</v>
      </c>
      <c r="F255" s="27">
        <v>35</v>
      </c>
      <c r="G255" s="28">
        <f t="shared" si="54"/>
        <v>175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216</v>
      </c>
      <c r="F256" s="27">
        <v>30</v>
      </c>
      <c r="G256" s="34">
        <f t="shared" si="54"/>
        <v>150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1" t="s">
        <v>218</v>
      </c>
      <c r="B257" s="102"/>
      <c r="C257" s="102"/>
      <c r="D257" s="102"/>
      <c r="E257" s="103">
        <f>SUM(E245:E256)</f>
        <v>0</v>
      </c>
      <c r="F257" s="36">
        <f>SUM(F245:F256)</f>
        <v>350</v>
      </c>
      <c r="G257" s="36">
        <f>SUM(G245:G256)</f>
        <v>1750</v>
      </c>
      <c r="H257" s="37"/>
      <c r="I257" s="37"/>
      <c r="J257" s="37"/>
      <c r="K257" s="37"/>
      <c r="L257" s="37"/>
      <c r="M257" s="38">
        <f ca="1">IFERROR(SUM(M245:M256),"")</f>
        <v>3.472222222222221E-2</v>
      </c>
      <c r="N257" s="36" t="s">
        <v>219</v>
      </c>
      <c r="O257" s="39">
        <v>2070060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216</v>
      </c>
      <c r="F258" s="27">
        <v>25</v>
      </c>
      <c r="G258" s="34">
        <f t="shared" ref="G258:G269" si="57">IF(F258="","",IF(E258="PC 17",F258*4.2,IF(E258="PC 19",F258*5,"")))</f>
        <v>125</v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216</v>
      </c>
      <c r="F259" s="27">
        <v>25</v>
      </c>
      <c r="G259" s="28">
        <f t="shared" si="57"/>
        <v>125</v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216</v>
      </c>
      <c r="F260" s="27">
        <v>14</v>
      </c>
      <c r="G260" s="34">
        <f t="shared" si="57"/>
        <v>70</v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216</v>
      </c>
      <c r="F261" s="27">
        <v>35</v>
      </c>
      <c r="G261" s="28">
        <f t="shared" si="57"/>
        <v>175</v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216</v>
      </c>
      <c r="F262" s="27">
        <v>23</v>
      </c>
      <c r="G262" s="34">
        <f t="shared" si="57"/>
        <v>115</v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216</v>
      </c>
      <c r="F263" s="27">
        <v>13</v>
      </c>
      <c r="G263" s="28">
        <f t="shared" si="57"/>
        <v>65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216</v>
      </c>
      <c r="F264" s="27">
        <v>23</v>
      </c>
      <c r="G264" s="34">
        <f t="shared" si="57"/>
        <v>115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216</v>
      </c>
      <c r="F265" s="27">
        <v>32</v>
      </c>
      <c r="G265" s="28">
        <f t="shared" si="57"/>
        <v>160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216</v>
      </c>
      <c r="F266" s="27">
        <v>14</v>
      </c>
      <c r="G266" s="34">
        <f t="shared" si="57"/>
        <v>70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216</v>
      </c>
      <c r="F267" s="27">
        <v>17</v>
      </c>
      <c r="G267" s="28">
        <f t="shared" si="57"/>
        <v>85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216</v>
      </c>
      <c r="F268" s="27">
        <v>17</v>
      </c>
      <c r="G268" s="34">
        <f t="shared" si="57"/>
        <v>85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216</v>
      </c>
      <c r="F269" s="27">
        <v>0</v>
      </c>
      <c r="G269" s="28">
        <f t="shared" si="57"/>
        <v>0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1" t="s">
        <v>220</v>
      </c>
      <c r="B270" s="102"/>
      <c r="C270" s="102"/>
      <c r="D270" s="102"/>
      <c r="E270" s="103">
        <f>SUM(E258:E269)</f>
        <v>0</v>
      </c>
      <c r="F270" s="36">
        <f>SUM(F258:F269)</f>
        <v>238</v>
      </c>
      <c r="G270" s="36">
        <f>SUM(G258:G269)</f>
        <v>1190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219</v>
      </c>
      <c r="O270" s="39">
        <v>1182690</v>
      </c>
    </row>
    <row r="271" spans="1:15" ht="18" customHeight="1">
      <c r="A271" s="98" t="s">
        <v>221</v>
      </c>
      <c r="B271" s="99"/>
      <c r="C271" s="99"/>
      <c r="D271" s="99"/>
      <c r="E271" s="100">
        <f>E257+E270</f>
        <v>0</v>
      </c>
      <c r="F271" s="40">
        <f>F257+F270</f>
        <v>588</v>
      </c>
      <c r="G271" s="40">
        <f>G257+G270</f>
        <v>2940</v>
      </c>
      <c r="H271" s="41"/>
      <c r="I271" s="41"/>
      <c r="J271" s="41"/>
      <c r="K271" s="41"/>
      <c r="L271" s="41"/>
      <c r="M271" s="42">
        <f ca="1">IFERROR(M257+M270,"")</f>
        <v>3.472222222222221E-2</v>
      </c>
      <c r="N271" s="40" t="s">
        <v>222</v>
      </c>
      <c r="O271" s="48">
        <f>IFERROR(O257+O270,"")</f>
        <v>3252750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216</v>
      </c>
      <c r="F272" s="27">
        <v>5</v>
      </c>
      <c r="G272" s="28">
        <f t="shared" ref="G272:G283" si="60">IF(F272="","",IF(E272="PC 17",F272*4.2,IF(E272="PC 19",F272*5,"")))</f>
        <v>25</v>
      </c>
      <c r="H272" s="26" t="s">
        <v>19</v>
      </c>
      <c r="I272" s="26" t="s">
        <v>23</v>
      </c>
      <c r="J272" s="26" t="s">
        <v>107</v>
      </c>
      <c r="K272" s="29">
        <v>0.76388888888888884</v>
      </c>
      <c r="L272" s="29">
        <v>0.78541666666666665</v>
      </c>
      <c r="M272" s="30">
        <f t="shared" ref="M272:M283" ca="1" si="61">IFERROR(IF(K272="","",IF(L272="",MOD(NOW()-K272,1),IF(L272&gt;=K272,L272-K272,L272+1-K272))),"")</f>
        <v>2.1527777777777812E-2</v>
      </c>
      <c r="N272" s="46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216</v>
      </c>
      <c r="F273" s="27">
        <v>22</v>
      </c>
      <c r="G273" s="34">
        <f t="shared" si="60"/>
        <v>110</v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216</v>
      </c>
      <c r="F274" s="27">
        <v>7</v>
      </c>
      <c r="G274" s="28">
        <f t="shared" si="60"/>
        <v>35</v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216</v>
      </c>
      <c r="F275" s="27">
        <v>6</v>
      </c>
      <c r="G275" s="34">
        <f t="shared" si="60"/>
        <v>30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216</v>
      </c>
      <c r="F276" s="27">
        <v>35</v>
      </c>
      <c r="G276" s="28">
        <f t="shared" si="60"/>
        <v>175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216</v>
      </c>
      <c r="F277" s="27">
        <v>26</v>
      </c>
      <c r="G277" s="34">
        <f t="shared" si="60"/>
        <v>130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216</v>
      </c>
      <c r="F278" s="27">
        <v>40</v>
      </c>
      <c r="G278" s="28">
        <f t="shared" si="60"/>
        <v>200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216</v>
      </c>
      <c r="F279" s="27">
        <v>30</v>
      </c>
      <c r="G279" s="34">
        <f t="shared" si="60"/>
        <v>150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216</v>
      </c>
      <c r="F280" s="27">
        <v>40</v>
      </c>
      <c r="G280" s="28">
        <f t="shared" si="60"/>
        <v>200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216</v>
      </c>
      <c r="F281" s="27">
        <v>40</v>
      </c>
      <c r="G281" s="34">
        <f t="shared" si="60"/>
        <v>200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216</v>
      </c>
      <c r="F282" s="27">
        <v>40</v>
      </c>
      <c r="G282" s="28">
        <f t="shared" si="60"/>
        <v>200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216</v>
      </c>
      <c r="F283" s="27">
        <v>25</v>
      </c>
      <c r="G283" s="34">
        <f t="shared" si="60"/>
        <v>125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1" t="s">
        <v>218</v>
      </c>
      <c r="B284" s="102"/>
      <c r="C284" s="102"/>
      <c r="D284" s="102"/>
      <c r="E284" s="103">
        <f>SUM(E272:E283)</f>
        <v>0</v>
      </c>
      <c r="F284" s="36">
        <f>SUM(F272:F283)</f>
        <v>316</v>
      </c>
      <c r="G284" s="36">
        <f>SUM(G272:G283)</f>
        <v>1580</v>
      </c>
      <c r="H284" s="37"/>
      <c r="I284" s="37"/>
      <c r="J284" s="37"/>
      <c r="K284" s="37"/>
      <c r="L284" s="37"/>
      <c r="M284" s="38">
        <f ca="1">IFERROR(SUM(M272:M283),"")</f>
        <v>2.1527777777777812E-2</v>
      </c>
      <c r="N284" s="36" t="s">
        <v>219</v>
      </c>
      <c r="O284" s="39">
        <v>2448000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216</v>
      </c>
      <c r="F285" s="27">
        <v>16</v>
      </c>
      <c r="G285" s="34">
        <f t="shared" ref="G285:G296" si="63">IF(F285="","",IF(E285="PC 17",F285*4.2,IF(E285="PC 19",F285*5,"")))</f>
        <v>80</v>
      </c>
      <c r="H285" s="33" t="s">
        <v>19</v>
      </c>
      <c r="I285" s="33" t="s">
        <v>23</v>
      </c>
      <c r="J285" s="33" t="s">
        <v>107</v>
      </c>
      <c r="K285" s="29">
        <v>0.79166666666666663</v>
      </c>
      <c r="L285" s="29">
        <v>0.81736111111111109</v>
      </c>
      <c r="M285" s="35">
        <f t="shared" ref="M285:M296" ca="1" si="64">IFERROR(IF(K285="","",IF(L285="",MOD(NOW()-K285,1),IF(L285&gt;=K285,L285-K285,L285+1-K285))),"")</f>
        <v>2.5694444444444464E-2</v>
      </c>
      <c r="N285" s="46" t="s">
        <v>229</v>
      </c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216</v>
      </c>
      <c r="F286" s="27">
        <v>24</v>
      </c>
      <c r="G286" s="28">
        <f t="shared" si="63"/>
        <v>120</v>
      </c>
      <c r="H286" s="49" t="s">
        <v>16</v>
      </c>
      <c r="I286" s="49" t="s">
        <v>23</v>
      </c>
      <c r="J286" s="49" t="s">
        <v>70</v>
      </c>
      <c r="K286" s="29">
        <v>0.25694444444444442</v>
      </c>
      <c r="L286" s="29">
        <v>0.2638888888888889</v>
      </c>
      <c r="M286" s="30">
        <f t="shared" ca="1" si="64"/>
        <v>6.9444444444444753E-3</v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216</v>
      </c>
      <c r="F287" s="27">
        <v>39</v>
      </c>
      <c r="G287" s="34">
        <f t="shared" si="63"/>
        <v>195</v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216</v>
      </c>
      <c r="F288" s="27">
        <v>31</v>
      </c>
      <c r="G288" s="28">
        <f t="shared" si="63"/>
        <v>155</v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216</v>
      </c>
      <c r="F289" s="27">
        <v>22.4</v>
      </c>
      <c r="G289" s="34">
        <f t="shared" si="63"/>
        <v>112</v>
      </c>
      <c r="H289" s="33"/>
      <c r="I289" s="33"/>
      <c r="J289" s="33"/>
      <c r="K289" s="29"/>
      <c r="L289" s="29"/>
      <c r="M289" s="35" t="str">
        <f t="shared" ca="1" si="64"/>
        <v/>
      </c>
      <c r="N289" s="46" t="s">
        <v>230</v>
      </c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216</v>
      </c>
      <c r="F290" s="27">
        <v>33.6</v>
      </c>
      <c r="G290" s="28">
        <f t="shared" si="63"/>
        <v>168</v>
      </c>
      <c r="H290" s="26"/>
      <c r="I290" s="26"/>
      <c r="J290" s="26"/>
      <c r="K290" s="29"/>
      <c r="L290" s="29"/>
      <c r="M290" s="30" t="str">
        <f t="shared" ca="1" si="64"/>
        <v/>
      </c>
      <c r="N290" s="46" t="s">
        <v>230</v>
      </c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216</v>
      </c>
      <c r="F291" s="27">
        <v>19.2</v>
      </c>
      <c r="G291" s="34">
        <f t="shared" si="63"/>
        <v>96</v>
      </c>
      <c r="H291" s="33"/>
      <c r="I291" s="33"/>
      <c r="J291" s="33"/>
      <c r="K291" s="29"/>
      <c r="L291" s="29"/>
      <c r="M291" s="35" t="str">
        <f t="shared" ca="1" si="64"/>
        <v/>
      </c>
      <c r="N291" s="46" t="s">
        <v>230</v>
      </c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216</v>
      </c>
      <c r="F292" s="27">
        <v>28.8</v>
      </c>
      <c r="G292" s="28">
        <f t="shared" si="63"/>
        <v>144</v>
      </c>
      <c r="H292" s="26"/>
      <c r="I292" s="26"/>
      <c r="J292" s="26"/>
      <c r="K292" s="29"/>
      <c r="L292" s="29"/>
      <c r="M292" s="30" t="str">
        <f t="shared" ca="1" si="64"/>
        <v/>
      </c>
      <c r="N292" s="46" t="s">
        <v>230</v>
      </c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216</v>
      </c>
      <c r="F293" s="27">
        <v>24</v>
      </c>
      <c r="G293" s="34">
        <f t="shared" si="63"/>
        <v>120</v>
      </c>
      <c r="H293" s="33"/>
      <c r="I293" s="33"/>
      <c r="J293" s="33"/>
      <c r="K293" s="29"/>
      <c r="L293" s="29"/>
      <c r="M293" s="35" t="str">
        <f t="shared" ca="1" si="64"/>
        <v/>
      </c>
      <c r="N293" s="46" t="s">
        <v>230</v>
      </c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216</v>
      </c>
      <c r="F294" s="27">
        <v>38.4</v>
      </c>
      <c r="G294" s="28">
        <f t="shared" si="63"/>
        <v>192</v>
      </c>
      <c r="H294" s="26"/>
      <c r="I294" s="26"/>
      <c r="J294" s="26"/>
      <c r="K294" s="29"/>
      <c r="L294" s="29"/>
      <c r="M294" s="30" t="str">
        <f t="shared" ca="1" si="64"/>
        <v/>
      </c>
      <c r="N294" s="46" t="s">
        <v>230</v>
      </c>
      <c r="O294" s="47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216</v>
      </c>
      <c r="F295" s="27">
        <v>28.8</v>
      </c>
      <c r="G295" s="34">
        <f t="shared" si="63"/>
        <v>144</v>
      </c>
      <c r="H295" s="33"/>
      <c r="I295" s="33"/>
      <c r="J295" s="33"/>
      <c r="K295" s="29"/>
      <c r="L295" s="29"/>
      <c r="M295" s="35" t="str">
        <f t="shared" ca="1" si="64"/>
        <v/>
      </c>
      <c r="N295" s="46" t="s">
        <v>230</v>
      </c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216</v>
      </c>
      <c r="F296" s="27">
        <v>14.4</v>
      </c>
      <c r="G296" s="28">
        <f t="shared" si="63"/>
        <v>72</v>
      </c>
      <c r="H296" s="26"/>
      <c r="I296" s="26"/>
      <c r="J296" s="26"/>
      <c r="K296" s="29"/>
      <c r="L296" s="29"/>
      <c r="M296" s="30" t="str">
        <f t="shared" ca="1" si="64"/>
        <v/>
      </c>
      <c r="N296" s="46" t="s">
        <v>230</v>
      </c>
      <c r="O296" s="47"/>
    </row>
    <row r="297" spans="1:15" ht="15.75" customHeight="1">
      <c r="A297" s="101" t="s">
        <v>220</v>
      </c>
      <c r="B297" s="102"/>
      <c r="C297" s="102"/>
      <c r="D297" s="102"/>
      <c r="E297" s="103">
        <f>SUM(E285:E296)</f>
        <v>0</v>
      </c>
      <c r="F297" s="36">
        <f>SUM(F285:F296)</f>
        <v>319.59999999999997</v>
      </c>
      <c r="G297" s="36">
        <f>SUM(G285:G296)</f>
        <v>1598</v>
      </c>
      <c r="H297" s="37"/>
      <c r="I297" s="37"/>
      <c r="J297" s="37"/>
      <c r="K297" s="37"/>
      <c r="L297" s="37"/>
      <c r="M297" s="38">
        <f ca="1">IFERROR(SUM(M285:M296),"")</f>
        <v>3.2638888888888939E-2</v>
      </c>
      <c r="N297" s="36" t="s">
        <v>219</v>
      </c>
      <c r="O297" s="39">
        <v>1843460</v>
      </c>
    </row>
    <row r="298" spans="1:15" ht="18" customHeight="1">
      <c r="A298" s="98" t="s">
        <v>221</v>
      </c>
      <c r="B298" s="99"/>
      <c r="C298" s="99"/>
      <c r="D298" s="99"/>
      <c r="E298" s="100">
        <f>E284+E297</f>
        <v>0</v>
      </c>
      <c r="F298" s="40">
        <f>F284+F297</f>
        <v>635.59999999999991</v>
      </c>
      <c r="G298" s="40">
        <f>G284+G297</f>
        <v>3178</v>
      </c>
      <c r="H298" s="41"/>
      <c r="I298" s="41"/>
      <c r="J298" s="41"/>
      <c r="K298" s="41"/>
      <c r="L298" s="41"/>
      <c r="M298" s="42">
        <f ca="1">IFERROR(M284+M297,"")</f>
        <v>5.4166666666666752E-2</v>
      </c>
      <c r="N298" s="40" t="s">
        <v>222</v>
      </c>
      <c r="O298" s="48">
        <f>IFERROR(O284+O297,"")</f>
        <v>4291460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216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18</v>
      </c>
      <c r="I299" s="33" t="s">
        <v>23</v>
      </c>
      <c r="J299" s="33" t="s">
        <v>126</v>
      </c>
      <c r="K299" s="29">
        <v>0.35</v>
      </c>
      <c r="L299" s="29">
        <v>0.38750000000000001</v>
      </c>
      <c r="M299" s="35">
        <f t="shared" ref="M299:M310" ca="1" si="67">IFERROR(IF(K299="","",IF(L299="",MOD(NOW()-K299,1),IF(L299&gt;=K299,L299-K299,L299+1-K299))),"")</f>
        <v>3.7500000000000033E-2</v>
      </c>
      <c r="N299" s="46" t="s">
        <v>231</v>
      </c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216</v>
      </c>
      <c r="F300" s="27">
        <v>11</v>
      </c>
      <c r="G300" s="28">
        <f t="shared" si="66"/>
        <v>55</v>
      </c>
      <c r="H300" s="26" t="s">
        <v>19</v>
      </c>
      <c r="I300" s="26" t="s">
        <v>23</v>
      </c>
      <c r="J300" s="26" t="s">
        <v>111</v>
      </c>
      <c r="K300" s="29">
        <v>0.51388888888888884</v>
      </c>
      <c r="L300" s="29">
        <v>0.55625000000000002</v>
      </c>
      <c r="M300" s="30">
        <f t="shared" ca="1" si="67"/>
        <v>4.2361111111111183E-2</v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216</v>
      </c>
      <c r="F301" s="27">
        <v>20</v>
      </c>
      <c r="G301" s="34">
        <f t="shared" si="66"/>
        <v>100</v>
      </c>
      <c r="H301" s="33" t="s">
        <v>20</v>
      </c>
      <c r="I301" s="33" t="s">
        <v>23</v>
      </c>
      <c r="J301" s="33" t="s">
        <v>130</v>
      </c>
      <c r="K301" s="29">
        <v>0.65694444444444444</v>
      </c>
      <c r="L301" s="29">
        <v>0.66597222222222219</v>
      </c>
      <c r="M301" s="35">
        <f t="shared" ca="1" si="67"/>
        <v>9.0277777777777457E-3</v>
      </c>
      <c r="N301" s="46" t="s">
        <v>232</v>
      </c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216</v>
      </c>
      <c r="F302" s="27">
        <v>26</v>
      </c>
      <c r="G302" s="28">
        <f t="shared" si="66"/>
        <v>130</v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216</v>
      </c>
      <c r="F303" s="27">
        <v>24</v>
      </c>
      <c r="G303" s="34">
        <f t="shared" si="66"/>
        <v>120</v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216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216</v>
      </c>
      <c r="F305" s="27">
        <v>25</v>
      </c>
      <c r="G305" s="34">
        <f t="shared" si="66"/>
        <v>125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216</v>
      </c>
      <c r="F306" s="27">
        <v>19</v>
      </c>
      <c r="G306" s="28">
        <f t="shared" si="66"/>
        <v>95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216</v>
      </c>
      <c r="F307" s="27">
        <v>30</v>
      </c>
      <c r="G307" s="34">
        <f t="shared" si="66"/>
        <v>150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216</v>
      </c>
      <c r="F308" s="27">
        <v>25</v>
      </c>
      <c r="G308" s="28">
        <f t="shared" si="66"/>
        <v>125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216</v>
      </c>
      <c r="F309" s="27">
        <v>30</v>
      </c>
      <c r="G309" s="34">
        <f t="shared" si="66"/>
        <v>150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216</v>
      </c>
      <c r="F310" s="27">
        <v>7</v>
      </c>
      <c r="G310" s="28">
        <f t="shared" si="66"/>
        <v>35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1" t="s">
        <v>218</v>
      </c>
      <c r="B311" s="102"/>
      <c r="C311" s="102"/>
      <c r="D311" s="102"/>
      <c r="E311" s="103">
        <f>SUM(E299:E310)</f>
        <v>0</v>
      </c>
      <c r="F311" s="36">
        <f>SUM(F299:F310)</f>
        <v>217</v>
      </c>
      <c r="G311" s="91">
        <f>SUM(G299:G310)</f>
        <v>1085</v>
      </c>
      <c r="H311" s="37"/>
      <c r="I311" s="37"/>
      <c r="J311" s="37"/>
      <c r="K311" s="37"/>
      <c r="L311" s="37"/>
      <c r="M311" s="38">
        <f ca="1">IFERROR(SUM(M299:M310),"")</f>
        <v>8.8888888888888962E-2</v>
      </c>
      <c r="N311" s="36" t="s">
        <v>219</v>
      </c>
      <c r="O311" s="39">
        <v>955688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216</v>
      </c>
      <c r="F312" s="27">
        <v>14</v>
      </c>
      <c r="G312" s="28">
        <f t="shared" ref="G312:G323" si="69">IF(F312="","",IF(E312="PC 17",F312*4.2,IF(E312="PC 19",F312*5,"")))</f>
        <v>70</v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/>
      <c r="F313" s="27">
        <v>14.4</v>
      </c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 t="s">
        <v>233</v>
      </c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/>
      <c r="F314" s="27">
        <v>28.8</v>
      </c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 t="s">
        <v>233</v>
      </c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216</v>
      </c>
      <c r="F315" s="27">
        <v>6</v>
      </c>
      <c r="G315" s="28">
        <f t="shared" si="69"/>
        <v>30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/>
      <c r="F316" s="27">
        <v>28.8</v>
      </c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 t="s">
        <v>233</v>
      </c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/>
      <c r="F317" s="27">
        <v>28.8</v>
      </c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 t="s">
        <v>233</v>
      </c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/>
      <c r="F318" s="27">
        <v>38.4</v>
      </c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 t="s">
        <v>233</v>
      </c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216</v>
      </c>
      <c r="F319" s="27">
        <v>10</v>
      </c>
      <c r="G319" s="28">
        <f t="shared" si="69"/>
        <v>50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/>
      <c r="F320" s="27">
        <v>33.6</v>
      </c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 t="s">
        <v>233</v>
      </c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/>
      <c r="F321" s="27">
        <v>19.2</v>
      </c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/>
      <c r="F322" s="27">
        <v>33.6</v>
      </c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/>
      <c r="F323" s="27">
        <v>5</v>
      </c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1" t="s">
        <v>220</v>
      </c>
      <c r="B324" s="102"/>
      <c r="C324" s="102"/>
      <c r="D324" s="102"/>
      <c r="E324" s="103">
        <f>SUM(E312:E323)</f>
        <v>0</v>
      </c>
      <c r="F324" s="36">
        <f>SUM(F312:F323)</f>
        <v>260.59999999999997</v>
      </c>
      <c r="G324" s="36">
        <f>SUM(G312:G323)</f>
        <v>150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219</v>
      </c>
      <c r="O324" s="39">
        <v>1940000</v>
      </c>
    </row>
    <row r="325" spans="1:15" ht="18" customHeight="1">
      <c r="A325" s="98" t="s">
        <v>221</v>
      </c>
      <c r="B325" s="99"/>
      <c r="C325" s="99"/>
      <c r="D325" s="99"/>
      <c r="E325" s="100">
        <f>E311+E324</f>
        <v>0</v>
      </c>
      <c r="F325" s="40">
        <f>F311+F324</f>
        <v>477.59999999999997</v>
      </c>
      <c r="G325" s="40">
        <f>G311+G324</f>
        <v>1235</v>
      </c>
      <c r="H325" s="41"/>
      <c r="I325" s="41"/>
      <c r="J325" s="41"/>
      <c r="K325" s="41"/>
      <c r="L325" s="41"/>
      <c r="M325" s="42">
        <f ca="1">IFERROR(M311+M324,"")</f>
        <v>8.8888888888888962E-2</v>
      </c>
      <c r="N325" s="40" t="s">
        <v>222</v>
      </c>
      <c r="O325" s="48">
        <f>IFERROR(O311+O324,"")</f>
        <v>2895688</v>
      </c>
    </row>
    <row r="326" spans="1:15" ht="15" customHeight="1">
      <c r="A326" s="69">
        <v>46216</v>
      </c>
      <c r="B326" s="25">
        <v>0.33333333333333298</v>
      </c>
      <c r="C326" s="26" t="s">
        <v>45</v>
      </c>
      <c r="D326" s="59" t="s">
        <v>30</v>
      </c>
      <c r="E326" s="59" t="s">
        <v>216</v>
      </c>
      <c r="F326" s="27">
        <v>18</v>
      </c>
      <c r="G326" s="28">
        <f t="shared" ref="G326:G337" si="72">IF(F326="","",IF(E326="PC 17",F326*4.2,IF(E326="PC 19",F326*5,"")))</f>
        <v>90</v>
      </c>
      <c r="H326" s="26" t="s">
        <v>20</v>
      </c>
      <c r="I326" s="26" t="s">
        <v>23</v>
      </c>
      <c r="J326" s="26" t="s">
        <v>130</v>
      </c>
      <c r="K326" s="29">
        <v>0.67500000000000004</v>
      </c>
      <c r="L326" s="29">
        <v>0.73819444444444449</v>
      </c>
      <c r="M326" s="30">
        <f t="shared" ref="M326:M337" ca="1" si="73">IFERROR(IF(K326="","",IF(L326="",MOD(NOW()-K326,1),IF(L326&gt;=K326,L326-K326,L326+1-K326))),"")</f>
        <v>6.3194444444444442E-2</v>
      </c>
      <c r="N326" s="46" t="s">
        <v>234</v>
      </c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216</v>
      </c>
      <c r="F327" s="27">
        <v>60</v>
      </c>
      <c r="G327" s="34">
        <f t="shared" si="72"/>
        <v>300</v>
      </c>
      <c r="H327" s="33" t="s">
        <v>20</v>
      </c>
      <c r="I327" s="33" t="s">
        <v>23</v>
      </c>
      <c r="J327" s="33"/>
      <c r="K327" s="29">
        <v>0.75347222222222221</v>
      </c>
      <c r="L327" s="29">
        <v>0.78819444444444442</v>
      </c>
      <c r="M327" s="35">
        <f t="shared" ca="1" si="73"/>
        <v>3.472222222222221E-2</v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216</v>
      </c>
      <c r="F328" s="27">
        <v>38</v>
      </c>
      <c r="G328" s="28">
        <f t="shared" si="72"/>
        <v>190</v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216</v>
      </c>
      <c r="F329" s="27">
        <v>38</v>
      </c>
      <c r="G329" s="34">
        <f t="shared" si="72"/>
        <v>190</v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216</v>
      </c>
      <c r="F330" s="27">
        <v>15</v>
      </c>
      <c r="G330" s="28">
        <f t="shared" si="72"/>
        <v>75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216</v>
      </c>
      <c r="F331" s="27">
        <v>40</v>
      </c>
      <c r="G331" s="34">
        <f t="shared" si="72"/>
        <v>200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216</v>
      </c>
      <c r="F332" s="27">
        <v>25</v>
      </c>
      <c r="G332" s="28">
        <f t="shared" si="72"/>
        <v>125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216</v>
      </c>
      <c r="F333" s="27">
        <v>23</v>
      </c>
      <c r="G333" s="34">
        <f t="shared" si="72"/>
        <v>115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216</v>
      </c>
      <c r="F334" s="27">
        <v>36</v>
      </c>
      <c r="G334" s="28">
        <f t="shared" si="72"/>
        <v>180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216</v>
      </c>
      <c r="F335" s="27">
        <v>5</v>
      </c>
      <c r="G335" s="34">
        <f t="shared" si="72"/>
        <v>25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216</v>
      </c>
      <c r="F336" s="27">
        <v>7</v>
      </c>
      <c r="G336" s="28">
        <f t="shared" si="72"/>
        <v>35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216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1" t="s">
        <v>218</v>
      </c>
      <c r="B338" s="102"/>
      <c r="C338" s="102"/>
      <c r="D338" s="102"/>
      <c r="E338" s="103">
        <f>SUM(E326:E337)</f>
        <v>0</v>
      </c>
      <c r="F338" s="36">
        <f>SUM(F326:F337)</f>
        <v>305</v>
      </c>
      <c r="G338" s="36">
        <f>SUM(G326:G337)</f>
        <v>1525</v>
      </c>
      <c r="H338" s="37"/>
      <c r="I338" s="37"/>
      <c r="J338" s="37"/>
      <c r="K338" s="37"/>
      <c r="L338" s="37"/>
      <c r="M338" s="38">
        <f ca="1">IFERROR(SUM(M326:M337),"")</f>
        <v>9.7916666666666652E-2</v>
      </c>
      <c r="N338" s="36" t="s">
        <v>219</v>
      </c>
      <c r="O338" s="39">
        <v>1525000</v>
      </c>
    </row>
    <row r="339" spans="1:15" ht="15" customHeight="1">
      <c r="A339" s="70">
        <v>46216</v>
      </c>
      <c r="B339" s="32">
        <v>0.83333333333333304</v>
      </c>
      <c r="C339" s="33" t="s">
        <v>29</v>
      </c>
      <c r="D339" s="62" t="s">
        <v>30</v>
      </c>
      <c r="E339" s="62" t="s">
        <v>216</v>
      </c>
      <c r="F339" s="27">
        <v>0</v>
      </c>
      <c r="G339" s="34">
        <f t="shared" ref="G339:G350" si="75">IF(F339="","",IF(E339="PC 17",F339*4.2,IF(E339="PC 19",F339*5,"")))</f>
        <v>0</v>
      </c>
      <c r="H339" s="33" t="s">
        <v>20</v>
      </c>
      <c r="I339" s="33" t="s">
        <v>23</v>
      </c>
      <c r="J339" s="33"/>
      <c r="K339" s="29">
        <v>0.79166666666666663</v>
      </c>
      <c r="L339" s="29">
        <v>0.87013888888888891</v>
      </c>
      <c r="M339" s="35">
        <f t="shared" ref="M339:M350" ca="1" si="76">IFERROR(IF(K339="","",IF(L339="",MOD(NOW()-K339,1),IF(L339&gt;=K339,L339-K339,L339+1-K339))),"")</f>
        <v>7.8472222222222276E-2</v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216</v>
      </c>
      <c r="F340" s="27">
        <v>11</v>
      </c>
      <c r="G340" s="28">
        <f t="shared" si="75"/>
        <v>55</v>
      </c>
      <c r="H340" s="26" t="s">
        <v>18</v>
      </c>
      <c r="I340" s="26" t="s">
        <v>23</v>
      </c>
      <c r="J340" s="26" t="s">
        <v>34</v>
      </c>
      <c r="K340" s="29">
        <v>0.92083333333333328</v>
      </c>
      <c r="L340" s="29">
        <v>2.7083333333333334E-2</v>
      </c>
      <c r="M340" s="30">
        <f t="shared" ca="1" si="76"/>
        <v>0.10625000000000007</v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216</v>
      </c>
      <c r="F341" s="27">
        <v>0</v>
      </c>
      <c r="G341" s="34">
        <f t="shared" si="75"/>
        <v>0</v>
      </c>
      <c r="H341" s="33" t="s">
        <v>18</v>
      </c>
      <c r="I341" s="33" t="s">
        <v>23</v>
      </c>
      <c r="J341" s="33" t="s">
        <v>174</v>
      </c>
      <c r="K341" s="29">
        <v>5.1388888888888887E-2</v>
      </c>
      <c r="L341" s="29">
        <v>7.7083333333333337E-2</v>
      </c>
      <c r="M341" s="35">
        <f t="shared" ca="1" si="76"/>
        <v>2.569444444444445E-2</v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216</v>
      </c>
      <c r="F342" s="27">
        <v>0</v>
      </c>
      <c r="G342" s="28">
        <f t="shared" si="75"/>
        <v>0</v>
      </c>
      <c r="H342" s="26" t="s">
        <v>18</v>
      </c>
      <c r="I342" s="26" t="s">
        <v>23</v>
      </c>
      <c r="J342" s="26" t="s">
        <v>174</v>
      </c>
      <c r="K342" s="29">
        <v>0.11805555555555555</v>
      </c>
      <c r="L342" s="29">
        <v>0.19444444444444445</v>
      </c>
      <c r="M342" s="30">
        <f t="shared" ca="1" si="76"/>
        <v>7.6388888888888895E-2</v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216</v>
      </c>
      <c r="F343" s="27">
        <v>0</v>
      </c>
      <c r="G343" s="34">
        <f t="shared" si="75"/>
        <v>0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216</v>
      </c>
      <c r="F344" s="27">
        <v>10</v>
      </c>
      <c r="G344" s="28">
        <f t="shared" si="75"/>
        <v>50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216</v>
      </c>
      <c r="F345" s="27">
        <v>22</v>
      </c>
      <c r="G345" s="34">
        <f t="shared" si="75"/>
        <v>110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216</v>
      </c>
      <c r="F346" s="27">
        <v>7</v>
      </c>
      <c r="G346" s="28">
        <f t="shared" si="75"/>
        <v>35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216</v>
      </c>
      <c r="F347" s="27">
        <v>0</v>
      </c>
      <c r="G347" s="34">
        <f t="shared" si="75"/>
        <v>0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216</v>
      </c>
      <c r="F348" s="27">
        <v>17</v>
      </c>
      <c r="G348" s="28">
        <f t="shared" si="75"/>
        <v>85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216</v>
      </c>
      <c r="F349" s="27">
        <v>35</v>
      </c>
      <c r="G349" s="34">
        <f t="shared" si="75"/>
        <v>175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216</v>
      </c>
      <c r="F350" s="27">
        <v>16</v>
      </c>
      <c r="G350" s="28">
        <f t="shared" si="75"/>
        <v>80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1" t="s">
        <v>220</v>
      </c>
      <c r="B351" s="102"/>
      <c r="C351" s="102"/>
      <c r="D351" s="102"/>
      <c r="E351" s="103">
        <f>SUM(E339:E350)</f>
        <v>0</v>
      </c>
      <c r="F351" s="36">
        <f>SUM(F339:F350)</f>
        <v>118</v>
      </c>
      <c r="G351" s="36">
        <f>SUM(G339:G350)</f>
        <v>590</v>
      </c>
      <c r="H351" s="37"/>
      <c r="I351" s="37"/>
      <c r="J351" s="37"/>
      <c r="K351" s="37"/>
      <c r="L351" s="37"/>
      <c r="M351" s="38">
        <f ca="1">IFERROR(SUM(M339:M350),"")</f>
        <v>0.2868055555555557</v>
      </c>
      <c r="N351" s="36" t="s">
        <v>219</v>
      </c>
      <c r="O351" s="39">
        <v>701874</v>
      </c>
    </row>
    <row r="352" spans="1:15" ht="18" customHeight="1">
      <c r="A352" s="98" t="s">
        <v>221</v>
      </c>
      <c r="B352" s="99"/>
      <c r="C352" s="99"/>
      <c r="D352" s="99"/>
      <c r="E352" s="100">
        <f>E338+E351</f>
        <v>0</v>
      </c>
      <c r="F352" s="40">
        <f>F338+F351</f>
        <v>423</v>
      </c>
      <c r="G352" s="40">
        <f>G338+G351</f>
        <v>2115</v>
      </c>
      <c r="H352" s="41"/>
      <c r="I352" s="41"/>
      <c r="J352" s="41"/>
      <c r="K352" s="41"/>
      <c r="L352" s="41"/>
      <c r="M352" s="42">
        <f ca="1">IFERROR(M338+M351,"")</f>
        <v>0.38472222222222235</v>
      </c>
      <c r="N352" s="40" t="s">
        <v>222</v>
      </c>
      <c r="O352" s="48">
        <f>IFERROR(O338+O351,"")</f>
        <v>2226874</v>
      </c>
    </row>
    <row r="353" spans="1:15" ht="15" customHeight="1">
      <c r="A353" s="70">
        <v>46217</v>
      </c>
      <c r="B353" s="32">
        <v>0.33333333333333298</v>
      </c>
      <c r="C353" s="33" t="s">
        <v>45</v>
      </c>
      <c r="D353" s="62" t="s">
        <v>30</v>
      </c>
      <c r="E353" s="62" t="s">
        <v>216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23</v>
      </c>
      <c r="J353" s="33" t="s">
        <v>178</v>
      </c>
      <c r="K353" s="29">
        <v>0.30555555555555558</v>
      </c>
      <c r="L353" s="29">
        <v>0.375</v>
      </c>
      <c r="M353" s="35">
        <f t="shared" ref="M353:M364" ca="1" si="79">IFERROR(IF(K353="","",IF(L353="",MOD(NOW()-K353,1),IF(L353&gt;=K353,L353-K353,L353+1-K353))),"")</f>
        <v>6.944444444444442E-2</v>
      </c>
      <c r="N353" s="46" t="s">
        <v>235</v>
      </c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216</v>
      </c>
      <c r="F354" s="27">
        <v>11</v>
      </c>
      <c r="G354" s="28">
        <f t="shared" si="78"/>
        <v>55</v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216</v>
      </c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216</v>
      </c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216</v>
      </c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216</v>
      </c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216</v>
      </c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216</v>
      </c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216</v>
      </c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216</v>
      </c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216</v>
      </c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216</v>
      </c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1" t="s">
        <v>218</v>
      </c>
      <c r="B365" s="102"/>
      <c r="C365" s="102"/>
      <c r="D365" s="102"/>
      <c r="E365" s="103">
        <f>SUM(E353:E364)</f>
        <v>0</v>
      </c>
      <c r="F365" s="36">
        <f>SUM(F353:F364)</f>
        <v>11</v>
      </c>
      <c r="G365" s="36">
        <f>SUM(G353:G364)</f>
        <v>55</v>
      </c>
      <c r="H365" s="37"/>
      <c r="I365" s="37"/>
      <c r="J365" s="37"/>
      <c r="K365" s="37"/>
      <c r="L365" s="37"/>
      <c r="M365" s="38">
        <f ca="1">IFERROR(SUM(M353:M364),"")</f>
        <v>6.944444444444442E-2</v>
      </c>
      <c r="N365" s="36" t="s">
        <v>219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101" t="s">
        <v>220</v>
      </c>
      <c r="B378" s="102"/>
      <c r="C378" s="102"/>
      <c r="D378" s="102"/>
      <c r="E378" s="10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219</v>
      </c>
      <c r="O378" s="39"/>
    </row>
    <row r="379" spans="1:15" ht="18" customHeight="1">
      <c r="A379" s="98" t="s">
        <v>221</v>
      </c>
      <c r="B379" s="99"/>
      <c r="C379" s="99"/>
      <c r="D379" s="99"/>
      <c r="E379" s="100">
        <f>E365+E378</f>
        <v>0</v>
      </c>
      <c r="F379" s="40">
        <f>F365+F378</f>
        <v>11</v>
      </c>
      <c r="G379" s="40">
        <f>G365+G378</f>
        <v>55</v>
      </c>
      <c r="H379" s="41"/>
      <c r="I379" s="41"/>
      <c r="J379" s="41"/>
      <c r="K379" s="41"/>
      <c r="L379" s="41"/>
      <c r="M379" s="42">
        <f ca="1">IFERROR(M365+M378,"")</f>
        <v>6.944444444444442E-2</v>
      </c>
      <c r="N379" s="40" t="s">
        <v>222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1" t="s">
        <v>218</v>
      </c>
      <c r="B392" s="102"/>
      <c r="C392" s="102"/>
      <c r="D392" s="102"/>
      <c r="E392" s="10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219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1" t="s">
        <v>220</v>
      </c>
      <c r="B405" s="102"/>
      <c r="C405" s="102"/>
      <c r="D405" s="102"/>
      <c r="E405" s="10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219</v>
      </c>
      <c r="O405" s="39"/>
    </row>
    <row r="406" spans="1:15" ht="18" customHeight="1">
      <c r="A406" s="98" t="s">
        <v>221</v>
      </c>
      <c r="B406" s="99"/>
      <c r="C406" s="99"/>
      <c r="D406" s="99"/>
      <c r="E406" s="100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222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1" t="s">
        <v>218</v>
      </c>
      <c r="B419" s="102"/>
      <c r="C419" s="102"/>
      <c r="D419" s="102"/>
      <c r="E419" s="10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219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101" t="s">
        <v>220</v>
      </c>
      <c r="B432" s="102"/>
      <c r="C432" s="102"/>
      <c r="D432" s="102"/>
      <c r="E432" s="10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219</v>
      </c>
      <c r="O432" s="39"/>
    </row>
    <row r="433" spans="1:15" ht="18" customHeight="1">
      <c r="A433" s="98" t="s">
        <v>221</v>
      </c>
      <c r="B433" s="99"/>
      <c r="C433" s="99"/>
      <c r="D433" s="99"/>
      <c r="E433" s="100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222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1" t="s">
        <v>218</v>
      </c>
      <c r="B446" s="102"/>
      <c r="C446" s="102"/>
      <c r="D446" s="102"/>
      <c r="E446" s="10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219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1" t="s">
        <v>220</v>
      </c>
      <c r="B459" s="102"/>
      <c r="C459" s="102"/>
      <c r="D459" s="102"/>
      <c r="E459" s="10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219</v>
      </c>
      <c r="O459" s="39"/>
    </row>
    <row r="460" spans="1:15" ht="18" customHeight="1">
      <c r="A460" s="98" t="s">
        <v>221</v>
      </c>
      <c r="B460" s="99"/>
      <c r="C460" s="99"/>
      <c r="D460" s="99"/>
      <c r="E460" s="100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222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1" t="s">
        <v>218</v>
      </c>
      <c r="B473" s="102"/>
      <c r="C473" s="102"/>
      <c r="D473" s="102"/>
      <c r="E473" s="10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219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1" t="s">
        <v>220</v>
      </c>
      <c r="B486" s="102"/>
      <c r="C486" s="102"/>
      <c r="D486" s="102"/>
      <c r="E486" s="10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219</v>
      </c>
      <c r="O486" s="39"/>
    </row>
    <row r="487" spans="1:15" ht="18" customHeight="1">
      <c r="A487" s="98" t="s">
        <v>221</v>
      </c>
      <c r="B487" s="99"/>
      <c r="C487" s="99"/>
      <c r="D487" s="99"/>
      <c r="E487" s="100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222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1" t="s">
        <v>218</v>
      </c>
      <c r="B500" s="102"/>
      <c r="C500" s="102"/>
      <c r="D500" s="102"/>
      <c r="E500" s="10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219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101" t="s">
        <v>220</v>
      </c>
      <c r="B513" s="102"/>
      <c r="C513" s="102"/>
      <c r="D513" s="102"/>
      <c r="E513" s="10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219</v>
      </c>
      <c r="O513" s="39"/>
    </row>
    <row r="514" spans="1:15" ht="18" customHeight="1">
      <c r="A514" s="98" t="s">
        <v>221</v>
      </c>
      <c r="B514" s="99"/>
      <c r="C514" s="99"/>
      <c r="D514" s="99"/>
      <c r="E514" s="100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222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1" t="s">
        <v>218</v>
      </c>
      <c r="B527" s="102"/>
      <c r="C527" s="102"/>
      <c r="D527" s="102"/>
      <c r="E527" s="10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219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101" t="s">
        <v>220</v>
      </c>
      <c r="B540" s="102"/>
      <c r="C540" s="102"/>
      <c r="D540" s="102"/>
      <c r="E540" s="10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219</v>
      </c>
      <c r="O540" s="39"/>
    </row>
    <row r="541" spans="1:15" ht="18" customHeight="1">
      <c r="A541" s="98" t="s">
        <v>221</v>
      </c>
      <c r="B541" s="99"/>
      <c r="C541" s="99"/>
      <c r="D541" s="99"/>
      <c r="E541" s="100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222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1" t="s">
        <v>218</v>
      </c>
      <c r="B554" s="102"/>
      <c r="C554" s="102"/>
      <c r="D554" s="102"/>
      <c r="E554" s="10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219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1" t="s">
        <v>220</v>
      </c>
      <c r="B567" s="102"/>
      <c r="C567" s="102"/>
      <c r="D567" s="102"/>
      <c r="E567" s="10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219</v>
      </c>
      <c r="O567" s="39"/>
    </row>
    <row r="568" spans="1:15" ht="18" customHeight="1">
      <c r="A568" s="98" t="s">
        <v>221</v>
      </c>
      <c r="B568" s="99"/>
      <c r="C568" s="99"/>
      <c r="D568" s="99"/>
      <c r="E568" s="100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222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1" t="s">
        <v>218</v>
      </c>
      <c r="B581" s="102"/>
      <c r="C581" s="102"/>
      <c r="D581" s="102"/>
      <c r="E581" s="10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219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1" t="s">
        <v>220</v>
      </c>
      <c r="B594" s="102"/>
      <c r="C594" s="102"/>
      <c r="D594" s="102"/>
      <c r="E594" s="10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219</v>
      </c>
      <c r="O594" s="39"/>
    </row>
    <row r="595" spans="1:15" ht="18" customHeight="1">
      <c r="A595" s="98" t="s">
        <v>221</v>
      </c>
      <c r="B595" s="99"/>
      <c r="C595" s="99"/>
      <c r="D595" s="99"/>
      <c r="E595" s="100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222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1" t="s">
        <v>218</v>
      </c>
      <c r="B608" s="102"/>
      <c r="C608" s="102"/>
      <c r="D608" s="102"/>
      <c r="E608" s="10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219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1" t="s">
        <v>220</v>
      </c>
      <c r="B621" s="102"/>
      <c r="C621" s="102"/>
      <c r="D621" s="102"/>
      <c r="E621" s="10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219</v>
      </c>
      <c r="O621" s="39"/>
    </row>
    <row r="622" spans="1:15" ht="18" customHeight="1">
      <c r="A622" s="98" t="s">
        <v>221</v>
      </c>
      <c r="B622" s="99"/>
      <c r="C622" s="99"/>
      <c r="D622" s="99"/>
      <c r="E622" s="100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222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01" t="s">
        <v>218</v>
      </c>
      <c r="B635" s="102"/>
      <c r="C635" s="102"/>
      <c r="D635" s="102"/>
      <c r="E635" s="10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219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1" t="s">
        <v>220</v>
      </c>
      <c r="B648" s="102"/>
      <c r="C648" s="102"/>
      <c r="D648" s="102"/>
      <c r="E648" s="10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219</v>
      </c>
      <c r="O648" s="39"/>
    </row>
    <row r="649" spans="1:15" ht="18" customHeight="1">
      <c r="A649" s="98" t="s">
        <v>221</v>
      </c>
      <c r="B649" s="99"/>
      <c r="C649" s="99"/>
      <c r="D649" s="99"/>
      <c r="E649" s="100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222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1" t="s">
        <v>218</v>
      </c>
      <c r="B662" s="102"/>
      <c r="C662" s="102"/>
      <c r="D662" s="102"/>
      <c r="E662" s="10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219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1" t="s">
        <v>220</v>
      </c>
      <c r="B675" s="102"/>
      <c r="C675" s="102"/>
      <c r="D675" s="102"/>
      <c r="E675" s="10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219</v>
      </c>
      <c r="O675" s="39"/>
    </row>
    <row r="676" spans="1:15" ht="18" customHeight="1">
      <c r="A676" s="98" t="s">
        <v>221</v>
      </c>
      <c r="B676" s="99"/>
      <c r="C676" s="99"/>
      <c r="D676" s="99"/>
      <c r="E676" s="100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222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1" t="s">
        <v>218</v>
      </c>
      <c r="B689" s="102"/>
      <c r="C689" s="102"/>
      <c r="D689" s="102"/>
      <c r="E689" s="10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219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1" t="s">
        <v>220</v>
      </c>
      <c r="B702" s="102"/>
      <c r="C702" s="102"/>
      <c r="D702" s="102"/>
      <c r="E702" s="10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219</v>
      </c>
      <c r="O702" s="39"/>
    </row>
    <row r="703" spans="1:15" ht="18" customHeight="1">
      <c r="A703" s="98" t="s">
        <v>221</v>
      </c>
      <c r="B703" s="99"/>
      <c r="C703" s="99"/>
      <c r="D703" s="99"/>
      <c r="E703" s="100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222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1" t="s">
        <v>218</v>
      </c>
      <c r="B716" s="102"/>
      <c r="C716" s="102"/>
      <c r="D716" s="102"/>
      <c r="E716" s="10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219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1" t="s">
        <v>220</v>
      </c>
      <c r="B729" s="102"/>
      <c r="C729" s="102"/>
      <c r="D729" s="102"/>
      <c r="E729" s="10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219</v>
      </c>
      <c r="O729" s="39"/>
    </row>
    <row r="730" spans="1:15" ht="18" customHeight="1">
      <c r="A730" s="98" t="s">
        <v>221</v>
      </c>
      <c r="B730" s="99"/>
      <c r="C730" s="99"/>
      <c r="D730" s="99"/>
      <c r="E730" s="100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222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1" t="s">
        <v>218</v>
      </c>
      <c r="B743" s="102"/>
      <c r="C743" s="102"/>
      <c r="D743" s="102"/>
      <c r="E743" s="10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219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1" t="s">
        <v>220</v>
      </c>
      <c r="B756" s="102"/>
      <c r="C756" s="102"/>
      <c r="D756" s="102"/>
      <c r="E756" s="10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219</v>
      </c>
      <c r="O756" s="39"/>
    </row>
    <row r="757" spans="1:15" ht="18" customHeight="1">
      <c r="A757" s="98" t="s">
        <v>221</v>
      </c>
      <c r="B757" s="99"/>
      <c r="C757" s="99"/>
      <c r="D757" s="99"/>
      <c r="E757" s="100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222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1" t="s">
        <v>218</v>
      </c>
      <c r="B770" s="102"/>
      <c r="C770" s="102"/>
      <c r="D770" s="102"/>
      <c r="E770" s="10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219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1" t="s">
        <v>220</v>
      </c>
      <c r="B783" s="102"/>
      <c r="C783" s="102"/>
      <c r="D783" s="102"/>
      <c r="E783" s="10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219</v>
      </c>
      <c r="O783" s="39"/>
    </row>
    <row r="784" spans="1:15" ht="18" customHeight="1">
      <c r="A784" s="98" t="s">
        <v>221</v>
      </c>
      <c r="B784" s="99"/>
      <c r="C784" s="99"/>
      <c r="D784" s="99"/>
      <c r="E784" s="100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222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1" t="s">
        <v>218</v>
      </c>
      <c r="B797" s="102"/>
      <c r="C797" s="102"/>
      <c r="D797" s="102"/>
      <c r="E797" s="10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219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1" t="s">
        <v>220</v>
      </c>
      <c r="B810" s="102"/>
      <c r="C810" s="102"/>
      <c r="D810" s="102"/>
      <c r="E810" s="10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219</v>
      </c>
      <c r="O810" s="39"/>
    </row>
    <row r="811" spans="1:15" ht="18" customHeight="1">
      <c r="A811" s="98" t="s">
        <v>221</v>
      </c>
      <c r="B811" s="99"/>
      <c r="C811" s="99"/>
      <c r="D811" s="99"/>
      <c r="E811" s="100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222</v>
      </c>
      <c r="O811" s="43">
        <f>IFERROR(O797+O810,"")</f>
        <v>0</v>
      </c>
    </row>
  </sheetData>
  <mergeCells count="90"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E29:E811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zoomScale="50" zoomScaleNormal="50" workbookViewId="0">
      <pane ySplit="1" topLeftCell="B352" activePane="bottomLeft" state="frozen"/>
      <selection pane="bottomLeft" activeCell="J352" sqref="J352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64.5703125" style="20" customWidth="1"/>
    <col min="15" max="15" width="20" customWidth="1"/>
    <col min="16" max="16" width="20.140625" customWidth="1"/>
  </cols>
  <sheetData>
    <row r="1" spans="1:15" ht="37.5" customHeight="1">
      <c r="A1" s="68" t="s">
        <v>7</v>
      </c>
      <c r="B1" s="23" t="s">
        <v>205</v>
      </c>
      <c r="C1" s="23" t="s">
        <v>12</v>
      </c>
      <c r="D1" s="22" t="s">
        <v>13</v>
      </c>
      <c r="E1" s="22" t="s">
        <v>206</v>
      </c>
      <c r="F1" s="23" t="s">
        <v>207</v>
      </c>
      <c r="G1" s="23" t="s">
        <v>208</v>
      </c>
      <c r="H1" s="23" t="s">
        <v>14</v>
      </c>
      <c r="I1" s="23" t="s">
        <v>15</v>
      </c>
      <c r="J1" s="23" t="s">
        <v>209</v>
      </c>
      <c r="K1" s="23" t="s">
        <v>210</v>
      </c>
      <c r="L1" s="23" t="s">
        <v>211</v>
      </c>
      <c r="M1" s="24" t="s">
        <v>212</v>
      </c>
      <c r="N1" s="23" t="s">
        <v>213</v>
      </c>
      <c r="O1" s="23" t="s">
        <v>214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236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175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236</v>
      </c>
      <c r="F3" s="27">
        <v>10</v>
      </c>
      <c r="G3" s="34">
        <f t="shared" si="0"/>
        <v>42</v>
      </c>
      <c r="H3" s="33" t="s">
        <v>19</v>
      </c>
      <c r="I3" s="33" t="s">
        <v>155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236</v>
      </c>
      <c r="F4" s="27">
        <v>8</v>
      </c>
      <c r="G4" s="28">
        <f t="shared" si="0"/>
        <v>33.6</v>
      </c>
      <c r="H4" s="26" t="s">
        <v>19</v>
      </c>
      <c r="I4" s="26" t="s">
        <v>155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236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236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236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236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236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236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236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236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236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101" t="s">
        <v>218</v>
      </c>
      <c r="B14" s="102"/>
      <c r="C14" s="102"/>
      <c r="D14" s="102"/>
      <c r="E14" s="103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219</v>
      </c>
      <c r="O14" s="78">
        <v>627260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236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155</v>
      </c>
      <c r="J15" s="33" t="s">
        <v>162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236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236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236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236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236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236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236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236</v>
      </c>
      <c r="F23" s="77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236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236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236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101" t="s">
        <v>220</v>
      </c>
      <c r="B27" s="102"/>
      <c r="C27" s="102"/>
      <c r="D27" s="102"/>
      <c r="E27" s="103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219</v>
      </c>
      <c r="O27" s="78">
        <v>393200</v>
      </c>
    </row>
    <row r="28" spans="1:15" ht="18" customHeight="1">
      <c r="A28" s="98" t="s">
        <v>221</v>
      </c>
      <c r="B28" s="99"/>
      <c r="C28" s="99"/>
      <c r="D28" s="99"/>
      <c r="E28" s="100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222</v>
      </c>
      <c r="O28" s="83">
        <f>O14+O27</f>
        <v>1020460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236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80">
        <f t="shared" ref="M29:M40" ca="1" si="7">IFERROR(IF(K29="","",IF(L29="",MOD(NOW()-K29,1),IF(L29&gt;=K29,L29-K29,L29+1-K29))),"")</f>
        <v>7.1527777777777746E-2</v>
      </c>
      <c r="N29" s="46" t="s">
        <v>237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236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190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236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163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236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236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236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236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236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236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236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236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236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101" t="s">
        <v>218</v>
      </c>
      <c r="B41" s="102"/>
      <c r="C41" s="102"/>
      <c r="D41" s="102"/>
      <c r="E41" s="103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219</v>
      </c>
      <c r="O41" s="85">
        <v>351740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236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>
      <c r="A43" s="69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236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>
      <c r="A44" s="70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236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101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238</v>
      </c>
      <c r="O44" s="31"/>
    </row>
    <row r="45" spans="1:15" ht="15" customHeight="1">
      <c r="A45" s="69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236</v>
      </c>
      <c r="F45" s="27">
        <v>0</v>
      </c>
      <c r="G45" s="28">
        <f t="shared" si="9"/>
        <v>0</v>
      </c>
      <c r="H45" s="33" t="s">
        <v>20</v>
      </c>
      <c r="I45" s="33" t="s">
        <v>155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>
      <c r="A46" s="70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236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9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236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70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236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9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236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70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236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9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236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70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236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9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236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101" t="s">
        <v>220</v>
      </c>
      <c r="B54" s="102"/>
      <c r="C54" s="102"/>
      <c r="D54" s="102"/>
      <c r="E54" s="103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219</v>
      </c>
      <c r="O54" s="85">
        <v>276360</v>
      </c>
    </row>
    <row r="55" spans="1:15" ht="18" customHeight="1">
      <c r="A55" s="98" t="s">
        <v>221</v>
      </c>
      <c r="B55" s="99"/>
      <c r="C55" s="99"/>
      <c r="D55" s="99"/>
      <c r="E55" s="100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222</v>
      </c>
      <c r="O55" s="83">
        <f>IFERROR(O41+O54,"")</f>
        <v>628100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 t="s">
        <v>63</v>
      </c>
      <c r="J56" s="26" t="s">
        <v>101</v>
      </c>
      <c r="K56" s="29">
        <v>0.29166666666666669</v>
      </c>
      <c r="L56" s="29">
        <v>0.79166666666666663</v>
      </c>
      <c r="M56" s="35">
        <f t="shared" ref="M56:M67" ca="1" si="13">IFERROR(IF(K56="","",IF(L56="",MOD(NOW()-K56,1),IF(L56&gt;=K56,L56-K56,L56+1-K56))),"")</f>
        <v>0.49999999999999994</v>
      </c>
      <c r="N56" s="46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/>
      <c r="I57" s="33"/>
      <c r="J57" s="82"/>
      <c r="K57" s="29"/>
      <c r="L57" s="29"/>
      <c r="M57" s="30"/>
      <c r="N57" s="46" t="s">
        <v>239</v>
      </c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/>
      <c r="I58" s="81"/>
      <c r="J58" s="26"/>
      <c r="K58" s="29"/>
      <c r="L58" s="29"/>
      <c r="M58" s="35"/>
      <c r="N58" s="46" t="s">
        <v>240</v>
      </c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0</v>
      </c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>
        <v>0</v>
      </c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>
        <v>0</v>
      </c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>
        <v>0</v>
      </c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>
        <v>0</v>
      </c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>
        <v>0</v>
      </c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>
        <v>0</v>
      </c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>
        <v>0</v>
      </c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>
        <v>0</v>
      </c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101" t="s">
        <v>218</v>
      </c>
      <c r="B68" s="102"/>
      <c r="C68" s="102"/>
      <c r="D68" s="102"/>
      <c r="E68" s="103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0.49999999999999994</v>
      </c>
      <c r="N68" s="36" t="s">
        <v>219</v>
      </c>
      <c r="O68" s="54">
        <v>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236</v>
      </c>
      <c r="F69" s="27">
        <v>17</v>
      </c>
      <c r="G69" s="34">
        <f t="shared" ref="G69:G80" si="15">IF(F69="","",IF(E69="PC 17",F69*4.2,IF(E69="PC 19",F69*5,"")))</f>
        <v>71.400000000000006</v>
      </c>
      <c r="H69" s="33" t="s">
        <v>20</v>
      </c>
      <c r="I69" s="33" t="s">
        <v>39</v>
      </c>
      <c r="J69" s="33" t="s">
        <v>51</v>
      </c>
      <c r="K69" s="29">
        <v>0.87847222222222221</v>
      </c>
      <c r="L69" s="29">
        <v>0.88749999999999996</v>
      </c>
      <c r="M69" s="30">
        <f t="shared" ref="M69:M80" ca="1" si="16">IFERROR(IF(K69="","",IF(L69="",MOD(NOW()-K69,1),IF(L69&gt;=K69,L69-K69,L69+1-K69))),"")</f>
        <v>9.0277777777777457E-3</v>
      </c>
      <c r="N69" s="46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236</v>
      </c>
      <c r="F70" s="27">
        <v>18</v>
      </c>
      <c r="G70" s="28">
        <f t="shared" si="15"/>
        <v>75.600000000000009</v>
      </c>
      <c r="H70" s="26" t="s">
        <v>19</v>
      </c>
      <c r="I70" s="26" t="s">
        <v>155</v>
      </c>
      <c r="J70" s="26" t="s">
        <v>27</v>
      </c>
      <c r="K70" s="29">
        <v>0.25</v>
      </c>
      <c r="L70" s="29">
        <v>0.27083333333333331</v>
      </c>
      <c r="M70" s="35">
        <f t="shared" ca="1" si="16"/>
        <v>2.0833333333333315E-2</v>
      </c>
      <c r="N70" s="46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236</v>
      </c>
      <c r="F71" s="27">
        <v>6</v>
      </c>
      <c r="G71" s="34">
        <f t="shared" si="15"/>
        <v>25.200000000000003</v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236</v>
      </c>
      <c r="F72" s="27">
        <v>11</v>
      </c>
      <c r="G72" s="28">
        <f t="shared" si="15"/>
        <v>46.2</v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236</v>
      </c>
      <c r="F73" s="27">
        <v>17</v>
      </c>
      <c r="G73" s="34">
        <f t="shared" si="15"/>
        <v>71.400000000000006</v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236</v>
      </c>
      <c r="F74" s="27">
        <v>16</v>
      </c>
      <c r="G74" s="28">
        <f t="shared" si="15"/>
        <v>67.2</v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236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236</v>
      </c>
      <c r="F76" s="27">
        <v>28</v>
      </c>
      <c r="G76" s="28">
        <f t="shared" si="15"/>
        <v>117.60000000000001</v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236</v>
      </c>
      <c r="F77" s="27">
        <v>25</v>
      </c>
      <c r="G77" s="34">
        <f t="shared" si="15"/>
        <v>105</v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236</v>
      </c>
      <c r="F78" s="27">
        <v>11</v>
      </c>
      <c r="G78" s="28">
        <f t="shared" si="15"/>
        <v>46.2</v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236</v>
      </c>
      <c r="F79" s="27">
        <v>19</v>
      </c>
      <c r="G79" s="34">
        <f t="shared" si="15"/>
        <v>79.8</v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236</v>
      </c>
      <c r="F80" s="27">
        <v>9</v>
      </c>
      <c r="G80" s="28">
        <f t="shared" si="15"/>
        <v>37.800000000000004</v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101" t="s">
        <v>220</v>
      </c>
      <c r="B81" s="102"/>
      <c r="C81" s="102"/>
      <c r="D81" s="102"/>
      <c r="E81" s="103">
        <f>SUM(E69:E80)</f>
        <v>0</v>
      </c>
      <c r="F81" s="36">
        <f>SUM(F69:F80)</f>
        <v>186</v>
      </c>
      <c r="G81" s="36">
        <f>SUM(G69:G80)</f>
        <v>781.19999999999993</v>
      </c>
      <c r="H81" s="37"/>
      <c r="I81" s="37"/>
      <c r="J81" s="37"/>
      <c r="K81" s="37"/>
      <c r="L81" s="37"/>
      <c r="M81" s="38">
        <f ca="1">IFERROR(SUM(M69:M80),"")</f>
        <v>2.9861111111111061E-2</v>
      </c>
      <c r="N81" s="36" t="s">
        <v>219</v>
      </c>
      <c r="O81" s="54">
        <v>787860</v>
      </c>
    </row>
    <row r="82" spans="1:15" ht="18" customHeight="1">
      <c r="A82" s="98" t="s">
        <v>221</v>
      </c>
      <c r="B82" s="99"/>
      <c r="C82" s="99"/>
      <c r="D82" s="99"/>
      <c r="E82" s="100">
        <f>E68+E81</f>
        <v>0</v>
      </c>
      <c r="F82" s="40">
        <f>F68+F81</f>
        <v>186</v>
      </c>
      <c r="G82" s="40">
        <f>G68+G81</f>
        <v>781.19999999999993</v>
      </c>
      <c r="H82" s="41"/>
      <c r="I82" s="41"/>
      <c r="J82" s="41"/>
      <c r="K82" s="41"/>
      <c r="L82" s="41"/>
      <c r="M82" s="42">
        <f ca="1">IFERROR(M68+M81,"")</f>
        <v>0.52986111111111101</v>
      </c>
      <c r="N82" s="40" t="s">
        <v>222</v>
      </c>
      <c r="O82" s="83">
        <f>IFERROR(O68+O81,"")</f>
        <v>787860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20" t="s">
        <v>22</v>
      </c>
      <c r="E83" s="59" t="s">
        <v>236</v>
      </c>
      <c r="F83" s="27">
        <v>18</v>
      </c>
      <c r="G83" s="28">
        <f t="shared" ref="G83:G94" si="18">IF(F83="","",IF(E83="PC 17",F83*4.2,IF(E83="PC 19",F83*5,"")))</f>
        <v>75.600000000000009</v>
      </c>
      <c r="H83" s="33" t="s">
        <v>19</v>
      </c>
      <c r="I83" s="33" t="s">
        <v>39</v>
      </c>
      <c r="J83" s="33" t="s">
        <v>27</v>
      </c>
      <c r="K83" s="29">
        <v>0.38819444444444445</v>
      </c>
      <c r="L83" s="29">
        <v>0.60416666666666663</v>
      </c>
      <c r="M83" s="35">
        <f t="shared" ref="M83:M94" ca="1" si="19">IFERROR(IF(K83="","",IF(L83="",MOD(NOW()-K83,1),IF(L83&gt;=K83,L83-K83,L83+1-K83))),"")</f>
        <v>0.21597222222222218</v>
      </c>
      <c r="N83" s="46" t="s">
        <v>241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236</v>
      </c>
      <c r="F84" s="27">
        <v>22</v>
      </c>
      <c r="G84" s="34">
        <f t="shared" si="18"/>
        <v>92.4</v>
      </c>
      <c r="H84" s="26" t="s">
        <v>20</v>
      </c>
      <c r="I84" s="26" t="s">
        <v>39</v>
      </c>
      <c r="J84" s="26" t="s">
        <v>182</v>
      </c>
      <c r="K84" s="29">
        <v>0.63611111111111107</v>
      </c>
      <c r="L84" s="29">
        <v>0.65972222222222221</v>
      </c>
      <c r="M84" s="30">
        <f t="shared" ca="1" si="19"/>
        <v>2.3611111111111138E-2</v>
      </c>
      <c r="N84" s="46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236</v>
      </c>
      <c r="F85" s="27">
        <v>7</v>
      </c>
      <c r="G85" s="28">
        <f t="shared" si="18"/>
        <v>29.400000000000002</v>
      </c>
      <c r="H85" s="33" t="s">
        <v>20</v>
      </c>
      <c r="I85" s="33" t="s">
        <v>31</v>
      </c>
      <c r="J85" s="33" t="s">
        <v>36</v>
      </c>
      <c r="K85" s="29">
        <v>0.66874999999999996</v>
      </c>
      <c r="L85" s="29">
        <v>0.69097222222222221</v>
      </c>
      <c r="M85" s="35">
        <f t="shared" ca="1" si="19"/>
        <v>2.2222222222222254E-2</v>
      </c>
      <c r="N85" s="46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236</v>
      </c>
      <c r="F86" s="27">
        <v>3</v>
      </c>
      <c r="G86" s="34">
        <f t="shared" si="18"/>
        <v>12.600000000000001</v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236</v>
      </c>
      <c r="F87" s="27">
        <v>1</v>
      </c>
      <c r="G87" s="28">
        <f t="shared" si="18"/>
        <v>4.2</v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216</v>
      </c>
      <c r="F88" s="27">
        <v>9</v>
      </c>
      <c r="G88" s="34">
        <f t="shared" si="18"/>
        <v>45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216</v>
      </c>
      <c r="F89" s="27">
        <v>20</v>
      </c>
      <c r="G89" s="28">
        <f t="shared" si="18"/>
        <v>100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216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216</v>
      </c>
      <c r="F91" s="27">
        <v>7</v>
      </c>
      <c r="G91" s="28">
        <f t="shared" si="18"/>
        <v>35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216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216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216</v>
      </c>
      <c r="F94" s="27">
        <v>10</v>
      </c>
      <c r="G94" s="34">
        <f t="shared" si="18"/>
        <v>50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101" t="s">
        <v>218</v>
      </c>
      <c r="B95" s="102"/>
      <c r="C95" s="102"/>
      <c r="D95" s="102"/>
      <c r="E95" s="103">
        <f>SUM(E83:E94)</f>
        <v>0</v>
      </c>
      <c r="F95" s="36">
        <f>SUM(F83:F94)</f>
        <v>112</v>
      </c>
      <c r="G95" s="36">
        <f>SUM(G83:G94)</f>
        <v>519.20000000000005</v>
      </c>
      <c r="H95" s="37"/>
      <c r="I95" s="37"/>
      <c r="J95" s="37"/>
      <c r="K95" s="37"/>
      <c r="L95" s="37"/>
      <c r="M95" s="38">
        <f ca="1">IFERROR(SUM(M83:M94),"")</f>
        <v>0.26180555555555557</v>
      </c>
      <c r="N95" s="36" t="s">
        <v>219</v>
      </c>
      <c r="O95" s="54">
        <v>577610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236</v>
      </c>
      <c r="F96" s="27">
        <v>8</v>
      </c>
      <c r="G96" s="34">
        <f t="shared" ref="G96:G107" si="21">IF(F96="","",IF(E96="PC 17",F96*4.2,IF(E96="PC 19",F96*5,"")))</f>
        <v>33.6</v>
      </c>
      <c r="H96" s="26" t="s">
        <v>18</v>
      </c>
      <c r="I96" s="26" t="s">
        <v>31</v>
      </c>
      <c r="J96" s="26" t="s">
        <v>143</v>
      </c>
      <c r="K96" s="29">
        <v>0.98263888888888884</v>
      </c>
      <c r="L96" s="29">
        <v>6.9444444444444441E-3</v>
      </c>
      <c r="M96" s="30">
        <f t="shared" ref="M96:M107" ca="1" si="22">IFERROR(IF(K96="","",IF(L96="",MOD(NOW()-K96,1),IF(L96&gt;=K96,L96-K96,L96+1-K96))),"")</f>
        <v>2.430555555555558E-2</v>
      </c>
      <c r="N96" s="46" t="s">
        <v>242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236</v>
      </c>
      <c r="F97" s="27">
        <v>10</v>
      </c>
      <c r="G97" s="28">
        <f t="shared" si="21"/>
        <v>42</v>
      </c>
      <c r="H97" s="33" t="s">
        <v>19</v>
      </c>
      <c r="I97" s="33" t="s">
        <v>39</v>
      </c>
      <c r="J97" s="33" t="s">
        <v>27</v>
      </c>
      <c r="K97" s="29">
        <v>0.125</v>
      </c>
      <c r="L97" s="29">
        <v>0.15138888888888888</v>
      </c>
      <c r="M97" s="35">
        <f t="shared" ca="1" si="22"/>
        <v>2.6388888888888878E-2</v>
      </c>
      <c r="N97" s="46" t="s">
        <v>243</v>
      </c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236</v>
      </c>
      <c r="F98" s="27">
        <v>16</v>
      </c>
      <c r="G98" s="34">
        <f t="shared" si="21"/>
        <v>67.2</v>
      </c>
      <c r="H98" s="26" t="s">
        <v>18</v>
      </c>
      <c r="I98" s="26" t="s">
        <v>31</v>
      </c>
      <c r="J98" s="26" t="s">
        <v>152</v>
      </c>
      <c r="K98" s="29">
        <v>0.1875</v>
      </c>
      <c r="L98" s="29">
        <v>0.21527777777777779</v>
      </c>
      <c r="M98" s="30">
        <f t="shared" ca="1" si="22"/>
        <v>2.777777777777779E-2</v>
      </c>
      <c r="N98" s="46" t="s">
        <v>244</v>
      </c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236</v>
      </c>
      <c r="F99" s="27">
        <v>21</v>
      </c>
      <c r="G99" s="28">
        <f t="shared" si="21"/>
        <v>88.2</v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236</v>
      </c>
      <c r="F100" s="27">
        <v>21</v>
      </c>
      <c r="G100" s="34">
        <f t="shared" si="21"/>
        <v>88.2</v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236</v>
      </c>
      <c r="F101" s="27">
        <v>8</v>
      </c>
      <c r="G101" s="28">
        <f t="shared" si="21"/>
        <v>33.6</v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236</v>
      </c>
      <c r="F102" s="27">
        <v>16</v>
      </c>
      <c r="G102" s="34">
        <f t="shared" si="21"/>
        <v>67.2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236</v>
      </c>
      <c r="F103" s="27">
        <v>22</v>
      </c>
      <c r="G103" s="28">
        <f t="shared" si="21"/>
        <v>92.4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236</v>
      </c>
      <c r="F104" s="27">
        <v>14</v>
      </c>
      <c r="G104" s="34">
        <f t="shared" si="21"/>
        <v>58.800000000000004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236</v>
      </c>
      <c r="F105" s="27">
        <v>15</v>
      </c>
      <c r="G105" s="28">
        <f t="shared" si="21"/>
        <v>63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236</v>
      </c>
      <c r="F106" s="27">
        <v>24</v>
      </c>
      <c r="G106" s="34">
        <f t="shared" si="21"/>
        <v>100.80000000000001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236</v>
      </c>
      <c r="F107" s="27">
        <v>14</v>
      </c>
      <c r="G107" s="28">
        <f t="shared" si="21"/>
        <v>58.800000000000004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101" t="s">
        <v>220</v>
      </c>
      <c r="B108" s="102"/>
      <c r="C108" s="102"/>
      <c r="D108" s="102"/>
      <c r="E108" s="103">
        <f>SUM(E96:E107)</f>
        <v>0</v>
      </c>
      <c r="F108" s="36">
        <f>SUM(F96:F107)</f>
        <v>189</v>
      </c>
      <c r="G108" s="36">
        <f>SUM(G96:G107)</f>
        <v>793.8</v>
      </c>
      <c r="H108" s="37"/>
      <c r="I108" s="37"/>
      <c r="J108" s="37"/>
      <c r="K108" s="37"/>
      <c r="L108" s="37"/>
      <c r="M108" s="38">
        <f ca="1">IFERROR(SUM(M96:M107),"")</f>
        <v>7.8472222222222249E-2</v>
      </c>
      <c r="N108" s="36" t="s">
        <v>219</v>
      </c>
      <c r="O108" s="54">
        <v>1087080</v>
      </c>
    </row>
    <row r="109" spans="1:15" ht="18" customHeight="1">
      <c r="A109" s="98" t="s">
        <v>221</v>
      </c>
      <c r="B109" s="99"/>
      <c r="C109" s="99"/>
      <c r="D109" s="99"/>
      <c r="E109" s="100">
        <f>E95+E108</f>
        <v>0</v>
      </c>
      <c r="F109" s="40">
        <f>F95+F108</f>
        <v>301</v>
      </c>
      <c r="G109" s="40">
        <f>G95+G108</f>
        <v>1313</v>
      </c>
      <c r="H109" s="41"/>
      <c r="I109" s="41"/>
      <c r="J109" s="41"/>
      <c r="K109" s="41"/>
      <c r="L109" s="41"/>
      <c r="M109" s="42">
        <f ca="1">IFERROR(M95+M108,"")</f>
        <v>0.34027777777777779</v>
      </c>
      <c r="N109" s="40" t="s">
        <v>222</v>
      </c>
      <c r="O109" s="83">
        <f>IFERROR(O95+O108,"")</f>
        <v>1664690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236</v>
      </c>
      <c r="F110" s="27">
        <v>22</v>
      </c>
      <c r="G110" s="28">
        <f t="shared" ref="G110:G121" si="24">IF(F110="","",IF(E110="PC 17",F110*4.2,IF(E110="PC 19",F110*5,"")))</f>
        <v>92.4</v>
      </c>
      <c r="H110" s="26" t="s">
        <v>18</v>
      </c>
      <c r="I110" s="26" t="s">
        <v>63</v>
      </c>
      <c r="J110" s="26" t="s">
        <v>101</v>
      </c>
      <c r="K110" s="29">
        <v>0.37916666666666665</v>
      </c>
      <c r="L110" s="29">
        <v>0.45694444444444443</v>
      </c>
      <c r="M110" s="35">
        <f t="shared" ref="M110:M121" ca="1" si="25">IFERROR(IF(K110="","",IF(L110="",MOD(NOW()-K110,1),IF(L110&gt;=K110,L110-K110,L110+1-K110))),"")</f>
        <v>7.7777777777777779E-2</v>
      </c>
      <c r="N110" s="46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236</v>
      </c>
      <c r="F111" s="27">
        <v>20</v>
      </c>
      <c r="G111" s="34">
        <f t="shared" si="24"/>
        <v>84</v>
      </c>
      <c r="H111" s="33" t="s">
        <v>20</v>
      </c>
      <c r="I111" s="33" t="s">
        <v>31</v>
      </c>
      <c r="J111" s="33" t="s">
        <v>163</v>
      </c>
      <c r="K111" s="29">
        <v>0.65138888888888891</v>
      </c>
      <c r="L111" s="29">
        <v>0.71527777777777779</v>
      </c>
      <c r="M111" s="30">
        <f t="shared" ca="1" si="25"/>
        <v>6.3888888888888884E-2</v>
      </c>
      <c r="N111" s="46" t="s">
        <v>245</v>
      </c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236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236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236</v>
      </c>
      <c r="F114" s="27">
        <v>10</v>
      </c>
      <c r="G114" s="28">
        <f t="shared" si="24"/>
        <v>42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236</v>
      </c>
      <c r="F115" s="27">
        <v>10</v>
      </c>
      <c r="G115" s="34">
        <f t="shared" si="24"/>
        <v>42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236</v>
      </c>
      <c r="F116" s="27">
        <v>21</v>
      </c>
      <c r="G116" s="28">
        <f t="shared" si="24"/>
        <v>88.2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236</v>
      </c>
      <c r="F117" s="27">
        <v>27</v>
      </c>
      <c r="G117" s="34">
        <f t="shared" si="24"/>
        <v>113.4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236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236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236</v>
      </c>
      <c r="F120" s="27">
        <v>20</v>
      </c>
      <c r="G120" s="28">
        <f t="shared" si="24"/>
        <v>84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236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101" t="s">
        <v>218</v>
      </c>
      <c r="B122" s="102"/>
      <c r="C122" s="102"/>
      <c r="D122" s="102"/>
      <c r="E122" s="103">
        <f>SUM(E110:E121)</f>
        <v>0</v>
      </c>
      <c r="F122" s="36">
        <f>SUM(F110:F121)</f>
        <v>135</v>
      </c>
      <c r="G122" s="36">
        <f>SUM(G110:G121)</f>
        <v>567</v>
      </c>
      <c r="H122" s="37"/>
      <c r="I122" s="37"/>
      <c r="J122" s="37"/>
      <c r="K122" s="37"/>
      <c r="L122" s="37"/>
      <c r="M122" s="38">
        <f ca="1">IFERROR(SUM(M110:M121),"")</f>
        <v>0.14166666666666666</v>
      </c>
      <c r="N122" s="36" t="s">
        <v>219</v>
      </c>
      <c r="O122" s="54">
        <v>869260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216</v>
      </c>
      <c r="F123" s="27">
        <v>14</v>
      </c>
      <c r="G123" s="34">
        <f t="shared" ref="G123:G134" si="27">IF(F123="","",IF(E123="PC 17",F123*4.2,IF(E123="PC 19",F123*5,"")))</f>
        <v>70</v>
      </c>
      <c r="H123" s="33" t="s">
        <v>18</v>
      </c>
      <c r="I123" s="33" t="s">
        <v>31</v>
      </c>
      <c r="J123" s="33" t="s">
        <v>162</v>
      </c>
      <c r="K123" s="29">
        <v>0.79513888888888884</v>
      </c>
      <c r="L123" s="29">
        <v>0.80902777777777779</v>
      </c>
      <c r="M123" s="30">
        <f t="shared" ref="M123:M134" ca="1" si="28">IFERROR(IF(K123="","",IF(L123="",MOD(NOW()-K123,1),IF(L123&gt;=K123,L123-K123,L123+1-K123))),"")</f>
        <v>1.3888888888888951E-2</v>
      </c>
      <c r="N123" s="46" t="s">
        <v>246</v>
      </c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216</v>
      </c>
      <c r="F124" s="27">
        <v>28</v>
      </c>
      <c r="G124" s="28">
        <f t="shared" si="27"/>
        <v>140</v>
      </c>
      <c r="H124" s="26" t="s">
        <v>19</v>
      </c>
      <c r="I124" s="26" t="s">
        <v>39</v>
      </c>
      <c r="J124" s="26" t="s">
        <v>27</v>
      </c>
      <c r="K124" s="29">
        <v>0.95138888888888884</v>
      </c>
      <c r="L124" s="29">
        <v>0.96388888888888891</v>
      </c>
      <c r="M124" s="35">
        <f t="shared" ca="1" si="28"/>
        <v>1.2500000000000067E-2</v>
      </c>
      <c r="N124" s="46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216</v>
      </c>
      <c r="F125" s="27">
        <v>20</v>
      </c>
      <c r="G125" s="34">
        <f t="shared" si="27"/>
        <v>100</v>
      </c>
      <c r="H125" s="33" t="s">
        <v>18</v>
      </c>
      <c r="I125" s="33" t="s">
        <v>31</v>
      </c>
      <c r="J125" s="33" t="s">
        <v>152</v>
      </c>
      <c r="K125" s="29">
        <v>0.96666666666666667</v>
      </c>
      <c r="L125" s="29">
        <v>0.98611111111111116</v>
      </c>
      <c r="M125" s="30">
        <f t="shared" ca="1" si="28"/>
        <v>1.9444444444444486E-2</v>
      </c>
      <c r="N125" s="46" t="s">
        <v>234</v>
      </c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216</v>
      </c>
      <c r="F126" s="27">
        <v>17</v>
      </c>
      <c r="G126" s="28">
        <f t="shared" si="27"/>
        <v>85</v>
      </c>
      <c r="H126" s="26" t="s">
        <v>18</v>
      </c>
      <c r="I126" s="26" t="s">
        <v>31</v>
      </c>
      <c r="J126" s="26" t="s">
        <v>152</v>
      </c>
      <c r="K126" s="29">
        <v>0</v>
      </c>
      <c r="L126" s="29">
        <v>2.7777777777777776E-2</v>
      </c>
      <c r="M126" s="35">
        <f t="shared" ca="1" si="28"/>
        <v>2.7777777777777776E-2</v>
      </c>
      <c r="N126" s="46" t="s">
        <v>247</v>
      </c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216</v>
      </c>
      <c r="F127" s="27">
        <v>4</v>
      </c>
      <c r="G127" s="34">
        <f t="shared" si="27"/>
        <v>20</v>
      </c>
      <c r="H127" s="33" t="s">
        <v>18</v>
      </c>
      <c r="I127" s="33" t="s">
        <v>155</v>
      </c>
      <c r="J127" s="33" t="s">
        <v>162</v>
      </c>
      <c r="K127" s="29">
        <v>4.8611111111111112E-2</v>
      </c>
      <c r="L127" s="29">
        <v>6.5972222222222224E-2</v>
      </c>
      <c r="M127" s="30">
        <f t="shared" ca="1" si="28"/>
        <v>1.7361111111111112E-2</v>
      </c>
      <c r="N127" s="46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216</v>
      </c>
      <c r="F128" s="27">
        <v>1</v>
      </c>
      <c r="G128" s="28">
        <f t="shared" si="27"/>
        <v>5</v>
      </c>
      <c r="H128" s="26" t="s">
        <v>20</v>
      </c>
      <c r="I128" s="26"/>
      <c r="J128" s="26" t="s">
        <v>189</v>
      </c>
      <c r="K128" s="29">
        <v>8.3333333333333329E-2</v>
      </c>
      <c r="L128" s="29">
        <v>0.1388888888888889</v>
      </c>
      <c r="M128" s="35">
        <f t="shared" ca="1" si="28"/>
        <v>5.5555555555555566E-2</v>
      </c>
      <c r="N128" s="86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216</v>
      </c>
      <c r="F129" s="27">
        <v>13</v>
      </c>
      <c r="G129" s="34">
        <f t="shared" si="27"/>
        <v>65</v>
      </c>
      <c r="H129" s="33" t="s">
        <v>18</v>
      </c>
      <c r="I129" s="33" t="s">
        <v>63</v>
      </c>
      <c r="J129" s="33" t="s">
        <v>196</v>
      </c>
      <c r="K129" s="29">
        <v>0.17499999999999999</v>
      </c>
      <c r="L129" s="29">
        <v>0.20277777777777778</v>
      </c>
      <c r="M129" s="30">
        <f t="shared" ca="1" si="28"/>
        <v>2.777777777777779E-2</v>
      </c>
      <c r="N129" s="46" t="s">
        <v>248</v>
      </c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216</v>
      </c>
      <c r="F130" s="27"/>
      <c r="G130" s="28" t="str">
        <f t="shared" si="27"/>
        <v/>
      </c>
      <c r="H130" s="26" t="s">
        <v>18</v>
      </c>
      <c r="I130" s="26" t="s">
        <v>63</v>
      </c>
      <c r="J130" s="26" t="s">
        <v>196</v>
      </c>
      <c r="K130" s="29">
        <v>0.20972222222222223</v>
      </c>
      <c r="L130" s="29">
        <v>0.29166666666666669</v>
      </c>
      <c r="M130" s="35">
        <f t="shared" ca="1" si="28"/>
        <v>8.1944444444444459E-2</v>
      </c>
      <c r="N130" s="46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216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216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216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216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101" t="s">
        <v>220</v>
      </c>
      <c r="B135" s="102"/>
      <c r="C135" s="102"/>
      <c r="D135" s="102"/>
      <c r="E135" s="103">
        <f>SUM(E123:E134)</f>
        <v>0</v>
      </c>
      <c r="F135" s="36">
        <f>SUM(F123:F134)</f>
        <v>97</v>
      </c>
      <c r="G135" s="36">
        <f>SUM(G123:G134)</f>
        <v>485</v>
      </c>
      <c r="H135" s="37"/>
      <c r="I135" s="37"/>
      <c r="J135" s="37"/>
      <c r="K135" s="37"/>
      <c r="L135" s="37"/>
      <c r="M135" s="38">
        <f ca="1">IFERROR(SUM(M123:M134),"")</f>
        <v>0.2562500000000002</v>
      </c>
      <c r="N135" s="36" t="s">
        <v>219</v>
      </c>
      <c r="O135" s="54">
        <v>794480</v>
      </c>
    </row>
    <row r="136" spans="1:15" ht="18" customHeight="1">
      <c r="A136" s="98" t="s">
        <v>221</v>
      </c>
      <c r="B136" s="99"/>
      <c r="C136" s="99"/>
      <c r="D136" s="99"/>
      <c r="E136" s="100">
        <f>E122+E135</f>
        <v>0</v>
      </c>
      <c r="F136" s="40">
        <f>F122+F135</f>
        <v>232</v>
      </c>
      <c r="G136" s="40">
        <f>G122+G135</f>
        <v>1052</v>
      </c>
      <c r="H136" s="41"/>
      <c r="I136" s="41"/>
      <c r="J136" s="41"/>
      <c r="K136" s="41"/>
      <c r="L136" s="41"/>
      <c r="M136" s="42">
        <f ca="1">IFERROR(M122+M135,"")</f>
        <v>0.39791666666666686</v>
      </c>
      <c r="N136" s="40" t="s">
        <v>222</v>
      </c>
      <c r="O136" s="83">
        <f>IFERROR(O122+O135,"")</f>
        <v>1663740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216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18</v>
      </c>
      <c r="I137" s="33" t="s">
        <v>63</v>
      </c>
      <c r="J137" s="33" t="s">
        <v>196</v>
      </c>
      <c r="K137" s="29">
        <v>0.29166666666666669</v>
      </c>
      <c r="L137" s="29">
        <v>0.40972222222222221</v>
      </c>
      <c r="M137" s="35">
        <f t="shared" ref="M137:M148" ca="1" si="31">IFERROR(IF(K137="","",IF(L137="",MOD(NOW()-K137,1),IF(L137&gt;=K137,L137-K137,L137+1-K137))),"")</f>
        <v>0.11805555555555552</v>
      </c>
      <c r="N137" s="46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216</v>
      </c>
      <c r="F138" s="27">
        <v>0</v>
      </c>
      <c r="G138" s="28">
        <f t="shared" si="30"/>
        <v>0</v>
      </c>
      <c r="H138" s="26" t="s">
        <v>20</v>
      </c>
      <c r="I138" s="26" t="s">
        <v>31</v>
      </c>
      <c r="J138" s="26" t="s">
        <v>28</v>
      </c>
      <c r="K138" s="29">
        <v>0.44027777777777777</v>
      </c>
      <c r="L138" s="29">
        <v>0.44305555555555554</v>
      </c>
      <c r="M138" s="30">
        <f t="shared" ca="1" si="31"/>
        <v>2.7777777777777679E-3</v>
      </c>
      <c r="N138" s="46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216</v>
      </c>
      <c r="F139" s="27">
        <v>14</v>
      </c>
      <c r="G139" s="34">
        <f t="shared" si="30"/>
        <v>70</v>
      </c>
      <c r="H139" s="33" t="s">
        <v>20</v>
      </c>
      <c r="I139" s="33" t="s">
        <v>31</v>
      </c>
      <c r="J139" s="33" t="s">
        <v>28</v>
      </c>
      <c r="K139" s="29">
        <v>0.51736111111111116</v>
      </c>
      <c r="L139" s="29">
        <v>0.57986111111111116</v>
      </c>
      <c r="M139" s="35">
        <f t="shared" ca="1" si="31"/>
        <v>6.25E-2</v>
      </c>
      <c r="N139" s="46" t="s">
        <v>249</v>
      </c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216</v>
      </c>
      <c r="F140" s="27">
        <v>24</v>
      </c>
      <c r="G140" s="28">
        <f t="shared" si="30"/>
        <v>120</v>
      </c>
      <c r="H140" s="26" t="s">
        <v>16</v>
      </c>
      <c r="I140" s="26"/>
      <c r="J140" s="26" t="s">
        <v>81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46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216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216</v>
      </c>
      <c r="F142" s="27">
        <v>11</v>
      </c>
      <c r="G142" s="28">
        <f t="shared" si="30"/>
        <v>55</v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216</v>
      </c>
      <c r="F143" s="27">
        <v>0</v>
      </c>
      <c r="G143" s="34">
        <f t="shared" si="30"/>
        <v>0</v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216</v>
      </c>
      <c r="F144" s="27">
        <v>5</v>
      </c>
      <c r="G144" s="28">
        <f t="shared" si="30"/>
        <v>25</v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216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216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216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216</v>
      </c>
      <c r="F148" s="27">
        <v>8</v>
      </c>
      <c r="G148" s="28">
        <f t="shared" si="30"/>
        <v>40</v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101" t="s">
        <v>218</v>
      </c>
      <c r="B149" s="102"/>
      <c r="C149" s="102"/>
      <c r="D149" s="102"/>
      <c r="E149" s="103">
        <f>SUM(E137:E148)</f>
        <v>0</v>
      </c>
      <c r="F149" s="36">
        <f>SUM(F137:F148)</f>
        <v>95</v>
      </c>
      <c r="G149" s="36">
        <f>SUM(G137:G148)</f>
        <v>475</v>
      </c>
      <c r="H149" s="37"/>
      <c r="I149" s="37"/>
      <c r="J149" s="37"/>
      <c r="K149" s="37"/>
      <c r="L149" s="37"/>
      <c r="M149" s="38">
        <f ca="1">IFERROR(SUM(M137:M148),"")</f>
        <v>0.21111111111111108</v>
      </c>
      <c r="N149" s="36" t="s">
        <v>219</v>
      </c>
      <c r="O149" s="54">
        <v>591800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216</v>
      </c>
      <c r="F150" s="27">
        <v>14</v>
      </c>
      <c r="G150" s="28">
        <f t="shared" ref="G150:G161" si="33">IF(F150="","",IF(E150="PC 17",F150*4.2,IF(E150="PC 19",F150*5,"")))</f>
        <v>70</v>
      </c>
      <c r="H150" s="26" t="s">
        <v>18</v>
      </c>
      <c r="I150" s="26" t="s">
        <v>31</v>
      </c>
      <c r="J150" s="26" t="s">
        <v>50</v>
      </c>
      <c r="K150" s="29">
        <v>0.93055555555555558</v>
      </c>
      <c r="L150" s="29">
        <v>0.95277777777777772</v>
      </c>
      <c r="M150" s="30">
        <f t="shared" ref="M150:M161" ca="1" si="34">IFERROR(IF(K150="","",IF(L150="",MOD(NOW()-K150,1),IF(L150&gt;=K150,L150-K150,L150+1-K150))),"")</f>
        <v>2.2222222222222143E-2</v>
      </c>
      <c r="N150" s="46" t="s">
        <v>250</v>
      </c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216</v>
      </c>
      <c r="F151" s="27">
        <v>19</v>
      </c>
      <c r="G151" s="34">
        <f t="shared" si="33"/>
        <v>95</v>
      </c>
      <c r="H151" s="33" t="s">
        <v>18</v>
      </c>
      <c r="I151" s="33" t="s">
        <v>63</v>
      </c>
      <c r="J151" s="33" t="s">
        <v>200</v>
      </c>
      <c r="K151" s="29">
        <v>0.20833333333333334</v>
      </c>
      <c r="L151" s="29">
        <v>0.29166666666666669</v>
      </c>
      <c r="M151" s="35">
        <f t="shared" ca="1" si="34"/>
        <v>8.3333333333333343E-2</v>
      </c>
      <c r="N151" s="46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236</v>
      </c>
      <c r="F152" s="27">
        <v>28</v>
      </c>
      <c r="G152" s="28">
        <f t="shared" si="33"/>
        <v>117.60000000000001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251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236</v>
      </c>
      <c r="F153" s="27">
        <v>12</v>
      </c>
      <c r="G153" s="34">
        <f t="shared" si="33"/>
        <v>50.400000000000006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236</v>
      </c>
      <c r="F154" s="27">
        <v>13</v>
      </c>
      <c r="G154" s="28">
        <f t="shared" si="33"/>
        <v>54.6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236</v>
      </c>
      <c r="F155" s="27">
        <v>15</v>
      </c>
      <c r="G155" s="34">
        <f t="shared" si="33"/>
        <v>63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236</v>
      </c>
      <c r="F156" s="27">
        <v>20</v>
      </c>
      <c r="G156" s="28">
        <f t="shared" si="33"/>
        <v>84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236</v>
      </c>
      <c r="F157" s="27">
        <v>21</v>
      </c>
      <c r="G157" s="34">
        <f t="shared" si="33"/>
        <v>88.2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236</v>
      </c>
      <c r="F158" s="27">
        <v>18</v>
      </c>
      <c r="G158" s="28">
        <f t="shared" si="33"/>
        <v>75.600000000000009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236</v>
      </c>
      <c r="F159" s="27">
        <v>10</v>
      </c>
      <c r="G159" s="34">
        <f t="shared" si="33"/>
        <v>42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236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236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101" t="s">
        <v>220</v>
      </c>
      <c r="B162" s="102"/>
      <c r="C162" s="102"/>
      <c r="D162" s="102"/>
      <c r="E162" s="103">
        <f>SUM(E150:E161)</f>
        <v>0</v>
      </c>
      <c r="F162" s="36">
        <f>SUM(F150:F161)</f>
        <v>170</v>
      </c>
      <c r="G162" s="36">
        <f>SUM(G150:G161)</f>
        <v>740.40000000000009</v>
      </c>
      <c r="H162" s="37"/>
      <c r="I162" s="37"/>
      <c r="J162" s="37"/>
      <c r="K162" s="37"/>
      <c r="L162" s="37"/>
      <c r="M162" s="38">
        <f ca="1">IFERROR(SUM(M150:M161),"")</f>
        <v>0.10555555555555549</v>
      </c>
      <c r="N162" s="36" t="s">
        <v>219</v>
      </c>
      <c r="O162" s="54">
        <v>882280</v>
      </c>
    </row>
    <row r="163" spans="1:15" ht="18" customHeight="1">
      <c r="A163" s="98" t="s">
        <v>221</v>
      </c>
      <c r="B163" s="99"/>
      <c r="C163" s="99"/>
      <c r="D163" s="99"/>
      <c r="E163" s="100">
        <f>E149+E162</f>
        <v>0</v>
      </c>
      <c r="F163" s="40">
        <f>F149+F162</f>
        <v>265</v>
      </c>
      <c r="G163" s="40">
        <f>G149+G162</f>
        <v>1215.4000000000001</v>
      </c>
      <c r="H163" s="41"/>
      <c r="I163" s="41"/>
      <c r="J163" s="41"/>
      <c r="K163" s="41"/>
      <c r="L163" s="41"/>
      <c r="M163" s="42">
        <f ca="1">IFERROR(M149+M162,"")</f>
        <v>0.31666666666666654</v>
      </c>
      <c r="N163" s="40" t="s">
        <v>222</v>
      </c>
      <c r="O163" s="83">
        <f>IFERROR(O149+O162,"")</f>
        <v>1474080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22</v>
      </c>
      <c r="E164" s="59" t="s">
        <v>236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16</v>
      </c>
      <c r="I164" s="26"/>
      <c r="J164" s="26" t="s">
        <v>87</v>
      </c>
      <c r="K164" s="29">
        <v>0.29166666666666669</v>
      </c>
      <c r="L164" s="29">
        <v>0.79166666666666663</v>
      </c>
      <c r="M164" s="30">
        <f t="shared" ref="M164:M175" ca="1" si="37">IFERROR(IF(K164="","",IF(L164="",MOD(NOW()-K164,1),IF(L164&gt;=K164,L164-K164,L164+1-K164))),"")</f>
        <v>0.49999999999999994</v>
      </c>
      <c r="N164" s="46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62" t="s">
        <v>236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236</v>
      </c>
      <c r="F166" s="27">
        <v>0</v>
      </c>
      <c r="G166" s="28">
        <f t="shared" si="36"/>
        <v>0</v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236</v>
      </c>
      <c r="F167" s="27">
        <v>0</v>
      </c>
      <c r="G167" s="34">
        <f t="shared" si="36"/>
        <v>0</v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236</v>
      </c>
      <c r="F168" s="27">
        <v>0</v>
      </c>
      <c r="G168" s="28">
        <f t="shared" si="36"/>
        <v>0</v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236</v>
      </c>
      <c r="F169" s="27">
        <v>0</v>
      </c>
      <c r="G169" s="34">
        <f t="shared" si="36"/>
        <v>0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236</v>
      </c>
      <c r="F170" s="27">
        <v>0</v>
      </c>
      <c r="G170" s="28">
        <f t="shared" si="36"/>
        <v>0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236</v>
      </c>
      <c r="F171" s="27">
        <v>0</v>
      </c>
      <c r="G171" s="34">
        <f t="shared" si="36"/>
        <v>0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236</v>
      </c>
      <c r="F172" s="27">
        <v>0</v>
      </c>
      <c r="G172" s="28">
        <f t="shared" si="36"/>
        <v>0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236</v>
      </c>
      <c r="F173" s="27">
        <v>0</v>
      </c>
      <c r="G173" s="34">
        <f t="shared" si="36"/>
        <v>0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236</v>
      </c>
      <c r="F174" s="27">
        <v>0</v>
      </c>
      <c r="G174" s="28">
        <f t="shared" si="36"/>
        <v>0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236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101" t="s">
        <v>218</v>
      </c>
      <c r="B176" s="102"/>
      <c r="C176" s="102"/>
      <c r="D176" s="102"/>
      <c r="E176" s="103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0.49999999999999994</v>
      </c>
      <c r="N176" s="36" t="s">
        <v>219</v>
      </c>
      <c r="O176" s="78"/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/>
      <c r="E177" s="62"/>
      <c r="F177" s="27">
        <v>0</v>
      </c>
      <c r="G177" s="34" t="str">
        <f t="shared" ref="G177:G188" si="39">IF(F177="","",IF(E177="PC 17",F177*4.2,IF(E177="PC 19",F177*5,"")))</f>
        <v/>
      </c>
      <c r="H177" s="33" t="s">
        <v>16</v>
      </c>
      <c r="I177" s="33"/>
      <c r="J177" s="33" t="s">
        <v>87</v>
      </c>
      <c r="K177" s="29">
        <v>0.79166666666666663</v>
      </c>
      <c r="L177" s="29">
        <v>0.29166666666666669</v>
      </c>
      <c r="M177" s="35">
        <f t="shared" ref="M177:M188" ca="1" si="40">IFERROR(IF(K177="","",IF(L177="",MOD(NOW()-K177,1),IF(L177&gt;=K177,L177-K177,L177+1-K177))),"")</f>
        <v>0.50000000000000011</v>
      </c>
      <c r="N177" s="46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59"/>
      <c r="E178" s="59"/>
      <c r="F178" s="27">
        <v>0</v>
      </c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/>
      <c r="E179" s="62"/>
      <c r="F179" s="27">
        <v>0</v>
      </c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59"/>
      <c r="E180" s="59"/>
      <c r="F180" s="27">
        <v>0</v>
      </c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/>
      <c r="E181" s="62"/>
      <c r="F181" s="27">
        <v>0</v>
      </c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59"/>
      <c r="E182" s="59"/>
      <c r="F182" s="27">
        <v>0</v>
      </c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/>
      <c r="E183" s="62"/>
      <c r="F183" s="27">
        <v>0</v>
      </c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59"/>
      <c r="E184" s="59"/>
      <c r="F184" s="27">
        <v>0</v>
      </c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/>
      <c r="E185" s="62"/>
      <c r="F185" s="27">
        <v>0</v>
      </c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59"/>
      <c r="E186" s="59"/>
      <c r="F186" s="27">
        <v>0</v>
      </c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/>
      <c r="E187" s="62"/>
      <c r="F187" s="27">
        <v>0</v>
      </c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59"/>
      <c r="E188" s="59"/>
      <c r="F188" s="27">
        <v>0</v>
      </c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101" t="s">
        <v>220</v>
      </c>
      <c r="B189" s="102"/>
      <c r="C189" s="102"/>
      <c r="D189" s="102"/>
      <c r="E189" s="103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0.50000000000000011</v>
      </c>
      <c r="N189" s="36" t="s">
        <v>219</v>
      </c>
      <c r="O189" s="78"/>
    </row>
    <row r="190" spans="1:15" ht="18" customHeight="1">
      <c r="A190" s="98" t="s">
        <v>221</v>
      </c>
      <c r="B190" s="99"/>
      <c r="C190" s="99"/>
      <c r="D190" s="99"/>
      <c r="E190" s="100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1</v>
      </c>
      <c r="N190" s="40" t="s">
        <v>222</v>
      </c>
      <c r="O190" s="8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 t="s">
        <v>16</v>
      </c>
      <c r="I191" s="33"/>
      <c r="J191" s="33" t="s">
        <v>87</v>
      </c>
      <c r="K191" s="29">
        <v>0.29166666666666669</v>
      </c>
      <c r="L191" s="29">
        <v>0.79166666666666663</v>
      </c>
      <c r="M191" s="35">
        <f t="shared" ref="M191:M202" ca="1" si="43">IFERROR(IF(K191="","",IF(L191="",MOD(NOW()-K191,1),IF(L191&gt;=K191,L191-K191,L191+1-K191))),"")</f>
        <v>0.49999999999999994</v>
      </c>
      <c r="N191" s="46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101" t="s">
        <v>218</v>
      </c>
      <c r="B203" s="102"/>
      <c r="C203" s="102"/>
      <c r="D203" s="102"/>
      <c r="E203" s="103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0.49999999999999994</v>
      </c>
      <c r="N203" s="36" t="s">
        <v>219</v>
      </c>
      <c r="O203" s="78"/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236</v>
      </c>
      <c r="F204" s="27">
        <v>13</v>
      </c>
      <c r="G204" s="28">
        <f t="shared" ref="G204:G215" si="45">IF(F204="","",IF(E204="PC 17",F204*4.2,IF(E204="PC 19",F204*5,"")))</f>
        <v>54.6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216</v>
      </c>
      <c r="F205" s="27">
        <v>7</v>
      </c>
      <c r="G205" s="34">
        <f t="shared" si="45"/>
        <v>35</v>
      </c>
      <c r="H205" s="33" t="s">
        <v>18</v>
      </c>
      <c r="I205" s="33" t="s">
        <v>31</v>
      </c>
      <c r="J205" s="33" t="s">
        <v>152</v>
      </c>
      <c r="K205" s="29">
        <v>3.8194444444444448E-2</v>
      </c>
      <c r="L205" s="29">
        <v>5.5555555555555552E-2</v>
      </c>
      <c r="M205" s="35">
        <f t="shared" ca="1" si="46"/>
        <v>1.7361111111111105E-2</v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236</v>
      </c>
      <c r="F206" s="27">
        <v>24</v>
      </c>
      <c r="G206" s="28">
        <f t="shared" si="45"/>
        <v>100.80000000000001</v>
      </c>
      <c r="H206" s="26" t="s">
        <v>18</v>
      </c>
      <c r="I206" s="26" t="s">
        <v>39</v>
      </c>
      <c r="J206" s="26" t="s">
        <v>143</v>
      </c>
      <c r="K206" s="29">
        <v>6.25E-2</v>
      </c>
      <c r="L206" s="29">
        <v>7.6388888888888895E-2</v>
      </c>
      <c r="M206" s="30">
        <f t="shared" ca="1" si="46"/>
        <v>1.3888888888888895E-2</v>
      </c>
      <c r="N206" s="46" t="s">
        <v>252</v>
      </c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236</v>
      </c>
      <c r="F207" s="27">
        <v>27</v>
      </c>
      <c r="G207" s="34">
        <f t="shared" si="45"/>
        <v>113.4</v>
      </c>
      <c r="H207" s="33" t="s">
        <v>18</v>
      </c>
      <c r="I207" s="33" t="s">
        <v>39</v>
      </c>
      <c r="J207" s="33"/>
      <c r="K207" s="29">
        <v>0.10069444444444445</v>
      </c>
      <c r="L207" s="29">
        <v>0.1875</v>
      </c>
      <c r="M207" s="35">
        <f t="shared" ca="1" si="46"/>
        <v>8.6805555555555552E-2</v>
      </c>
      <c r="N207" s="46" t="s">
        <v>253</v>
      </c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236</v>
      </c>
      <c r="F208" s="27">
        <v>24</v>
      </c>
      <c r="G208" s="28">
        <f t="shared" si="45"/>
        <v>100.80000000000001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236</v>
      </c>
      <c r="F209" s="27">
        <v>17</v>
      </c>
      <c r="G209" s="34">
        <f t="shared" si="45"/>
        <v>71.400000000000006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236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236</v>
      </c>
      <c r="F211" s="27">
        <v>2</v>
      </c>
      <c r="G211" s="34">
        <f t="shared" si="45"/>
        <v>8.4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236</v>
      </c>
      <c r="F212" s="27">
        <v>0</v>
      </c>
      <c r="G212" s="28">
        <f t="shared" si="45"/>
        <v>0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236</v>
      </c>
      <c r="F213" s="27">
        <v>5</v>
      </c>
      <c r="G213" s="34">
        <f t="shared" si="45"/>
        <v>21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236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236</v>
      </c>
      <c r="F215" s="27">
        <v>1</v>
      </c>
      <c r="G215" s="34">
        <f t="shared" si="45"/>
        <v>4.2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1" t="s">
        <v>220</v>
      </c>
      <c r="B216" s="102"/>
      <c r="C216" s="102"/>
      <c r="D216" s="102"/>
      <c r="E216" s="103">
        <f>SUM(E204:E215)</f>
        <v>0</v>
      </c>
      <c r="F216" s="36">
        <f>SUM(F204:F215)</f>
        <v>138</v>
      </c>
      <c r="G216" s="36">
        <f>SUM(G204:G215)</f>
        <v>585.20000000000005</v>
      </c>
      <c r="H216" s="37"/>
      <c r="I216" s="37"/>
      <c r="J216" s="37"/>
      <c r="K216" s="37"/>
      <c r="L216" s="37"/>
      <c r="M216" s="38">
        <f ca="1">IFERROR(SUM(M204:M215),"")</f>
        <v>0.15277777777777776</v>
      </c>
      <c r="N216" s="36" t="s">
        <v>219</v>
      </c>
      <c r="O216" s="78">
        <v>648410</v>
      </c>
    </row>
    <row r="217" spans="1:15" ht="18" customHeight="1">
      <c r="A217" s="98" t="s">
        <v>221</v>
      </c>
      <c r="B217" s="99"/>
      <c r="C217" s="99"/>
      <c r="D217" s="99"/>
      <c r="E217" s="100">
        <f>E203+E216</f>
        <v>0</v>
      </c>
      <c r="F217" s="40">
        <f>F203+F216</f>
        <v>138</v>
      </c>
      <c r="G217" s="40">
        <f>G203+G216</f>
        <v>585.20000000000005</v>
      </c>
      <c r="H217" s="41"/>
      <c r="I217" s="41"/>
      <c r="J217" s="41"/>
      <c r="K217" s="41"/>
      <c r="L217" s="41"/>
      <c r="M217" s="42">
        <f ca="1">IFERROR(M203+M216,"")</f>
        <v>0.65277777777777768</v>
      </c>
      <c r="N217" s="40" t="s">
        <v>222</v>
      </c>
      <c r="O217" s="84">
        <f>IFERROR(O203+O216,"")</f>
        <v>648410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236</v>
      </c>
      <c r="F218" s="27">
        <v>17</v>
      </c>
      <c r="G218" s="28">
        <f t="shared" ref="G218:G229" si="48">IF(F218="","",IF(E218="PC 17",F218*4.2,IF(E218="PC 19",F218*5,"")))</f>
        <v>71.400000000000006</v>
      </c>
      <c r="H218" s="26" t="s">
        <v>18</v>
      </c>
      <c r="I218" s="26" t="s">
        <v>39</v>
      </c>
      <c r="J218" s="33"/>
      <c r="K218" s="29">
        <v>0.29166666666666669</v>
      </c>
      <c r="L218" s="29">
        <v>0.45555555555555555</v>
      </c>
      <c r="M218" s="30">
        <f t="shared" ref="M218:M229" ca="1" si="49">IFERROR(IF(K218="","",IF(L218="",MOD(NOW()-K218,1),IF(L218&gt;=K218,L218-K218,L218+1-K218))),"")</f>
        <v>0.16388888888888886</v>
      </c>
      <c r="N218" s="46" t="s">
        <v>254</v>
      </c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236</v>
      </c>
      <c r="F219" s="27">
        <v>11</v>
      </c>
      <c r="G219" s="34">
        <f t="shared" si="48"/>
        <v>46.2</v>
      </c>
      <c r="H219" s="33" t="s">
        <v>18</v>
      </c>
      <c r="I219" s="33"/>
      <c r="J219" s="33" t="s">
        <v>126</v>
      </c>
      <c r="K219" s="29">
        <v>0.52013888888888893</v>
      </c>
      <c r="L219" s="29">
        <v>0.56180555555555556</v>
      </c>
      <c r="M219" s="35">
        <f t="shared" ca="1" si="49"/>
        <v>4.166666666666663E-2</v>
      </c>
      <c r="N219" s="46" t="s">
        <v>255</v>
      </c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236</v>
      </c>
      <c r="F220" s="27">
        <v>5</v>
      </c>
      <c r="G220" s="28">
        <f t="shared" si="48"/>
        <v>21</v>
      </c>
      <c r="H220" s="26" t="s">
        <v>20</v>
      </c>
      <c r="I220" s="26" t="s">
        <v>31</v>
      </c>
      <c r="J220" s="26" t="s">
        <v>56</v>
      </c>
      <c r="K220" s="29">
        <v>0.66666666666666663</v>
      </c>
      <c r="L220" s="29">
        <v>0.79166666666666663</v>
      </c>
      <c r="M220" s="30">
        <f t="shared" ca="1" si="49"/>
        <v>0.125</v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236</v>
      </c>
      <c r="F221" s="27">
        <v>15</v>
      </c>
      <c r="G221" s="34">
        <f t="shared" si="48"/>
        <v>63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236</v>
      </c>
      <c r="F222" s="27">
        <v>10</v>
      </c>
      <c r="G222" s="28">
        <f t="shared" si="48"/>
        <v>42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236</v>
      </c>
      <c r="F223" s="27">
        <v>12</v>
      </c>
      <c r="G223" s="34">
        <f t="shared" si="48"/>
        <v>50.400000000000006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236</v>
      </c>
      <c r="F224" s="27">
        <v>30</v>
      </c>
      <c r="G224" s="28">
        <f t="shared" si="48"/>
        <v>126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236</v>
      </c>
      <c r="F225" s="27">
        <v>5</v>
      </c>
      <c r="G225" s="34">
        <f t="shared" si="48"/>
        <v>21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236</v>
      </c>
      <c r="F226" s="27">
        <v>5</v>
      </c>
      <c r="G226" s="28">
        <f t="shared" si="48"/>
        <v>21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236</v>
      </c>
      <c r="F227" s="27">
        <v>5</v>
      </c>
      <c r="G227" s="34">
        <f t="shared" si="48"/>
        <v>21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236</v>
      </c>
      <c r="F228" s="27">
        <v>0</v>
      </c>
      <c r="G228" s="28">
        <f t="shared" si="48"/>
        <v>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236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8" t="s">
        <v>218</v>
      </c>
      <c r="B230" s="89"/>
      <c r="C230" s="89"/>
      <c r="D230" s="59"/>
      <c r="E230" s="90">
        <f>SUM(E218:E229)</f>
        <v>0</v>
      </c>
      <c r="F230" s="36">
        <f>SUM(F218:F229)</f>
        <v>115</v>
      </c>
      <c r="G230" s="36">
        <f>SUM(G218:G229)</f>
        <v>483</v>
      </c>
      <c r="H230" s="37"/>
      <c r="I230" s="37"/>
      <c r="J230" s="37"/>
      <c r="K230" s="37"/>
      <c r="L230" s="37"/>
      <c r="M230" s="38">
        <f ca="1">IFERROR(SUM(M218:M229),"")</f>
        <v>0.33055555555555549</v>
      </c>
      <c r="N230" s="36" t="s">
        <v>219</v>
      </c>
      <c r="O230" s="78">
        <v>482110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236</v>
      </c>
      <c r="F231" s="27">
        <v>1</v>
      </c>
      <c r="G231" s="34">
        <f t="shared" ref="G231:G242" si="51">IF(F231="","",IF(E231="PC 17",F231*4.2,IF(E231="PC 19",F231*5,"")))</f>
        <v>4.2</v>
      </c>
      <c r="H231" s="33" t="s">
        <v>18</v>
      </c>
      <c r="I231" s="33"/>
      <c r="J231" s="33" t="s">
        <v>200</v>
      </c>
      <c r="K231" s="29">
        <v>0.79166666666666663</v>
      </c>
      <c r="L231" s="29">
        <v>0.85416666666666663</v>
      </c>
      <c r="M231" s="35">
        <f t="shared" ref="M231:M242" ca="1" si="52">IFERROR(IF(K231="","",IF(L231="",MOD(NOW()-K231,1),IF(L231&gt;=K231,L231-K231,L231+1-K231))),"")</f>
        <v>6.25E-2</v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216</v>
      </c>
      <c r="F232" s="27">
        <v>5</v>
      </c>
      <c r="G232" s="28">
        <f t="shared" si="51"/>
        <v>25</v>
      </c>
      <c r="H232" s="26" t="s">
        <v>16</v>
      </c>
      <c r="I232" s="26" t="s">
        <v>31</v>
      </c>
      <c r="J232" s="26" t="s">
        <v>256</v>
      </c>
      <c r="K232" s="29">
        <v>0.875</v>
      </c>
      <c r="L232" s="29">
        <v>0.89930555555555558</v>
      </c>
      <c r="M232" s="30">
        <f t="shared" ca="1" si="52"/>
        <v>2.430555555555558E-2</v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236</v>
      </c>
      <c r="F233" s="27">
        <v>15</v>
      </c>
      <c r="G233" s="34">
        <f t="shared" si="51"/>
        <v>63</v>
      </c>
      <c r="H233" s="33" t="s">
        <v>20</v>
      </c>
      <c r="I233" s="33" t="s">
        <v>145</v>
      </c>
      <c r="J233" s="33" t="s">
        <v>177</v>
      </c>
      <c r="K233" s="29">
        <v>0.9375</v>
      </c>
      <c r="L233" s="29">
        <v>0.95833333333333337</v>
      </c>
      <c r="M233" s="35">
        <f t="shared" ca="1" si="52"/>
        <v>2.083333333333337E-2</v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236</v>
      </c>
      <c r="F234" s="27">
        <v>8</v>
      </c>
      <c r="G234" s="28">
        <f t="shared" si="51"/>
        <v>33.6</v>
      </c>
      <c r="H234" s="26" t="s">
        <v>20</v>
      </c>
      <c r="I234" s="26" t="s">
        <v>145</v>
      </c>
      <c r="J234" s="26" t="s">
        <v>177</v>
      </c>
      <c r="K234" s="29">
        <v>1.3888888888888888E-2</v>
      </c>
      <c r="L234" s="29">
        <v>3.8194444444444448E-2</v>
      </c>
      <c r="M234" s="30">
        <f t="shared" ca="1" si="52"/>
        <v>2.4305555555555559E-2</v>
      </c>
      <c r="N234" s="46" t="s">
        <v>250</v>
      </c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236</v>
      </c>
      <c r="F235" s="27">
        <v>18</v>
      </c>
      <c r="G235" s="34">
        <f t="shared" si="51"/>
        <v>75.600000000000009</v>
      </c>
      <c r="H235" s="33" t="s">
        <v>18</v>
      </c>
      <c r="I235" s="33" t="s">
        <v>137</v>
      </c>
      <c r="J235" s="33" t="s">
        <v>101</v>
      </c>
      <c r="K235" s="29">
        <v>6.9444444444444448E-2</v>
      </c>
      <c r="L235" s="29">
        <v>8.3333333333333329E-2</v>
      </c>
      <c r="M235" s="35">
        <f t="shared" ca="1" si="52"/>
        <v>1.3888888888888881E-2</v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236</v>
      </c>
      <c r="F236" s="27">
        <v>18</v>
      </c>
      <c r="G236" s="28">
        <f t="shared" si="51"/>
        <v>75.600000000000009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236</v>
      </c>
      <c r="F237" s="27">
        <v>10</v>
      </c>
      <c r="G237" s="34">
        <f t="shared" si="51"/>
        <v>42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236</v>
      </c>
      <c r="F238" s="27">
        <v>24</v>
      </c>
      <c r="G238" s="28">
        <f t="shared" si="51"/>
        <v>100.80000000000001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236</v>
      </c>
      <c r="F239" s="27">
        <v>33</v>
      </c>
      <c r="G239" s="34">
        <f t="shared" si="51"/>
        <v>138.6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236</v>
      </c>
      <c r="F240" s="27">
        <v>17</v>
      </c>
      <c r="G240" s="28">
        <f t="shared" si="51"/>
        <v>71.400000000000006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236</v>
      </c>
      <c r="F241" s="27">
        <v>30</v>
      </c>
      <c r="G241" s="34">
        <f t="shared" si="51"/>
        <v>126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236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1" t="s">
        <v>220</v>
      </c>
      <c r="B243" s="102"/>
      <c r="C243" s="102"/>
      <c r="D243" s="102"/>
      <c r="E243" s="103">
        <f>SUM(E231:E242)</f>
        <v>0</v>
      </c>
      <c r="F243" s="36">
        <f>SUM(F231:F242)</f>
        <v>186</v>
      </c>
      <c r="G243" s="36">
        <f>SUM(G231:G242)</f>
        <v>785.2</v>
      </c>
      <c r="H243" s="37"/>
      <c r="I243" s="37"/>
      <c r="J243" s="37"/>
      <c r="K243" s="37"/>
      <c r="L243" s="37"/>
      <c r="M243" s="38">
        <f ca="1">IFERROR(SUM(M231:M242),"")</f>
        <v>0.14583333333333337</v>
      </c>
      <c r="N243" s="36" t="s">
        <v>219</v>
      </c>
      <c r="O243" s="78">
        <v>849060</v>
      </c>
    </row>
    <row r="244" spans="1:15" ht="18" customHeight="1">
      <c r="A244" s="98" t="s">
        <v>221</v>
      </c>
      <c r="B244" s="99"/>
      <c r="C244" s="99"/>
      <c r="D244" s="99"/>
      <c r="E244" s="100">
        <f>E230+E243</f>
        <v>0</v>
      </c>
      <c r="F244" s="40">
        <f>F230+F243</f>
        <v>301</v>
      </c>
      <c r="G244" s="40">
        <f>G230+G243</f>
        <v>1268.2</v>
      </c>
      <c r="H244" s="41"/>
      <c r="I244" s="41"/>
      <c r="J244" s="41"/>
      <c r="K244" s="41"/>
      <c r="L244" s="41"/>
      <c r="M244" s="42">
        <f ca="1">IFERROR(M230+M243,"")</f>
        <v>0.47638888888888886</v>
      </c>
      <c r="N244" s="40" t="s">
        <v>222</v>
      </c>
      <c r="O244" s="84">
        <f>IFERROR(O230+O243,"")</f>
        <v>1331170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236</v>
      </c>
      <c r="F245" s="27">
        <v>20</v>
      </c>
      <c r="G245" s="28">
        <f t="shared" ref="G245:G256" si="54">IF(F245="","",IF(E245="PC 17",F245*4.2,IF(E245="PC 19",F245*5,"")))</f>
        <v>84</v>
      </c>
      <c r="H245" s="33" t="s">
        <v>19</v>
      </c>
      <c r="I245" s="33" t="s">
        <v>39</v>
      </c>
      <c r="J245" s="33" t="s">
        <v>50</v>
      </c>
      <c r="K245" s="29">
        <v>0.33333333333333331</v>
      </c>
      <c r="L245" s="29">
        <v>0.40555555555555556</v>
      </c>
      <c r="M245" s="35">
        <f t="shared" ref="M245:M256" ca="1" si="55">IFERROR(IF(K245="","",IF(L245="",MOD(NOW()-K245,1),IF(L245&gt;=K245,L245-K245,L245+1-K245))),"")</f>
        <v>7.2222222222222243E-2</v>
      </c>
      <c r="N245" s="46" t="s">
        <v>257</v>
      </c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236</v>
      </c>
      <c r="F246" s="27">
        <v>4</v>
      </c>
      <c r="G246" s="34">
        <f t="shared" si="54"/>
        <v>16.8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236</v>
      </c>
      <c r="F247" s="27">
        <v>0</v>
      </c>
      <c r="G247" s="28">
        <f t="shared" si="54"/>
        <v>0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236</v>
      </c>
      <c r="F248" s="27">
        <v>22</v>
      </c>
      <c r="G248" s="34">
        <f t="shared" si="54"/>
        <v>92.4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236</v>
      </c>
      <c r="F249" s="27">
        <v>13</v>
      </c>
      <c r="G249" s="28">
        <f t="shared" si="54"/>
        <v>54.6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236</v>
      </c>
      <c r="F250" s="27">
        <v>8</v>
      </c>
      <c r="G250" s="34">
        <f t="shared" si="54"/>
        <v>33.6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236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236</v>
      </c>
      <c r="F252" s="27">
        <v>32</v>
      </c>
      <c r="G252" s="34">
        <f t="shared" si="54"/>
        <v>134.4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236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236</v>
      </c>
      <c r="F254" s="27">
        <v>15</v>
      </c>
      <c r="G254" s="34">
        <f t="shared" si="54"/>
        <v>63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236</v>
      </c>
      <c r="F255" s="27">
        <v>22</v>
      </c>
      <c r="G255" s="28">
        <f t="shared" si="54"/>
        <v>92.4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236</v>
      </c>
      <c r="F256" s="27">
        <v>12</v>
      </c>
      <c r="G256" s="34">
        <f t="shared" si="54"/>
        <v>50.400000000000006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1" t="s">
        <v>218</v>
      </c>
      <c r="B257" s="102"/>
      <c r="C257" s="102"/>
      <c r="D257" s="102"/>
      <c r="E257" s="103">
        <f>SUM(E245:E256)</f>
        <v>0</v>
      </c>
      <c r="F257" s="36">
        <f>SUM(F245:F256)</f>
        <v>165</v>
      </c>
      <c r="G257" s="36">
        <f>SUM(G245:G256)</f>
        <v>692.99999999999989</v>
      </c>
      <c r="H257" s="37"/>
      <c r="I257" s="37"/>
      <c r="J257" s="37"/>
      <c r="K257" s="37"/>
      <c r="L257" s="37"/>
      <c r="M257" s="38">
        <f ca="1">IFERROR(SUM(M245:M256),"")</f>
        <v>7.2222222222222243E-2</v>
      </c>
      <c r="N257" s="36" t="s">
        <v>219</v>
      </c>
      <c r="O257" s="78">
        <v>631580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216</v>
      </c>
      <c r="F258" s="27">
        <v>8</v>
      </c>
      <c r="G258" s="34">
        <f t="shared" ref="G258:G269" si="57">IF(F258="","",IF(E258="PC 17",F258*4.2,IF(E258="PC 19",F258*5,"")))</f>
        <v>40</v>
      </c>
      <c r="H258" s="26" t="s">
        <v>18</v>
      </c>
      <c r="I258" s="26" t="s">
        <v>39</v>
      </c>
      <c r="J258" s="26" t="s">
        <v>123</v>
      </c>
      <c r="K258" s="29">
        <v>0.79861111111111116</v>
      </c>
      <c r="L258" s="29">
        <v>0.81944444444444442</v>
      </c>
      <c r="M258" s="30">
        <f t="shared" ref="M258:M269" ca="1" si="58">IFERROR(IF(K258="","",IF(L258="",MOD(NOW()-K258,1),IF(L258&gt;=K258,L258-K258,L258+1-K258))),"")</f>
        <v>2.0833333333333259E-2</v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236</v>
      </c>
      <c r="F259" s="27">
        <v>13</v>
      </c>
      <c r="G259" s="28">
        <f t="shared" si="57"/>
        <v>54.6</v>
      </c>
      <c r="H259" s="50" t="s">
        <v>20</v>
      </c>
      <c r="I259" s="50" t="s">
        <v>31</v>
      </c>
      <c r="J259" s="50" t="s">
        <v>36</v>
      </c>
      <c r="K259" s="29">
        <v>0.91666666666666663</v>
      </c>
      <c r="L259" s="29">
        <v>0.94097222222222221</v>
      </c>
      <c r="M259" s="35">
        <f t="shared" ca="1" si="58"/>
        <v>2.430555555555558E-2</v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236</v>
      </c>
      <c r="F260" s="27">
        <v>18</v>
      </c>
      <c r="G260" s="34">
        <f t="shared" si="57"/>
        <v>75.600000000000009</v>
      </c>
      <c r="H260" s="33" t="s">
        <v>18</v>
      </c>
      <c r="I260" s="26" t="s">
        <v>31</v>
      </c>
      <c r="J260" s="33" t="s">
        <v>50</v>
      </c>
      <c r="K260" s="29">
        <v>0.94097222222222221</v>
      </c>
      <c r="L260" s="29">
        <v>0.95486111111111116</v>
      </c>
      <c r="M260" s="30">
        <f t="shared" ca="1" si="58"/>
        <v>1.3888888888888951E-2</v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236</v>
      </c>
      <c r="F261" s="27">
        <v>3</v>
      </c>
      <c r="G261" s="28">
        <f t="shared" si="57"/>
        <v>12.600000000000001</v>
      </c>
      <c r="H261" s="33" t="s">
        <v>19</v>
      </c>
      <c r="I261" s="33" t="s">
        <v>155</v>
      </c>
      <c r="J261" s="33" t="s">
        <v>27</v>
      </c>
      <c r="K261" s="29">
        <v>0.95486111111111116</v>
      </c>
      <c r="L261" s="29">
        <v>0.96875</v>
      </c>
      <c r="M261" s="35">
        <f t="shared" ca="1" si="58"/>
        <v>1.388888888888884E-2</v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236</v>
      </c>
      <c r="F262" s="27">
        <v>4</v>
      </c>
      <c r="G262" s="34">
        <f t="shared" si="57"/>
        <v>16.8</v>
      </c>
      <c r="H262" s="33" t="s">
        <v>18</v>
      </c>
      <c r="I262" s="26" t="s">
        <v>31</v>
      </c>
      <c r="J262" s="33" t="s">
        <v>152</v>
      </c>
      <c r="K262" s="29">
        <v>0.9868055555555556</v>
      </c>
      <c r="L262" s="29">
        <v>5.7638888888888892E-2</v>
      </c>
      <c r="M262" s="30">
        <f t="shared" ca="1" si="58"/>
        <v>7.0833333333333193E-2</v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236</v>
      </c>
      <c r="F263" s="27">
        <v>9</v>
      </c>
      <c r="G263" s="28">
        <f t="shared" si="57"/>
        <v>37.800000000000004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236</v>
      </c>
      <c r="F264" s="27">
        <v>8</v>
      </c>
      <c r="G264" s="34">
        <f t="shared" si="57"/>
        <v>33.6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236</v>
      </c>
      <c r="F265" s="27">
        <v>12</v>
      </c>
      <c r="G265" s="28">
        <f t="shared" si="57"/>
        <v>50.400000000000006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236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236</v>
      </c>
      <c r="F267" s="27">
        <v>8</v>
      </c>
      <c r="G267" s="28">
        <f t="shared" si="57"/>
        <v>33.6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236</v>
      </c>
      <c r="F268" s="27">
        <v>13</v>
      </c>
      <c r="G268" s="34">
        <f t="shared" si="57"/>
        <v>54.6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236</v>
      </c>
      <c r="F269" s="27">
        <v>9</v>
      </c>
      <c r="G269" s="28">
        <f t="shared" si="57"/>
        <v>37.800000000000004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1" t="s">
        <v>220</v>
      </c>
      <c r="B270" s="102"/>
      <c r="C270" s="102"/>
      <c r="D270" s="102"/>
      <c r="E270" s="103">
        <f>SUM(E258:E269)</f>
        <v>0</v>
      </c>
      <c r="F270" s="36">
        <f>SUM(F258:F269)</f>
        <v>123</v>
      </c>
      <c r="G270" s="36">
        <f>SUM(G258:G269)</f>
        <v>523</v>
      </c>
      <c r="H270" s="37"/>
      <c r="I270" s="37"/>
      <c r="J270" s="37"/>
      <c r="K270" s="37"/>
      <c r="L270" s="37"/>
      <c r="M270" s="38">
        <f ca="1">IFERROR(SUM(M258:M269),"")</f>
        <v>0.14374999999999982</v>
      </c>
      <c r="N270" s="36" t="s">
        <v>219</v>
      </c>
      <c r="O270" s="78">
        <v>625070</v>
      </c>
    </row>
    <row r="271" spans="1:15" ht="18" customHeight="1">
      <c r="A271" s="98" t="s">
        <v>221</v>
      </c>
      <c r="B271" s="99"/>
      <c r="C271" s="99"/>
      <c r="D271" s="99"/>
      <c r="E271" s="100">
        <f>E257+E270</f>
        <v>0</v>
      </c>
      <c r="F271" s="40">
        <f>F257+F270</f>
        <v>288</v>
      </c>
      <c r="G271" s="40">
        <f>G257+G270</f>
        <v>1216</v>
      </c>
      <c r="H271" s="41"/>
      <c r="I271" s="41"/>
      <c r="J271" s="41"/>
      <c r="K271" s="41"/>
      <c r="L271" s="41"/>
      <c r="M271" s="42">
        <f ca="1">IFERROR(M257+M270,"")</f>
        <v>0.21597222222222207</v>
      </c>
      <c r="N271" s="40" t="s">
        <v>222</v>
      </c>
      <c r="O271" s="84">
        <f>IFERROR(O257+O270,"")</f>
        <v>1256650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236</v>
      </c>
      <c r="F272" s="27">
        <v>20</v>
      </c>
      <c r="G272" s="28">
        <f t="shared" ref="G272:G283" si="60">IF(F272="","",IF(E272="PC 17",F272*4.2,IF(E272="PC 19",F272*5,"")))</f>
        <v>84</v>
      </c>
      <c r="H272" s="26" t="s">
        <v>18</v>
      </c>
      <c r="I272" s="26" t="s">
        <v>31</v>
      </c>
      <c r="J272" s="26" t="s">
        <v>50</v>
      </c>
      <c r="K272" s="29">
        <v>0.32222222222222224</v>
      </c>
      <c r="L272" s="29">
        <v>0.36805555555555558</v>
      </c>
      <c r="M272" s="30">
        <f t="shared" ref="M272:M283" ca="1" si="61">IFERROR(IF(K272="","",IF(L272="",MOD(NOW()-K272,1),IF(L272&gt;=K272,L272-K272,L272+1-K272))),"")</f>
        <v>4.5833333333333337E-2</v>
      </c>
      <c r="N272" s="46" t="s">
        <v>258</v>
      </c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236</v>
      </c>
      <c r="F273" s="27">
        <v>25</v>
      </c>
      <c r="G273" s="34">
        <f t="shared" si="60"/>
        <v>105</v>
      </c>
      <c r="H273" s="33" t="s">
        <v>19</v>
      </c>
      <c r="I273" s="33" t="s">
        <v>39</v>
      </c>
      <c r="J273" s="33" t="s">
        <v>96</v>
      </c>
      <c r="K273" s="29">
        <v>0.40416666666666667</v>
      </c>
      <c r="L273" s="29">
        <v>0.51388888888888884</v>
      </c>
      <c r="M273" s="35">
        <f t="shared" ca="1" si="61"/>
        <v>0.10972222222222217</v>
      </c>
      <c r="N273" s="46" t="s">
        <v>259</v>
      </c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236</v>
      </c>
      <c r="F274" s="27">
        <v>17</v>
      </c>
      <c r="G274" s="28">
        <f t="shared" si="60"/>
        <v>71.400000000000006</v>
      </c>
      <c r="H274" s="26" t="s">
        <v>19</v>
      </c>
      <c r="I274" s="26" t="s">
        <v>31</v>
      </c>
      <c r="J274" s="26" t="s">
        <v>27</v>
      </c>
      <c r="K274" s="29">
        <v>0.77777777777777779</v>
      </c>
      <c r="L274" s="29">
        <v>0.77986111111111112</v>
      </c>
      <c r="M274" s="30">
        <f t="shared" ca="1" si="61"/>
        <v>2.0833333333333259E-3</v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236</v>
      </c>
      <c r="F275" s="27">
        <v>0</v>
      </c>
      <c r="G275" s="34">
        <f t="shared" si="60"/>
        <v>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236</v>
      </c>
      <c r="F276" s="27">
        <v>0</v>
      </c>
      <c r="G276" s="28">
        <f t="shared" si="60"/>
        <v>0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236</v>
      </c>
      <c r="F277" s="27">
        <v>12</v>
      </c>
      <c r="G277" s="34">
        <f t="shared" si="60"/>
        <v>50.400000000000006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236</v>
      </c>
      <c r="F278" s="27">
        <v>25</v>
      </c>
      <c r="G278" s="28">
        <f t="shared" si="60"/>
        <v>105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236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236</v>
      </c>
      <c r="F280" s="27">
        <v>20</v>
      </c>
      <c r="G280" s="28">
        <f t="shared" si="60"/>
        <v>84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236</v>
      </c>
      <c r="F281" s="27">
        <v>10</v>
      </c>
      <c r="G281" s="34">
        <f t="shared" si="60"/>
        <v>42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236</v>
      </c>
      <c r="F282" s="27">
        <v>25</v>
      </c>
      <c r="G282" s="28">
        <f t="shared" si="60"/>
        <v>105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236</v>
      </c>
      <c r="F283" s="27">
        <v>7</v>
      </c>
      <c r="G283" s="34">
        <f t="shared" si="60"/>
        <v>29.400000000000002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1" t="s">
        <v>218</v>
      </c>
      <c r="B284" s="102"/>
      <c r="C284" s="102"/>
      <c r="D284" s="102"/>
      <c r="E284" s="103">
        <f>SUM(E272:E283)</f>
        <v>0</v>
      </c>
      <c r="F284" s="36">
        <f>SUM(F272:F283)</f>
        <v>183</v>
      </c>
      <c r="G284" s="36">
        <f>SUM(G272:G283)</f>
        <v>768.59999999999991</v>
      </c>
      <c r="H284" s="37"/>
      <c r="I284" s="37"/>
      <c r="J284" s="37"/>
      <c r="K284" s="37"/>
      <c r="L284" s="37"/>
      <c r="M284" s="38">
        <f ca="1">IFERROR(SUM(M272:M283),"")</f>
        <v>0.15763888888888883</v>
      </c>
      <c r="N284" s="36" t="s">
        <v>219</v>
      </c>
      <c r="O284" s="78">
        <v>623460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236</v>
      </c>
      <c r="F285" s="27">
        <v>21</v>
      </c>
      <c r="G285" s="34">
        <f t="shared" ref="G285:G296" si="63">IF(F285="","",IF(E285="PC 17",F285*4.2,IF(E285="PC 19",F285*5,"")))</f>
        <v>88.2</v>
      </c>
      <c r="H285" s="33" t="s">
        <v>19</v>
      </c>
      <c r="I285" s="33" t="s">
        <v>39</v>
      </c>
      <c r="J285" s="33" t="s">
        <v>27</v>
      </c>
      <c r="K285" s="29">
        <v>0.92569444444444449</v>
      </c>
      <c r="L285" s="29">
        <v>0.94097222222222221</v>
      </c>
      <c r="M285" s="35">
        <f t="shared" ref="M285:M296" ca="1" si="64">IFERROR(IF(K285="","",IF(L285="",MOD(NOW()-K285,1),IF(L285&gt;=K285,L285-K285,L285+1-K285))),"")</f>
        <v>1.5277777777777724E-2</v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236</v>
      </c>
      <c r="F286" s="27">
        <v>24</v>
      </c>
      <c r="G286" s="28">
        <f t="shared" si="63"/>
        <v>100.80000000000001</v>
      </c>
      <c r="H286" s="49" t="s">
        <v>18</v>
      </c>
      <c r="I286" s="49" t="s">
        <v>39</v>
      </c>
      <c r="J286" s="49" t="s">
        <v>126</v>
      </c>
      <c r="K286" s="29">
        <v>0.94097222222222221</v>
      </c>
      <c r="L286" s="29">
        <v>0.95902777777777781</v>
      </c>
      <c r="M286" s="30">
        <f t="shared" ca="1" si="64"/>
        <v>1.8055555555555602E-2</v>
      </c>
      <c r="N286" s="46" t="s">
        <v>260</v>
      </c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236</v>
      </c>
      <c r="F287" s="27">
        <v>30</v>
      </c>
      <c r="G287" s="34">
        <f t="shared" si="63"/>
        <v>126</v>
      </c>
      <c r="H287" s="33" t="s">
        <v>20</v>
      </c>
      <c r="I287" s="33" t="s">
        <v>39</v>
      </c>
      <c r="J287" s="33" t="s">
        <v>51</v>
      </c>
      <c r="K287" s="29">
        <v>0.96527777777777779</v>
      </c>
      <c r="L287" s="29">
        <v>0.96666666666666667</v>
      </c>
      <c r="M287" s="35">
        <f t="shared" ca="1" si="64"/>
        <v>1.388888888888884E-3</v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236</v>
      </c>
      <c r="F288" s="27">
        <v>0</v>
      </c>
      <c r="G288" s="28">
        <f t="shared" si="63"/>
        <v>0</v>
      </c>
      <c r="H288" s="26" t="s">
        <v>19</v>
      </c>
      <c r="I288" s="26" t="s">
        <v>31</v>
      </c>
      <c r="J288" s="26" t="s">
        <v>27</v>
      </c>
      <c r="K288" s="29">
        <v>4.5138888888888888E-2</v>
      </c>
      <c r="L288" s="29">
        <v>5.8333333333333334E-2</v>
      </c>
      <c r="M288" s="30">
        <f t="shared" ca="1" si="64"/>
        <v>1.3194444444444446E-2</v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216</v>
      </c>
      <c r="F289" s="27">
        <v>8</v>
      </c>
      <c r="G289" s="34">
        <f t="shared" si="63"/>
        <v>40</v>
      </c>
      <c r="H289" s="33" t="s">
        <v>19</v>
      </c>
      <c r="I289" s="33" t="s">
        <v>31</v>
      </c>
      <c r="J289" s="33" t="s">
        <v>27</v>
      </c>
      <c r="K289" s="29">
        <v>6.7361111111111108E-2</v>
      </c>
      <c r="L289" s="29">
        <v>0.12638888888888888</v>
      </c>
      <c r="M289" s="35">
        <f t="shared" ca="1" si="64"/>
        <v>5.9027777777777776E-2</v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236</v>
      </c>
      <c r="F290" s="27">
        <v>27</v>
      </c>
      <c r="G290" s="28">
        <f t="shared" si="63"/>
        <v>113.4</v>
      </c>
      <c r="H290" s="26" t="s">
        <v>18</v>
      </c>
      <c r="I290" s="26" t="s">
        <v>31</v>
      </c>
      <c r="J290" s="26" t="s">
        <v>152</v>
      </c>
      <c r="K290" s="29">
        <v>0.12777777777777777</v>
      </c>
      <c r="L290" s="29">
        <v>0.15763888888888888</v>
      </c>
      <c r="M290" s="30">
        <f t="shared" ca="1" si="64"/>
        <v>2.9861111111111116E-2</v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236</v>
      </c>
      <c r="F291" s="27">
        <v>5</v>
      </c>
      <c r="G291" s="34">
        <f t="shared" si="63"/>
        <v>21</v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236</v>
      </c>
      <c r="F292" s="27">
        <v>7</v>
      </c>
      <c r="G292" s="28">
        <f t="shared" si="63"/>
        <v>29.400000000000002</v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236</v>
      </c>
      <c r="F293" s="27">
        <v>2</v>
      </c>
      <c r="G293" s="34">
        <f t="shared" si="63"/>
        <v>8.4</v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236</v>
      </c>
      <c r="F294" s="27">
        <v>23</v>
      </c>
      <c r="G294" s="28">
        <f t="shared" si="63"/>
        <v>96.600000000000009</v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236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236</v>
      </c>
      <c r="F296" s="27">
        <v>5</v>
      </c>
      <c r="G296" s="28">
        <f t="shared" si="63"/>
        <v>21</v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101" t="s">
        <v>220</v>
      </c>
      <c r="B297" s="102"/>
      <c r="C297" s="102"/>
      <c r="D297" s="102"/>
      <c r="E297" s="103">
        <f>SUM(E285:E296)</f>
        <v>0</v>
      </c>
      <c r="F297" s="36">
        <f>SUM(F285:F296)</f>
        <v>163</v>
      </c>
      <c r="G297" s="36">
        <f>SUM(G285:G296)</f>
        <v>691</v>
      </c>
      <c r="H297" s="37"/>
      <c r="I297" s="37"/>
      <c r="J297" s="37"/>
      <c r="K297" s="37"/>
      <c r="L297" s="37"/>
      <c r="M297" s="38">
        <f ca="1">IFERROR(SUM(M285:M296),"")</f>
        <v>0.13680555555555554</v>
      </c>
      <c r="N297" s="36" t="s">
        <v>219</v>
      </c>
      <c r="O297" s="78">
        <v>761660</v>
      </c>
    </row>
    <row r="298" spans="1:15" ht="18" customHeight="1">
      <c r="A298" s="98" t="s">
        <v>221</v>
      </c>
      <c r="B298" s="99"/>
      <c r="C298" s="99"/>
      <c r="D298" s="99"/>
      <c r="E298" s="100">
        <f>E284+E297</f>
        <v>0</v>
      </c>
      <c r="F298" s="40">
        <f>F284+F297</f>
        <v>346</v>
      </c>
      <c r="G298" s="40">
        <f>G284+G297</f>
        <v>1459.6</v>
      </c>
      <c r="H298" s="41"/>
      <c r="I298" s="41"/>
      <c r="J298" s="41"/>
      <c r="K298" s="41"/>
      <c r="L298" s="41"/>
      <c r="M298" s="42">
        <f ca="1">IFERROR(M284+M297,"")</f>
        <v>0.2944444444444444</v>
      </c>
      <c r="N298" s="40" t="s">
        <v>222</v>
      </c>
      <c r="O298" s="84">
        <f>IFERROR(O284+O297,"")</f>
        <v>1385120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236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131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236</v>
      </c>
      <c r="F300" s="27">
        <v>6</v>
      </c>
      <c r="G300" s="28">
        <f t="shared" si="66"/>
        <v>25.200000000000003</v>
      </c>
      <c r="H300" s="26" t="s">
        <v>17</v>
      </c>
      <c r="I300" s="26" t="s">
        <v>134</v>
      </c>
      <c r="J300" s="26" t="s">
        <v>88</v>
      </c>
      <c r="K300" s="29">
        <v>0.35416666666666669</v>
      </c>
      <c r="L300" s="29">
        <v>0.40555555555555556</v>
      </c>
      <c r="M300" s="30">
        <f t="shared" ca="1" si="67"/>
        <v>5.1388888888888873E-2</v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236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112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236</v>
      </c>
      <c r="F302" s="27">
        <v>18</v>
      </c>
      <c r="G302" s="28">
        <f t="shared" si="66"/>
        <v>75.600000000000009</v>
      </c>
      <c r="H302" s="26" t="s">
        <v>20</v>
      </c>
      <c r="I302" s="26" t="s">
        <v>31</v>
      </c>
      <c r="J302" s="26" t="s">
        <v>56</v>
      </c>
      <c r="K302" s="29">
        <v>0.61250000000000004</v>
      </c>
      <c r="L302" s="29">
        <v>0.64583333333333337</v>
      </c>
      <c r="M302" s="30">
        <f t="shared" ca="1" si="67"/>
        <v>3.3333333333333326E-2</v>
      </c>
      <c r="N302" s="46" t="s">
        <v>261</v>
      </c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236</v>
      </c>
      <c r="F303" s="27">
        <v>10</v>
      </c>
      <c r="G303" s="34">
        <f t="shared" si="66"/>
        <v>42</v>
      </c>
      <c r="H303" s="33" t="s">
        <v>20</v>
      </c>
      <c r="I303" s="33" t="s">
        <v>39</v>
      </c>
      <c r="J303" s="33" t="s">
        <v>56</v>
      </c>
      <c r="K303" s="29">
        <v>0.61250000000000004</v>
      </c>
      <c r="L303" s="29">
        <v>0.64583333333333337</v>
      </c>
      <c r="M303" s="35">
        <f t="shared" ca="1" si="67"/>
        <v>3.3333333333333326E-2</v>
      </c>
      <c r="N303" s="46" t="s">
        <v>261</v>
      </c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236</v>
      </c>
      <c r="F304" s="27">
        <v>8</v>
      </c>
      <c r="G304" s="28">
        <f t="shared" si="66"/>
        <v>33.6</v>
      </c>
      <c r="H304" s="26" t="s">
        <v>19</v>
      </c>
      <c r="I304" s="26" t="s">
        <v>155</v>
      </c>
      <c r="J304" s="26" t="s">
        <v>27</v>
      </c>
      <c r="K304" s="29">
        <v>0.68055555555555558</v>
      </c>
      <c r="L304" s="29">
        <v>0.70347222222222228</v>
      </c>
      <c r="M304" s="30">
        <f t="shared" ca="1" si="67"/>
        <v>2.2916666666666696E-2</v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236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236</v>
      </c>
      <c r="F306" s="27">
        <v>6</v>
      </c>
      <c r="G306" s="28">
        <f t="shared" si="66"/>
        <v>25.200000000000003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236</v>
      </c>
      <c r="F307" s="27">
        <v>10</v>
      </c>
      <c r="G307" s="34">
        <f t="shared" si="66"/>
        <v>42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236</v>
      </c>
      <c r="F308" s="27">
        <v>7</v>
      </c>
      <c r="G308" s="28">
        <f t="shared" si="66"/>
        <v>29.400000000000002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236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236</v>
      </c>
      <c r="F310" s="27">
        <v>6</v>
      </c>
      <c r="G310" s="28">
        <f t="shared" si="66"/>
        <v>25.200000000000003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1" t="s">
        <v>218</v>
      </c>
      <c r="B311" s="102"/>
      <c r="C311" s="102"/>
      <c r="D311" s="102"/>
      <c r="E311" s="103">
        <f>SUM(E299:E310)</f>
        <v>0</v>
      </c>
      <c r="F311" s="36">
        <f>SUM(F299:F310)</f>
        <v>91</v>
      </c>
      <c r="G311" s="36">
        <f>SUM(G299:G310)</f>
        <v>382.2</v>
      </c>
      <c r="H311" s="37"/>
      <c r="I311" s="37"/>
      <c r="J311" s="37"/>
      <c r="K311" s="37"/>
      <c r="L311" s="37"/>
      <c r="M311" s="38">
        <f ca="1">IFERROR(SUM(M299:M310),"")</f>
        <v>0.15069444444444441</v>
      </c>
      <c r="N311" s="36" t="s">
        <v>219</v>
      </c>
      <c r="O311" s="78">
        <v>605560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236</v>
      </c>
      <c r="F312" s="27">
        <v>19</v>
      </c>
      <c r="G312" s="28">
        <f t="shared" ref="G312:G323" si="69">IF(F312="","",IF(E312="PC 17",F312*4.2,IF(E312="PC 19",F312*5,"")))</f>
        <v>79.8</v>
      </c>
      <c r="H312" s="26" t="s">
        <v>20</v>
      </c>
      <c r="I312" s="26" t="s">
        <v>153</v>
      </c>
      <c r="J312" s="26" t="s">
        <v>74</v>
      </c>
      <c r="K312" s="29">
        <v>0.79652777777777772</v>
      </c>
      <c r="L312" s="29">
        <v>0.80902777777777779</v>
      </c>
      <c r="M312" s="30">
        <f t="shared" ref="M312:M323" ca="1" si="70">IFERROR(IF(K312="","",IF(L312="",MOD(NOW()-K312,1),IF(L312&gt;=K312,L312-K312,L312+1-K312))),"")</f>
        <v>1.2500000000000067E-2</v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236</v>
      </c>
      <c r="F313" s="27">
        <v>3</v>
      </c>
      <c r="G313" s="34">
        <f t="shared" si="69"/>
        <v>12.600000000000001</v>
      </c>
      <c r="H313" s="33" t="s">
        <v>20</v>
      </c>
      <c r="I313" s="33" t="s">
        <v>31</v>
      </c>
      <c r="J313" s="33" t="s">
        <v>36</v>
      </c>
      <c r="K313" s="29">
        <v>0.85416666666666663</v>
      </c>
      <c r="L313" s="29">
        <v>0.87847222222222221</v>
      </c>
      <c r="M313" s="35">
        <f t="shared" ca="1" si="70"/>
        <v>2.430555555555558E-2</v>
      </c>
      <c r="N313" s="46" t="s">
        <v>262</v>
      </c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236</v>
      </c>
      <c r="F314" s="27">
        <v>21</v>
      </c>
      <c r="G314" s="28">
        <f t="shared" si="69"/>
        <v>88.2</v>
      </c>
      <c r="H314" s="26" t="s">
        <v>18</v>
      </c>
      <c r="I314" s="26" t="s">
        <v>63</v>
      </c>
      <c r="J314" s="26" t="s">
        <v>110</v>
      </c>
      <c r="K314" s="29">
        <v>0.91249999999999998</v>
      </c>
      <c r="L314" s="29">
        <v>9.583333333333334E-2</v>
      </c>
      <c r="M314" s="30">
        <f t="shared" ca="1" si="70"/>
        <v>0.18333333333333346</v>
      </c>
      <c r="N314" s="46" t="s">
        <v>263</v>
      </c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236</v>
      </c>
      <c r="F315" s="27">
        <v>0</v>
      </c>
      <c r="G315" s="34">
        <f t="shared" si="69"/>
        <v>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236</v>
      </c>
      <c r="F316" s="27">
        <v>0</v>
      </c>
      <c r="G316" s="28">
        <f t="shared" si="69"/>
        <v>0</v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236</v>
      </c>
      <c r="F317" s="27">
        <v>0</v>
      </c>
      <c r="G317" s="34">
        <f t="shared" si="69"/>
        <v>0</v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236</v>
      </c>
      <c r="F318" s="27">
        <v>0</v>
      </c>
      <c r="G318" s="28">
        <f t="shared" si="69"/>
        <v>0</v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236</v>
      </c>
      <c r="F319" s="27">
        <v>11</v>
      </c>
      <c r="G319" s="34">
        <f t="shared" si="69"/>
        <v>46.2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236</v>
      </c>
      <c r="F320" s="27">
        <v>15</v>
      </c>
      <c r="G320" s="28">
        <f t="shared" si="69"/>
        <v>63</v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236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236</v>
      </c>
      <c r="F322" s="27">
        <v>16</v>
      </c>
      <c r="G322" s="28">
        <f t="shared" si="69"/>
        <v>67.2</v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216</v>
      </c>
      <c r="F323" s="27">
        <v>8</v>
      </c>
      <c r="G323" s="34">
        <f t="shared" si="69"/>
        <v>40</v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1" t="s">
        <v>220</v>
      </c>
      <c r="B324" s="102"/>
      <c r="C324" s="102"/>
      <c r="D324" s="102"/>
      <c r="E324" s="103">
        <f>SUM(E312:E323)</f>
        <v>0</v>
      </c>
      <c r="F324" s="36">
        <f>SUM(F312:F323)</f>
        <v>112</v>
      </c>
      <c r="G324" s="36">
        <f>SUM(G312:G323)</f>
        <v>476.8</v>
      </c>
      <c r="H324" s="37"/>
      <c r="I324" s="37"/>
      <c r="J324" s="37"/>
      <c r="K324" s="37"/>
      <c r="L324" s="37"/>
      <c r="M324" s="38">
        <f ca="1">IFERROR(SUM(M312:M323),"")</f>
        <v>0.22013888888888911</v>
      </c>
      <c r="N324" s="36" t="s">
        <v>219</v>
      </c>
      <c r="O324" s="78">
        <v>524410</v>
      </c>
    </row>
    <row r="325" spans="1:15" ht="18" customHeight="1">
      <c r="A325" s="98" t="s">
        <v>221</v>
      </c>
      <c r="B325" s="99"/>
      <c r="C325" s="99"/>
      <c r="D325" s="99"/>
      <c r="E325" s="100">
        <f>E311+E324</f>
        <v>0</v>
      </c>
      <c r="F325" s="40">
        <f>F311+F324</f>
        <v>203</v>
      </c>
      <c r="G325" s="40">
        <f>G311+G324</f>
        <v>859</v>
      </c>
      <c r="H325" s="41"/>
      <c r="I325" s="41"/>
      <c r="J325" s="41"/>
      <c r="K325" s="41"/>
      <c r="L325" s="41"/>
      <c r="M325" s="42">
        <f ca="1">IFERROR(M311+M324,"")</f>
        <v>0.37083333333333351</v>
      </c>
      <c r="N325" s="40" t="s">
        <v>222</v>
      </c>
      <c r="O325" s="84">
        <f>IFERROR(O311+O324,"")</f>
        <v>1129970</v>
      </c>
    </row>
    <row r="326" spans="1:15" ht="15" customHeight="1">
      <c r="A326" s="69">
        <v>46216</v>
      </c>
      <c r="B326" s="25">
        <v>0.33333333333333298</v>
      </c>
      <c r="C326" s="26" t="s">
        <v>45</v>
      </c>
      <c r="D326" s="59" t="s">
        <v>30</v>
      </c>
      <c r="E326" s="59" t="s">
        <v>236</v>
      </c>
      <c r="F326" s="27">
        <v>20</v>
      </c>
      <c r="G326" s="28">
        <f t="shared" ref="G326:G337" si="72">IF(F326="","",IF(E326="PC 17",F326*4.2,IF(E326="PC 19",F326*5,"")))</f>
        <v>84</v>
      </c>
      <c r="H326" s="26" t="s">
        <v>19</v>
      </c>
      <c r="I326" s="26" t="s">
        <v>155</v>
      </c>
      <c r="J326" s="26" t="s">
        <v>27</v>
      </c>
      <c r="K326" s="29">
        <v>0.36458333333333331</v>
      </c>
      <c r="L326" s="29">
        <v>0.38263888888888886</v>
      </c>
      <c r="M326" s="30">
        <f t="shared" ref="M326:M337" ca="1" si="73">IFERROR(IF(K326="","",IF(L326="",MOD(NOW()-K326,1),IF(L326&gt;=K326,L326-K326,L326+1-K326))),"")</f>
        <v>1.8055555555555547E-2</v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236</v>
      </c>
      <c r="F327" s="27">
        <v>15</v>
      </c>
      <c r="G327" s="34">
        <f t="shared" si="72"/>
        <v>63</v>
      </c>
      <c r="H327" s="33" t="s">
        <v>20</v>
      </c>
      <c r="I327" s="33" t="s">
        <v>39</v>
      </c>
      <c r="J327" s="33" t="s">
        <v>51</v>
      </c>
      <c r="K327" s="29">
        <v>0.52152777777777781</v>
      </c>
      <c r="L327" s="29">
        <v>0.52708333333333335</v>
      </c>
      <c r="M327" s="35">
        <f t="shared" ca="1" si="73"/>
        <v>5.5555555555555358E-3</v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236</v>
      </c>
      <c r="F328" s="27">
        <v>10</v>
      </c>
      <c r="G328" s="28">
        <f t="shared" si="72"/>
        <v>42</v>
      </c>
      <c r="H328" s="26" t="s">
        <v>20</v>
      </c>
      <c r="I328" s="26" t="s">
        <v>119</v>
      </c>
      <c r="J328" s="26" t="s">
        <v>112</v>
      </c>
      <c r="K328" s="29">
        <v>0.63749999999999996</v>
      </c>
      <c r="L328" s="29">
        <v>0.65902777777777777</v>
      </c>
      <c r="M328" s="30">
        <f t="shared" ca="1" si="73"/>
        <v>2.1527777777777812E-2</v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236</v>
      </c>
      <c r="F329" s="27">
        <v>20</v>
      </c>
      <c r="G329" s="34">
        <f t="shared" si="72"/>
        <v>84</v>
      </c>
      <c r="H329" s="33" t="s">
        <v>17</v>
      </c>
      <c r="I329" s="33" t="s">
        <v>113</v>
      </c>
      <c r="J329" s="33" t="s">
        <v>33</v>
      </c>
      <c r="K329" s="29">
        <v>0.68402777777777779</v>
      </c>
      <c r="L329" s="29">
        <v>0.70833333333333337</v>
      </c>
      <c r="M329" s="35">
        <f t="shared" ca="1" si="73"/>
        <v>2.430555555555558E-2</v>
      </c>
      <c r="N329" s="46" t="s">
        <v>264</v>
      </c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216</v>
      </c>
      <c r="F330" s="27">
        <v>12</v>
      </c>
      <c r="G330" s="28">
        <f t="shared" si="72"/>
        <v>60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236</v>
      </c>
      <c r="F331" s="27">
        <v>24</v>
      </c>
      <c r="G331" s="34">
        <f t="shared" si="72"/>
        <v>100.80000000000001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236</v>
      </c>
      <c r="F332" s="27">
        <v>14</v>
      </c>
      <c r="G332" s="28">
        <f t="shared" si="72"/>
        <v>58.800000000000004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236</v>
      </c>
      <c r="F333" s="27">
        <v>16</v>
      </c>
      <c r="G333" s="34">
        <f t="shared" si="72"/>
        <v>67.2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236</v>
      </c>
      <c r="F334" s="27">
        <v>24</v>
      </c>
      <c r="G334" s="28">
        <f t="shared" si="72"/>
        <v>100.80000000000001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236</v>
      </c>
      <c r="F335" s="27">
        <v>19</v>
      </c>
      <c r="G335" s="34">
        <f t="shared" si="72"/>
        <v>79.8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236</v>
      </c>
      <c r="F336" s="27">
        <v>21</v>
      </c>
      <c r="G336" s="28">
        <f t="shared" si="72"/>
        <v>88.2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236</v>
      </c>
      <c r="F337" s="27">
        <v>2</v>
      </c>
      <c r="G337" s="34">
        <f t="shared" si="72"/>
        <v>8.4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1" t="s">
        <v>218</v>
      </c>
      <c r="B338" s="102"/>
      <c r="C338" s="102"/>
      <c r="D338" s="102"/>
      <c r="E338" s="103">
        <f>SUM(E326:E337)</f>
        <v>0</v>
      </c>
      <c r="F338" s="36">
        <f>SUM(F326:F337)</f>
        <v>197</v>
      </c>
      <c r="G338" s="36">
        <f>SUM(G326:G337)</f>
        <v>837.00000000000011</v>
      </c>
      <c r="H338" s="37"/>
      <c r="I338" s="37"/>
      <c r="J338" s="37"/>
      <c r="K338" s="37"/>
      <c r="L338" s="37"/>
      <c r="M338" s="38">
        <f ca="1">IFERROR(SUM(M326:M337),"")</f>
        <v>6.9444444444444475E-2</v>
      </c>
      <c r="N338" s="36" t="s">
        <v>219</v>
      </c>
      <c r="O338" s="78">
        <v>837000</v>
      </c>
    </row>
    <row r="339" spans="1:15" ht="15" customHeight="1">
      <c r="A339" s="70">
        <v>46216</v>
      </c>
      <c r="B339" s="32">
        <v>0.83333333333333304</v>
      </c>
      <c r="C339" s="33" t="s">
        <v>29</v>
      </c>
      <c r="D339" s="62" t="s">
        <v>30</v>
      </c>
      <c r="E339" s="62" t="s">
        <v>236</v>
      </c>
      <c r="F339" s="27">
        <v>22</v>
      </c>
      <c r="G339" s="34">
        <f t="shared" ref="G339:G350" si="75">IF(F339="","",IF(E339="PC 17",F339*4.2,IF(E339="PC 19",F339*5,"")))</f>
        <v>92.4</v>
      </c>
      <c r="H339" s="33" t="s">
        <v>20</v>
      </c>
      <c r="I339" s="33" t="s">
        <v>119</v>
      </c>
      <c r="J339" s="33" t="s">
        <v>112</v>
      </c>
      <c r="K339" s="29">
        <v>0.90416666666666667</v>
      </c>
      <c r="L339" s="29">
        <v>0.90972222222222221</v>
      </c>
      <c r="M339" s="35">
        <f t="shared" ref="M339:M350" ca="1" si="76">IFERROR(IF(K339="","",IF(L339="",MOD(NOW()-K339,1),IF(L339&gt;=K339,L339-K339,L339+1-K339))),"")</f>
        <v>5.5555555555555358E-3</v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236</v>
      </c>
      <c r="F340" s="27">
        <v>10</v>
      </c>
      <c r="G340" s="28">
        <f t="shared" si="75"/>
        <v>42</v>
      </c>
      <c r="H340" s="26" t="s">
        <v>20</v>
      </c>
      <c r="I340" s="26" t="s">
        <v>31</v>
      </c>
      <c r="J340" s="26" t="s">
        <v>56</v>
      </c>
      <c r="K340" s="29">
        <v>6.25E-2</v>
      </c>
      <c r="L340" s="29">
        <v>7.2916666666666671E-2</v>
      </c>
      <c r="M340" s="30">
        <f t="shared" ca="1" si="76"/>
        <v>1.0416666666666671E-2</v>
      </c>
      <c r="N340" s="46" t="s">
        <v>265</v>
      </c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236</v>
      </c>
      <c r="F341" s="27">
        <v>18</v>
      </c>
      <c r="G341" s="34">
        <f t="shared" si="75"/>
        <v>75.600000000000009</v>
      </c>
      <c r="H341" s="33" t="s">
        <v>19</v>
      </c>
      <c r="I341" s="33" t="s">
        <v>39</v>
      </c>
      <c r="J341" s="33" t="s">
        <v>27</v>
      </c>
      <c r="K341" s="29">
        <v>7.2916666666666671E-2</v>
      </c>
      <c r="L341" s="29">
        <v>7.9166666666666663E-2</v>
      </c>
      <c r="M341" s="35">
        <f t="shared" ca="1" si="76"/>
        <v>6.2499999999999917E-3</v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236</v>
      </c>
      <c r="F342" s="27">
        <v>10</v>
      </c>
      <c r="G342" s="28">
        <f t="shared" si="75"/>
        <v>42</v>
      </c>
      <c r="H342" s="26" t="s">
        <v>19</v>
      </c>
      <c r="I342" s="26" t="s">
        <v>39</v>
      </c>
      <c r="J342" s="26" t="s">
        <v>35</v>
      </c>
      <c r="K342" s="29">
        <v>0.25347222222222221</v>
      </c>
      <c r="L342" s="29">
        <v>0.27291666666666664</v>
      </c>
      <c r="M342" s="30">
        <f t="shared" ca="1" si="76"/>
        <v>1.9444444444444431E-2</v>
      </c>
      <c r="N342" s="46" t="s">
        <v>266</v>
      </c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236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236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236</v>
      </c>
      <c r="F345" s="27">
        <v>5</v>
      </c>
      <c r="G345" s="34">
        <f t="shared" si="75"/>
        <v>21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236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236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236</v>
      </c>
      <c r="F348" s="27">
        <v>15</v>
      </c>
      <c r="G348" s="28">
        <f t="shared" si="75"/>
        <v>63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236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236</v>
      </c>
      <c r="F350" s="27">
        <v>10</v>
      </c>
      <c r="G350" s="28">
        <f t="shared" si="75"/>
        <v>42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1" t="s">
        <v>220</v>
      </c>
      <c r="B351" s="102"/>
      <c r="C351" s="102"/>
      <c r="D351" s="102"/>
      <c r="E351" s="103">
        <f>SUM(E339:E350)</f>
        <v>0</v>
      </c>
      <c r="F351" s="36">
        <f>SUM(F339:F350)</f>
        <v>130</v>
      </c>
      <c r="G351" s="36">
        <f>SUM(G339:G350)</f>
        <v>546</v>
      </c>
      <c r="H351" s="37"/>
      <c r="I351" s="37"/>
      <c r="J351" s="37"/>
      <c r="K351" s="37"/>
      <c r="L351" s="37"/>
      <c r="M351" s="38">
        <f ca="1">IFERROR(SUM(M339:M350),"")</f>
        <v>4.166666666666663E-2</v>
      </c>
      <c r="N351" s="36" t="s">
        <v>219</v>
      </c>
      <c r="O351" s="78">
        <v>598420</v>
      </c>
    </row>
    <row r="352" spans="1:15" ht="18" customHeight="1">
      <c r="A352" s="98" t="s">
        <v>221</v>
      </c>
      <c r="B352" s="99"/>
      <c r="C352" s="99"/>
      <c r="D352" s="99"/>
      <c r="E352" s="100">
        <f>E338+E351</f>
        <v>0</v>
      </c>
      <c r="F352" s="40">
        <f>F338+F351</f>
        <v>327</v>
      </c>
      <c r="G352" s="40">
        <f>G338+G351</f>
        <v>1383</v>
      </c>
      <c r="H352" s="41"/>
      <c r="I352" s="41"/>
      <c r="J352" s="41"/>
      <c r="K352" s="41"/>
      <c r="L352" s="41"/>
      <c r="M352" s="42">
        <f ca="1">IFERROR(M338+M351,"")</f>
        <v>0.1111111111111111</v>
      </c>
      <c r="N352" s="40" t="s">
        <v>222</v>
      </c>
      <c r="O352" s="84">
        <f>IFERROR(O338+O351,"")</f>
        <v>1435420</v>
      </c>
    </row>
    <row r="353" spans="1:15" ht="15" customHeight="1">
      <c r="A353" s="70">
        <v>46217</v>
      </c>
      <c r="B353" s="32">
        <v>0.33333333333333298</v>
      </c>
      <c r="C353" s="33" t="s">
        <v>45</v>
      </c>
      <c r="D353" s="62" t="s">
        <v>30</v>
      </c>
      <c r="E353" s="62" t="s">
        <v>236</v>
      </c>
      <c r="F353" s="27">
        <v>16</v>
      </c>
      <c r="G353" s="34">
        <f t="shared" ref="G353:G364" si="78">IF(F353="","",IF(E353="PC 17",F353*4.2,IF(E353="PC 19",F353*5,"")))</f>
        <v>67.2</v>
      </c>
      <c r="H353" s="33" t="s">
        <v>20</v>
      </c>
      <c r="I353" s="33" t="s">
        <v>155</v>
      </c>
      <c r="J353" s="33" t="s">
        <v>28</v>
      </c>
      <c r="K353" s="29">
        <v>0.36805555555555558</v>
      </c>
      <c r="L353" s="29">
        <v>0.37430555555555556</v>
      </c>
      <c r="M353" s="35">
        <f t="shared" ref="M353:M364" ca="1" si="79">IFERROR(IF(K353="","",IF(L353="",MOD(NOW()-K353,1),IF(L353&gt;=K353,L353-K353,L353+1-K353))),"")</f>
        <v>6.2499999999999778E-3</v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236</v>
      </c>
      <c r="F354" s="27">
        <v>10</v>
      </c>
      <c r="G354" s="28">
        <f t="shared" si="78"/>
        <v>42</v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236</v>
      </c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236</v>
      </c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236</v>
      </c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236</v>
      </c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236</v>
      </c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236</v>
      </c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236</v>
      </c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236</v>
      </c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236</v>
      </c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236</v>
      </c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1" t="s">
        <v>218</v>
      </c>
      <c r="B365" s="102"/>
      <c r="C365" s="102"/>
      <c r="D365" s="102"/>
      <c r="E365" s="103">
        <f>SUM(E353:E364)</f>
        <v>0</v>
      </c>
      <c r="F365" s="36">
        <f>SUM(F353:F364)</f>
        <v>26</v>
      </c>
      <c r="G365" s="36">
        <f>SUM(G353:G364)</f>
        <v>109.2</v>
      </c>
      <c r="H365" s="37"/>
      <c r="I365" s="37"/>
      <c r="J365" s="37"/>
      <c r="K365" s="37"/>
      <c r="L365" s="37"/>
      <c r="M365" s="38">
        <f ca="1">IFERROR(SUM(M353:M364),"")</f>
        <v>6.2499999999999778E-3</v>
      </c>
      <c r="N365" s="36" t="s">
        <v>219</v>
      </c>
      <c r="O365" s="78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101" t="s">
        <v>220</v>
      </c>
      <c r="B378" s="102"/>
      <c r="C378" s="102"/>
      <c r="D378" s="102"/>
      <c r="E378" s="10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219</v>
      </c>
      <c r="O378" s="78"/>
    </row>
    <row r="379" spans="1:15" ht="18" customHeight="1">
      <c r="A379" s="98" t="s">
        <v>221</v>
      </c>
      <c r="B379" s="99"/>
      <c r="C379" s="99"/>
      <c r="D379" s="99"/>
      <c r="E379" s="100">
        <f>E365+E378</f>
        <v>0</v>
      </c>
      <c r="F379" s="40">
        <f>F365+F378</f>
        <v>26</v>
      </c>
      <c r="G379" s="40">
        <f>G365+G378</f>
        <v>109.2</v>
      </c>
      <c r="H379" s="41"/>
      <c r="I379" s="41"/>
      <c r="J379" s="41"/>
      <c r="K379" s="41"/>
      <c r="L379" s="41"/>
      <c r="M379" s="42">
        <f ca="1">IFERROR(M365+M378,"")</f>
        <v>6.2499999999999778E-3</v>
      </c>
      <c r="N379" s="40" t="s">
        <v>222</v>
      </c>
      <c r="O379" s="84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1" t="s">
        <v>218</v>
      </c>
      <c r="B392" s="102"/>
      <c r="C392" s="102"/>
      <c r="D392" s="102"/>
      <c r="E392" s="10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219</v>
      </c>
      <c r="O392" s="78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1" t="s">
        <v>220</v>
      </c>
      <c r="B405" s="102"/>
      <c r="C405" s="102"/>
      <c r="D405" s="102"/>
      <c r="E405" s="10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219</v>
      </c>
      <c r="O405" s="78"/>
    </row>
    <row r="406" spans="1:15" ht="18" customHeight="1">
      <c r="A406" s="98" t="s">
        <v>221</v>
      </c>
      <c r="B406" s="99"/>
      <c r="C406" s="99"/>
      <c r="D406" s="99"/>
      <c r="E406" s="100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222</v>
      </c>
      <c r="O406" s="84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1" t="s">
        <v>218</v>
      </c>
      <c r="B419" s="102"/>
      <c r="C419" s="102"/>
      <c r="D419" s="102"/>
      <c r="E419" s="10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219</v>
      </c>
      <c r="O419" s="78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101" t="s">
        <v>220</v>
      </c>
      <c r="B432" s="102"/>
      <c r="C432" s="102"/>
      <c r="D432" s="102"/>
      <c r="E432" s="10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219</v>
      </c>
      <c r="O432" s="78"/>
    </row>
    <row r="433" spans="1:15" ht="18" customHeight="1">
      <c r="A433" s="98" t="s">
        <v>221</v>
      </c>
      <c r="B433" s="99"/>
      <c r="C433" s="99"/>
      <c r="D433" s="99"/>
      <c r="E433" s="100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222</v>
      </c>
      <c r="O433" s="84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1" t="s">
        <v>218</v>
      </c>
      <c r="B446" s="102"/>
      <c r="C446" s="102"/>
      <c r="D446" s="102"/>
      <c r="E446" s="10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219</v>
      </c>
      <c r="O446" s="78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1" t="s">
        <v>220</v>
      </c>
      <c r="B459" s="102"/>
      <c r="C459" s="102"/>
      <c r="D459" s="102"/>
      <c r="E459" s="10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219</v>
      </c>
      <c r="O459" s="78"/>
    </row>
    <row r="460" spans="1:15" ht="18" customHeight="1">
      <c r="A460" s="98" t="s">
        <v>221</v>
      </c>
      <c r="B460" s="99"/>
      <c r="C460" s="99"/>
      <c r="D460" s="99"/>
      <c r="E460" s="100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222</v>
      </c>
      <c r="O460" s="84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1" t="s">
        <v>218</v>
      </c>
      <c r="B473" s="102"/>
      <c r="C473" s="102"/>
      <c r="D473" s="102"/>
      <c r="E473" s="10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219</v>
      </c>
      <c r="O473" s="78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>
        <v>1</v>
      </c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1" t="s">
        <v>220</v>
      </c>
      <c r="B486" s="102"/>
      <c r="C486" s="102"/>
      <c r="D486" s="102"/>
      <c r="E486" s="10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219</v>
      </c>
      <c r="O486" s="78"/>
    </row>
    <row r="487" spans="1:15" ht="18" customHeight="1">
      <c r="A487" s="98" t="s">
        <v>221</v>
      </c>
      <c r="B487" s="99"/>
      <c r="C487" s="99"/>
      <c r="D487" s="99"/>
      <c r="E487" s="100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222</v>
      </c>
      <c r="O487" s="84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1" t="s">
        <v>218</v>
      </c>
      <c r="B500" s="102"/>
      <c r="C500" s="102"/>
      <c r="D500" s="102"/>
      <c r="E500" s="10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219</v>
      </c>
      <c r="O500" s="78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101" t="s">
        <v>220</v>
      </c>
      <c r="B513" s="102"/>
      <c r="C513" s="102"/>
      <c r="D513" s="102"/>
      <c r="E513" s="10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219</v>
      </c>
      <c r="O513" s="78"/>
    </row>
    <row r="514" spans="1:15" ht="18" customHeight="1">
      <c r="A514" s="98" t="s">
        <v>221</v>
      </c>
      <c r="B514" s="99"/>
      <c r="C514" s="99"/>
      <c r="D514" s="99"/>
      <c r="E514" s="100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222</v>
      </c>
      <c r="O514" s="84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1" t="s">
        <v>218</v>
      </c>
      <c r="B527" s="102"/>
      <c r="C527" s="102"/>
      <c r="D527" s="102"/>
      <c r="E527" s="10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219</v>
      </c>
      <c r="O527" s="78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101" t="s">
        <v>220</v>
      </c>
      <c r="B540" s="102"/>
      <c r="C540" s="102"/>
      <c r="D540" s="102"/>
      <c r="E540" s="10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219</v>
      </c>
      <c r="O540" s="78"/>
    </row>
    <row r="541" spans="1:15" ht="18" customHeight="1">
      <c r="A541" s="98" t="s">
        <v>221</v>
      </c>
      <c r="B541" s="99"/>
      <c r="C541" s="99"/>
      <c r="D541" s="99"/>
      <c r="E541" s="100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222</v>
      </c>
      <c r="O541" s="84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1" t="s">
        <v>218</v>
      </c>
      <c r="B554" s="102"/>
      <c r="C554" s="102"/>
      <c r="D554" s="102"/>
      <c r="E554" s="10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219</v>
      </c>
      <c r="O554" s="78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1" t="s">
        <v>220</v>
      </c>
      <c r="B567" s="102"/>
      <c r="C567" s="102"/>
      <c r="D567" s="102"/>
      <c r="E567" s="10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219</v>
      </c>
      <c r="O567" s="78"/>
    </row>
    <row r="568" spans="1:15" ht="18" customHeight="1">
      <c r="A568" s="98" t="s">
        <v>221</v>
      </c>
      <c r="B568" s="99"/>
      <c r="C568" s="99"/>
      <c r="D568" s="99"/>
      <c r="E568" s="100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222</v>
      </c>
      <c r="O568" s="84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1" t="s">
        <v>218</v>
      </c>
      <c r="B581" s="102"/>
      <c r="C581" s="102"/>
      <c r="D581" s="102"/>
      <c r="E581" s="10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219</v>
      </c>
      <c r="O581" s="78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1" t="s">
        <v>220</v>
      </c>
      <c r="B594" s="102"/>
      <c r="C594" s="102"/>
      <c r="D594" s="102"/>
      <c r="E594" s="10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219</v>
      </c>
      <c r="O594" s="78"/>
    </row>
    <row r="595" spans="1:15" ht="18" customHeight="1">
      <c r="A595" s="98" t="s">
        <v>221</v>
      </c>
      <c r="B595" s="99"/>
      <c r="C595" s="99"/>
      <c r="D595" s="99"/>
      <c r="E595" s="100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222</v>
      </c>
      <c r="O595" s="84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1" t="s">
        <v>218</v>
      </c>
      <c r="B608" s="102"/>
      <c r="C608" s="102"/>
      <c r="D608" s="102"/>
      <c r="E608" s="10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219</v>
      </c>
      <c r="O608" s="78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1" t="s">
        <v>220</v>
      </c>
      <c r="B621" s="102"/>
      <c r="C621" s="102"/>
      <c r="D621" s="102"/>
      <c r="E621" s="10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219</v>
      </c>
      <c r="O621" s="78"/>
    </row>
    <row r="622" spans="1:15" ht="18" customHeight="1">
      <c r="A622" s="98" t="s">
        <v>221</v>
      </c>
      <c r="B622" s="99"/>
      <c r="C622" s="99"/>
      <c r="D622" s="99"/>
      <c r="E622" s="100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222</v>
      </c>
      <c r="O622" s="84">
        <f>O608+O621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01" t="s">
        <v>218</v>
      </c>
      <c r="B635" s="102"/>
      <c r="C635" s="102"/>
      <c r="D635" s="102"/>
      <c r="E635" s="10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219</v>
      </c>
      <c r="O635" s="78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1" t="s">
        <v>220</v>
      </c>
      <c r="B648" s="102"/>
      <c r="C648" s="102"/>
      <c r="D648" s="102"/>
      <c r="E648" s="10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219</v>
      </c>
      <c r="O648" s="78"/>
    </row>
    <row r="649" spans="1:15" ht="18" customHeight="1">
      <c r="A649" s="98" t="s">
        <v>221</v>
      </c>
      <c r="B649" s="99"/>
      <c r="C649" s="99"/>
      <c r="D649" s="99"/>
      <c r="E649" s="100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222</v>
      </c>
      <c r="O649" s="84">
        <f>O635+O648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1" t="s">
        <v>218</v>
      </c>
      <c r="B662" s="102"/>
      <c r="C662" s="102"/>
      <c r="D662" s="102"/>
      <c r="E662" s="10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219</v>
      </c>
      <c r="O662" s="78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1" t="s">
        <v>220</v>
      </c>
      <c r="B675" s="102"/>
      <c r="C675" s="102"/>
      <c r="D675" s="102"/>
      <c r="E675" s="10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219</v>
      </c>
      <c r="O675" s="78"/>
    </row>
    <row r="676" spans="1:15" ht="18" customHeight="1">
      <c r="A676" s="98" t="s">
        <v>221</v>
      </c>
      <c r="B676" s="99"/>
      <c r="C676" s="99"/>
      <c r="D676" s="99"/>
      <c r="E676" s="100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222</v>
      </c>
      <c r="O676" s="84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1" t="s">
        <v>218</v>
      </c>
      <c r="B689" s="102"/>
      <c r="C689" s="102"/>
      <c r="D689" s="102"/>
      <c r="E689" s="10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219</v>
      </c>
      <c r="O689" s="78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1" t="s">
        <v>220</v>
      </c>
      <c r="B702" s="102"/>
      <c r="C702" s="102"/>
      <c r="D702" s="102"/>
      <c r="E702" s="10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219</v>
      </c>
      <c r="O702" s="78"/>
    </row>
    <row r="703" spans="1:15" ht="18" customHeight="1">
      <c r="A703" s="98" t="s">
        <v>221</v>
      </c>
      <c r="B703" s="99"/>
      <c r="C703" s="99"/>
      <c r="D703" s="99"/>
      <c r="E703" s="100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222</v>
      </c>
      <c r="O703" s="84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1" t="s">
        <v>218</v>
      </c>
      <c r="B716" s="102"/>
      <c r="C716" s="102"/>
      <c r="D716" s="102"/>
      <c r="E716" s="10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219</v>
      </c>
      <c r="O716" s="78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1" t="s">
        <v>220</v>
      </c>
      <c r="B729" s="102"/>
      <c r="C729" s="102"/>
      <c r="D729" s="102"/>
      <c r="E729" s="10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219</v>
      </c>
      <c r="O729" s="78"/>
    </row>
    <row r="730" spans="1:15" ht="18" customHeight="1">
      <c r="A730" s="98" t="s">
        <v>221</v>
      </c>
      <c r="B730" s="99"/>
      <c r="C730" s="99"/>
      <c r="D730" s="99"/>
      <c r="E730" s="100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222</v>
      </c>
      <c r="O730" s="84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1" t="s">
        <v>218</v>
      </c>
      <c r="B743" s="102"/>
      <c r="C743" s="102"/>
      <c r="D743" s="102"/>
      <c r="E743" s="10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219</v>
      </c>
      <c r="O743" s="78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1" t="s">
        <v>220</v>
      </c>
      <c r="B756" s="102"/>
      <c r="C756" s="102"/>
      <c r="D756" s="102"/>
      <c r="E756" s="10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219</v>
      </c>
      <c r="O756" s="39"/>
    </row>
    <row r="757" spans="1:15" ht="18" customHeight="1">
      <c r="A757" s="98" t="s">
        <v>221</v>
      </c>
      <c r="B757" s="99"/>
      <c r="C757" s="99"/>
      <c r="D757" s="99"/>
      <c r="E757" s="100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222</v>
      </c>
      <c r="O757" s="84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1" t="s">
        <v>218</v>
      </c>
      <c r="B770" s="102"/>
      <c r="C770" s="102"/>
      <c r="D770" s="102"/>
      <c r="E770" s="10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219</v>
      </c>
      <c r="O770" s="78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1" t="s">
        <v>220</v>
      </c>
      <c r="B783" s="102"/>
      <c r="C783" s="102"/>
      <c r="D783" s="102"/>
      <c r="E783" s="10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219</v>
      </c>
      <c r="O783" s="39"/>
    </row>
    <row r="784" spans="1:15" ht="18" customHeight="1">
      <c r="A784" s="98" t="s">
        <v>221</v>
      </c>
      <c r="B784" s="99"/>
      <c r="C784" s="99"/>
      <c r="D784" s="99"/>
      <c r="E784" s="100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222</v>
      </c>
      <c r="O784" s="84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1" t="s">
        <v>218</v>
      </c>
      <c r="B797" s="102"/>
      <c r="C797" s="102"/>
      <c r="D797" s="102"/>
      <c r="E797" s="10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219</v>
      </c>
      <c r="O797" s="78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1" t="s">
        <v>220</v>
      </c>
      <c r="B810" s="102"/>
      <c r="C810" s="102"/>
      <c r="D810" s="102"/>
      <c r="E810" s="10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219</v>
      </c>
      <c r="O810" s="39"/>
    </row>
    <row r="811" spans="1:15" ht="18" customHeight="1">
      <c r="A811" s="98" t="s">
        <v>221</v>
      </c>
      <c r="B811" s="99"/>
      <c r="C811" s="99"/>
      <c r="D811" s="99"/>
      <c r="E811" s="100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222</v>
      </c>
      <c r="O811" s="83">
        <f>IFERROR(O797+O810,"")</f>
        <v>0</v>
      </c>
    </row>
  </sheetData>
  <mergeCells count="89"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</mergeCells>
  <dataValidations count="2">
    <dataValidation type="list" allowBlank="1" showErrorMessage="1" errorTitle="Valor inválido" error="Selecione PC 17 ou PC 19 da lista." sqref="E2:E13 E15:E26 E29:E811" xr:uid="{52C68A24-78CA-4DE2-A34C-BA733F92037A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D29:D82 D84:D900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topLeftCell="A352" zoomScale="50" zoomScaleNormal="50" workbookViewId="0">
      <selection activeCell="J360" sqref="J360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0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39.28515625" style="20" customWidth="1"/>
    <col min="15" max="15" width="14" customWidth="1"/>
  </cols>
  <sheetData>
    <row r="1" spans="1:15" ht="37.5" customHeight="1">
      <c r="A1" s="68" t="s">
        <v>7</v>
      </c>
      <c r="B1" s="23" t="s">
        <v>205</v>
      </c>
      <c r="C1" s="23" t="s">
        <v>12</v>
      </c>
      <c r="D1" s="22" t="s">
        <v>13</v>
      </c>
      <c r="E1" s="22" t="s">
        <v>206</v>
      </c>
      <c r="F1" s="23" t="s">
        <v>207</v>
      </c>
      <c r="G1" s="23" t="s">
        <v>208</v>
      </c>
      <c r="H1" s="23" t="s">
        <v>14</v>
      </c>
      <c r="I1" s="23" t="s">
        <v>15</v>
      </c>
      <c r="J1" s="23" t="s">
        <v>209</v>
      </c>
      <c r="K1" s="23" t="s">
        <v>210</v>
      </c>
      <c r="L1" s="23" t="s">
        <v>211</v>
      </c>
      <c r="M1" s="24" t="s">
        <v>212</v>
      </c>
      <c r="N1" s="23" t="s">
        <v>213</v>
      </c>
      <c r="O1" s="23" t="s">
        <v>214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236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175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236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236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267</v>
      </c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236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236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268</v>
      </c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236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162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236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236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236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236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236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236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101" t="s">
        <v>218</v>
      </c>
      <c r="B14" s="102"/>
      <c r="C14" s="102"/>
      <c r="D14" s="102"/>
      <c r="E14" s="103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219</v>
      </c>
      <c r="O14" s="39">
        <v>292530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236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9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236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70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236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9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236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70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236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9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236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70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236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9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236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70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236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9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236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70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236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9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236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101" t="s">
        <v>220</v>
      </c>
      <c r="B27" s="102"/>
      <c r="C27" s="102"/>
      <c r="D27" s="102"/>
      <c r="E27" s="103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219</v>
      </c>
      <c r="O27" s="39">
        <v>308500</v>
      </c>
    </row>
    <row r="28" spans="1:15" ht="18" customHeight="1">
      <c r="A28" s="98" t="s">
        <v>221</v>
      </c>
      <c r="B28" s="99"/>
      <c r="C28" s="99"/>
      <c r="D28" s="99"/>
      <c r="E28" s="100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222</v>
      </c>
      <c r="O28" s="43">
        <f>IFERROR(O14+O27,"")</f>
        <v>601030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236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163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269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236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236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236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236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236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236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236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236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236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236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236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1" t="s">
        <v>218</v>
      </c>
      <c r="B41" s="102"/>
      <c r="C41" s="102"/>
      <c r="D41" s="102"/>
      <c r="E41" s="103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219</v>
      </c>
      <c r="O41" s="39">
        <v>205590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38</v>
      </c>
      <c r="E42" s="62" t="s">
        <v>236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236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236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236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236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236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236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236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236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236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236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236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01" t="s">
        <v>220</v>
      </c>
      <c r="B54" s="102"/>
      <c r="C54" s="102"/>
      <c r="D54" s="102"/>
      <c r="E54" s="103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219</v>
      </c>
      <c r="O54" s="39">
        <v>124290</v>
      </c>
    </row>
    <row r="55" spans="1:15" ht="18" customHeight="1">
      <c r="A55" s="98" t="s">
        <v>221</v>
      </c>
      <c r="B55" s="99"/>
      <c r="C55" s="99"/>
      <c r="D55" s="99"/>
      <c r="E55" s="100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222</v>
      </c>
      <c r="O55" s="43">
        <f>IFERROR(O41+O54,"")</f>
        <v>329880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236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>
        <v>0.35972222222222222</v>
      </c>
      <c r="L56" s="29">
        <v>0.40902777777777777</v>
      </c>
      <c r="M56" s="30">
        <f t="shared" ref="M56:M67" ca="1" si="13">IFERROR(IF(K56="","",IF(L56="",MOD(NOW()-K56,1),IF(L56&gt;=K56,L56-K56,L56+1-K56))),"")</f>
        <v>4.9305555555555547E-2</v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236</v>
      </c>
      <c r="F57" s="27">
        <v>6</v>
      </c>
      <c r="G57" s="34">
        <f t="shared" si="12"/>
        <v>25.200000000000003</v>
      </c>
      <c r="H57" s="33" t="s">
        <v>20</v>
      </c>
      <c r="I57" s="33" t="s">
        <v>47</v>
      </c>
      <c r="J57" s="33" t="s">
        <v>36</v>
      </c>
      <c r="K57" s="29">
        <v>0.58888888888888891</v>
      </c>
      <c r="L57" s="29">
        <v>0.60416666666666663</v>
      </c>
      <c r="M57" s="35">
        <f t="shared" ca="1" si="13"/>
        <v>1.5277777777777724E-2</v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236</v>
      </c>
      <c r="F58" s="27">
        <v>0</v>
      </c>
      <c r="G58" s="28">
        <f t="shared" si="12"/>
        <v>0</v>
      </c>
      <c r="H58" s="26" t="s">
        <v>20</v>
      </c>
      <c r="I58" s="26" t="s">
        <v>47</v>
      </c>
      <c r="J58" s="26" t="s">
        <v>51</v>
      </c>
      <c r="K58" s="29">
        <v>0.65625</v>
      </c>
      <c r="L58" s="29">
        <v>0.66388888888888886</v>
      </c>
      <c r="M58" s="30">
        <f t="shared" ca="1" si="13"/>
        <v>7.6388888888888618E-3</v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236</v>
      </c>
      <c r="F59" s="27">
        <v>9</v>
      </c>
      <c r="G59" s="34">
        <f t="shared" si="12"/>
        <v>37.800000000000004</v>
      </c>
      <c r="H59" s="33"/>
      <c r="I59" s="33"/>
      <c r="J59" s="33"/>
      <c r="K59" s="29"/>
      <c r="L59" s="29"/>
      <c r="M59" s="35" t="str">
        <f t="shared" ca="1" si="13"/>
        <v/>
      </c>
      <c r="N59" s="27" t="s">
        <v>270</v>
      </c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236</v>
      </c>
      <c r="F60" s="27">
        <v>10</v>
      </c>
      <c r="G60" s="28">
        <f t="shared" si="12"/>
        <v>42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236</v>
      </c>
      <c r="F61" s="27">
        <v>11</v>
      </c>
      <c r="G61" s="34">
        <f t="shared" si="12"/>
        <v>46.2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236</v>
      </c>
      <c r="F62" s="27">
        <v>0</v>
      </c>
      <c r="G62" s="28">
        <f t="shared" si="12"/>
        <v>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236</v>
      </c>
      <c r="F63" s="27">
        <v>14</v>
      </c>
      <c r="G63" s="34">
        <f t="shared" si="12"/>
        <v>58.800000000000004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236</v>
      </c>
      <c r="F64" s="27">
        <v>5</v>
      </c>
      <c r="G64" s="28">
        <f t="shared" si="12"/>
        <v>21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236</v>
      </c>
      <c r="F65" s="27">
        <v>15</v>
      </c>
      <c r="G65" s="34">
        <f t="shared" si="12"/>
        <v>63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236</v>
      </c>
      <c r="F66" s="27">
        <v>24</v>
      </c>
      <c r="G66" s="28">
        <f t="shared" si="12"/>
        <v>100.80000000000001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236</v>
      </c>
      <c r="F67" s="27">
        <v>0</v>
      </c>
      <c r="G67" s="34">
        <f t="shared" si="12"/>
        <v>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1" t="s">
        <v>218</v>
      </c>
      <c r="B68" s="102"/>
      <c r="C68" s="102"/>
      <c r="D68" s="102"/>
      <c r="E68" s="103">
        <f>SUM(E56:E67)</f>
        <v>0</v>
      </c>
      <c r="F68" s="36">
        <f>SUM(F56:F67)</f>
        <v>104</v>
      </c>
      <c r="G68" s="36">
        <f>SUM(G56:G67)</f>
        <v>436.8</v>
      </c>
      <c r="H68" s="37"/>
      <c r="I68" s="37"/>
      <c r="J68" s="37"/>
      <c r="K68" s="37"/>
      <c r="L68" s="37"/>
      <c r="M68" s="38">
        <f ca="1">IFERROR(SUM(M56:M67),"")</f>
        <v>7.2222222222222132E-2</v>
      </c>
      <c r="N68" s="36" t="s">
        <v>219</v>
      </c>
      <c r="O68" s="39">
        <v>441440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236</v>
      </c>
      <c r="F69" s="27">
        <v>14</v>
      </c>
      <c r="G69" s="34">
        <f t="shared" ref="G69:G80" si="15">IF(F69="","",IF(E69="PC 17",F69*4.2,IF(E69="PC 19",F69*5,"")))</f>
        <v>58.800000000000004</v>
      </c>
      <c r="H69" s="33" t="s">
        <v>20</v>
      </c>
      <c r="I69" s="33" t="s">
        <v>47</v>
      </c>
      <c r="J69" s="33" t="s">
        <v>163</v>
      </c>
      <c r="K69" s="29">
        <v>0.99652777777777779</v>
      </c>
      <c r="L69" s="29">
        <v>1.5972222222222221E-2</v>
      </c>
      <c r="M69" s="35">
        <f t="shared" ref="M69:M80" ca="1" si="16">IFERROR(IF(K69="","",IF(L69="",MOD(NOW()-K69,1),IF(L69&gt;=K69,L69-K69,L69+1-K69))),"")</f>
        <v>1.9444444444444486E-2</v>
      </c>
      <c r="N69" s="27" t="s">
        <v>271</v>
      </c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236</v>
      </c>
      <c r="F70" s="27">
        <v>11</v>
      </c>
      <c r="G70" s="28">
        <f t="shared" si="15"/>
        <v>46.2</v>
      </c>
      <c r="H70" s="26" t="s">
        <v>20</v>
      </c>
      <c r="I70" s="26" t="s">
        <v>47</v>
      </c>
      <c r="J70" s="26" t="s">
        <v>51</v>
      </c>
      <c r="K70" s="29">
        <v>0.24444444444444444</v>
      </c>
      <c r="L70" s="29">
        <v>0.29166666666666669</v>
      </c>
      <c r="M70" s="30">
        <f t="shared" ca="1" si="16"/>
        <v>4.7222222222222249E-2</v>
      </c>
      <c r="N70" s="27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236</v>
      </c>
      <c r="F71" s="27">
        <v>9</v>
      </c>
      <c r="G71" s="34">
        <f t="shared" si="15"/>
        <v>37.800000000000004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236</v>
      </c>
      <c r="F72" s="27">
        <v>7</v>
      </c>
      <c r="G72" s="28">
        <f t="shared" si="15"/>
        <v>29.400000000000002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236</v>
      </c>
      <c r="F73" s="27">
        <v>10</v>
      </c>
      <c r="G73" s="34">
        <f t="shared" si="15"/>
        <v>42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236</v>
      </c>
      <c r="F74" s="27">
        <v>3</v>
      </c>
      <c r="G74" s="28">
        <f t="shared" si="15"/>
        <v>12.600000000000001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236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236</v>
      </c>
      <c r="F76" s="27">
        <v>5</v>
      </c>
      <c r="G76" s="28">
        <f t="shared" si="15"/>
        <v>21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236</v>
      </c>
      <c r="F77" s="27">
        <v>2</v>
      </c>
      <c r="G77" s="34">
        <f t="shared" si="15"/>
        <v>8.4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236</v>
      </c>
      <c r="F78" s="27">
        <v>15</v>
      </c>
      <c r="G78" s="28">
        <f t="shared" si="15"/>
        <v>63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236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236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1" t="s">
        <v>220</v>
      </c>
      <c r="B81" s="102"/>
      <c r="C81" s="102"/>
      <c r="D81" s="102"/>
      <c r="E81" s="103">
        <f>SUM(E69:E80)</f>
        <v>0</v>
      </c>
      <c r="F81" s="36">
        <f>SUM(F69:F80)</f>
        <v>92</v>
      </c>
      <c r="G81" s="36">
        <f>SUM(G69:G80)</f>
        <v>386.4</v>
      </c>
      <c r="H81" s="37"/>
      <c r="I81" s="37"/>
      <c r="J81" s="37"/>
      <c r="K81" s="37"/>
      <c r="L81" s="37"/>
      <c r="M81" s="38">
        <f ca="1">IFERROR(SUM(M69:M80),"")</f>
        <v>6.6666666666666735E-2</v>
      </c>
      <c r="N81" s="36" t="s">
        <v>219</v>
      </c>
      <c r="O81" s="39">
        <v>396340</v>
      </c>
    </row>
    <row r="82" spans="1:15" ht="18" customHeight="1">
      <c r="A82" s="98" t="s">
        <v>221</v>
      </c>
      <c r="B82" s="99"/>
      <c r="C82" s="99"/>
      <c r="D82" s="99"/>
      <c r="E82" s="100">
        <f>E68+E81</f>
        <v>0</v>
      </c>
      <c r="F82" s="40">
        <f>F68+F81</f>
        <v>196</v>
      </c>
      <c r="G82" s="40">
        <f>G68+G81</f>
        <v>823.2</v>
      </c>
      <c r="H82" s="41"/>
      <c r="I82" s="41"/>
      <c r="J82" s="41"/>
      <c r="K82" s="41"/>
      <c r="L82" s="41"/>
      <c r="M82" s="42">
        <f ca="1">IFERROR(M68+M81,"")</f>
        <v>0.13888888888888887</v>
      </c>
      <c r="N82" s="40" t="s">
        <v>222</v>
      </c>
      <c r="O82" s="43">
        <f>IFERROR(O68+O81,"")</f>
        <v>837780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216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47</v>
      </c>
      <c r="J83" s="33" t="s">
        <v>43</v>
      </c>
      <c r="K83" s="29">
        <v>0.29166666666666669</v>
      </c>
      <c r="L83" s="29">
        <v>0.49305555555555558</v>
      </c>
      <c r="M83" s="35">
        <f t="shared" ref="M83:M94" ca="1" si="19">IFERROR(IF(K83="","",IF(L83="",MOD(NOW()-K83,1),IF(L83&gt;=K83,L83-K83,L83+1-K83))),"")</f>
        <v>0.2013888888888889</v>
      </c>
      <c r="N83" s="27"/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216</v>
      </c>
      <c r="F84" s="27">
        <v>0</v>
      </c>
      <c r="G84" s="34">
        <f t="shared" si="18"/>
        <v>0</v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216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216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216</v>
      </c>
      <c r="F87" s="27">
        <v>0</v>
      </c>
      <c r="G87" s="28">
        <f t="shared" si="18"/>
        <v>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216</v>
      </c>
      <c r="F88" s="27">
        <v>5</v>
      </c>
      <c r="G88" s="34">
        <f t="shared" si="18"/>
        <v>25</v>
      </c>
      <c r="H88" s="26"/>
      <c r="I88" s="26"/>
      <c r="J88" s="26"/>
      <c r="K88" s="29"/>
      <c r="L88" s="29"/>
      <c r="M88" s="30" t="str">
        <f t="shared" ca="1" si="19"/>
        <v/>
      </c>
      <c r="N88" s="27" t="s">
        <v>272</v>
      </c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216</v>
      </c>
      <c r="F89" s="27">
        <v>11</v>
      </c>
      <c r="G89" s="28">
        <f t="shared" si="18"/>
        <v>55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216</v>
      </c>
      <c r="F90" s="27">
        <v>5</v>
      </c>
      <c r="G90" s="34">
        <f t="shared" si="18"/>
        <v>25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216</v>
      </c>
      <c r="F91" s="27">
        <v>12</v>
      </c>
      <c r="G91" s="28">
        <f t="shared" si="18"/>
        <v>60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216</v>
      </c>
      <c r="F92" s="27">
        <v>33</v>
      </c>
      <c r="G92" s="34">
        <f t="shared" si="18"/>
        <v>165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216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216</v>
      </c>
      <c r="F94" s="27">
        <v>8</v>
      </c>
      <c r="G94" s="34">
        <f t="shared" si="18"/>
        <v>40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1" t="s">
        <v>218</v>
      </c>
      <c r="B95" s="102"/>
      <c r="C95" s="102"/>
      <c r="D95" s="102"/>
      <c r="E95" s="103">
        <f>SUM(E83:E94)</f>
        <v>0</v>
      </c>
      <c r="F95" s="36">
        <f>SUM(F83:F94)</f>
        <v>89</v>
      </c>
      <c r="G95" s="36">
        <f>SUM(G83:G94)</f>
        <v>445</v>
      </c>
      <c r="H95" s="37"/>
      <c r="I95" s="37"/>
      <c r="J95" s="37"/>
      <c r="K95" s="37"/>
      <c r="L95" s="37"/>
      <c r="M95" s="38">
        <f ca="1">IFERROR(SUM(M83:M94),"")</f>
        <v>0.2013888888888889</v>
      </c>
      <c r="N95" s="36" t="s">
        <v>219</v>
      </c>
      <c r="O95" s="39">
        <v>536290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236</v>
      </c>
      <c r="F96" s="27">
        <v>3</v>
      </c>
      <c r="G96" s="34">
        <f t="shared" ref="G96:G107" si="21">IF(F96="","",IF(E96="PC 17",F96*4.2,IF(E96="PC 19",F96*5,"")))</f>
        <v>12.600000000000001</v>
      </c>
      <c r="H96" s="26" t="s">
        <v>18</v>
      </c>
      <c r="I96" s="26" t="s">
        <v>47</v>
      </c>
      <c r="J96" s="26" t="s">
        <v>34</v>
      </c>
      <c r="K96" s="29">
        <v>0.87569444444444444</v>
      </c>
      <c r="L96" s="29">
        <v>0.29166666666666669</v>
      </c>
      <c r="M96" s="30">
        <f t="shared" ref="M96:M107" ca="1" si="22">IFERROR(IF(K96="","",IF(L96="",MOD(NOW()-K96,1),IF(L96&gt;=K96,L96-K96,L96+1-K96))),"")</f>
        <v>0.4159722222222223</v>
      </c>
      <c r="N96" s="27"/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236</v>
      </c>
      <c r="F97" s="27">
        <v>2</v>
      </c>
      <c r="G97" s="28">
        <f t="shared" si="21"/>
        <v>8.4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236</v>
      </c>
      <c r="F98" s="27">
        <v>4</v>
      </c>
      <c r="G98" s="34">
        <f t="shared" si="21"/>
        <v>16.8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236</v>
      </c>
      <c r="F99" s="27">
        <v>0</v>
      </c>
      <c r="G99" s="28">
        <f t="shared" si="21"/>
        <v>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236</v>
      </c>
      <c r="F100" s="27">
        <v>0</v>
      </c>
      <c r="G100" s="34">
        <f t="shared" si="21"/>
        <v>0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236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236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236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236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236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236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236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1" t="s">
        <v>220</v>
      </c>
      <c r="B108" s="102"/>
      <c r="C108" s="102"/>
      <c r="D108" s="102"/>
      <c r="E108" s="103">
        <f>SUM(E96:E107)</f>
        <v>0</v>
      </c>
      <c r="F108" s="36">
        <f>SUM(F96:F107)</f>
        <v>9</v>
      </c>
      <c r="G108" s="36">
        <f>SUM(G96:G107)</f>
        <v>37.799999999999997</v>
      </c>
      <c r="H108" s="37"/>
      <c r="I108" s="37"/>
      <c r="J108" s="37"/>
      <c r="K108" s="37"/>
      <c r="L108" s="37"/>
      <c r="M108" s="38">
        <f ca="1">IFERROR(SUM(M96:M107),"")</f>
        <v>0.4159722222222223</v>
      </c>
      <c r="N108" s="36" t="s">
        <v>219</v>
      </c>
      <c r="O108" s="39">
        <v>41230</v>
      </c>
    </row>
    <row r="109" spans="1:15" ht="18" customHeight="1">
      <c r="A109" s="98" t="s">
        <v>221</v>
      </c>
      <c r="B109" s="99"/>
      <c r="C109" s="99"/>
      <c r="D109" s="99"/>
      <c r="E109" s="100">
        <f>E95+E108</f>
        <v>0</v>
      </c>
      <c r="F109" s="40">
        <f>F95+F108</f>
        <v>98</v>
      </c>
      <c r="G109" s="40">
        <f>G95+G108</f>
        <v>482.8</v>
      </c>
      <c r="H109" s="41"/>
      <c r="I109" s="41"/>
      <c r="J109" s="41"/>
      <c r="K109" s="41"/>
      <c r="L109" s="41"/>
      <c r="M109" s="42">
        <f ca="1">IFERROR(M95+M108,"")</f>
        <v>0.61736111111111125</v>
      </c>
      <c r="N109" s="40" t="s">
        <v>222</v>
      </c>
      <c r="O109" s="43">
        <f>IFERROR(O95+O108,"")</f>
        <v>577520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236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47</v>
      </c>
      <c r="J110" s="26" t="s">
        <v>34</v>
      </c>
      <c r="K110" s="29">
        <v>0.29166666666666669</v>
      </c>
      <c r="L110" s="29">
        <v>0.74305555555555558</v>
      </c>
      <c r="M110" s="30">
        <f t="shared" ref="M110:M121" ca="1" si="25">IFERROR(IF(K110="","",IF(L110="",MOD(NOW()-K110,1),IF(L110&gt;=K110,L110-K110,L110+1-K110))),"")</f>
        <v>0.4513888888888889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236</v>
      </c>
      <c r="F111" s="27">
        <v>0</v>
      </c>
      <c r="G111" s="34">
        <f t="shared" si="24"/>
        <v>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236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236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236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236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236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236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236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236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236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236</v>
      </c>
      <c r="F121" s="27">
        <v>2</v>
      </c>
      <c r="G121" s="34">
        <f t="shared" si="24"/>
        <v>8.4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1" t="s">
        <v>218</v>
      </c>
      <c r="B122" s="102"/>
      <c r="C122" s="102"/>
      <c r="D122" s="102"/>
      <c r="E122" s="103">
        <f>SUM(E110:E121)</f>
        <v>0</v>
      </c>
      <c r="F122" s="36">
        <f>SUM(F110:F121)</f>
        <v>7</v>
      </c>
      <c r="G122" s="36">
        <f>SUM(G110:G121)</f>
        <v>29.4</v>
      </c>
      <c r="H122" s="37"/>
      <c r="I122" s="37"/>
      <c r="J122" s="37"/>
      <c r="K122" s="37"/>
      <c r="L122" s="37"/>
      <c r="M122" s="38">
        <f ca="1">IFERROR(SUM(M110:M121),"")</f>
        <v>0.4513888888888889</v>
      </c>
      <c r="N122" s="36" t="s">
        <v>219</v>
      </c>
      <c r="O122" s="39">
        <v>51130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216</v>
      </c>
      <c r="F123" s="27">
        <v>12</v>
      </c>
      <c r="G123" s="34">
        <f t="shared" ref="G123:G134" si="27">IF(F123="","",IF(E123="PC 17",F123*4.2,IF(E123="PC 19",F123*5,"")))</f>
        <v>60</v>
      </c>
      <c r="H123" s="33" t="s">
        <v>20</v>
      </c>
      <c r="I123" s="33" t="s">
        <v>47</v>
      </c>
      <c r="J123" s="33" t="s">
        <v>36</v>
      </c>
      <c r="K123" s="29">
        <v>6.1111111111111109E-2</v>
      </c>
      <c r="L123" s="29">
        <v>7.3611111111111113E-2</v>
      </c>
      <c r="M123" s="35">
        <f t="shared" ref="M123:M134" ca="1" si="28">IFERROR(IF(K123="","",IF(L123="",MOD(NOW()-K123,1),IF(L123&gt;=K123,L123-K123,L123+1-K123))),"")</f>
        <v>1.2500000000000004E-2</v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216</v>
      </c>
      <c r="F124" s="27">
        <v>8</v>
      </c>
      <c r="G124" s="28">
        <f t="shared" si="27"/>
        <v>40</v>
      </c>
      <c r="H124" s="26" t="s">
        <v>20</v>
      </c>
      <c r="I124" s="26"/>
      <c r="J124" s="26" t="s">
        <v>189</v>
      </c>
      <c r="K124" s="29">
        <v>8.3333333333333329E-2</v>
      </c>
      <c r="L124" s="29">
        <v>0.1388888888888889</v>
      </c>
      <c r="M124" s="30">
        <f t="shared" ca="1" si="28"/>
        <v>5.5555555555555566E-2</v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216</v>
      </c>
      <c r="F125" s="27">
        <v>11</v>
      </c>
      <c r="G125" s="34">
        <f t="shared" si="27"/>
        <v>55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216</v>
      </c>
      <c r="F126" s="27">
        <v>5</v>
      </c>
      <c r="G126" s="28">
        <f t="shared" si="27"/>
        <v>25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216</v>
      </c>
      <c r="F127" s="27">
        <v>4</v>
      </c>
      <c r="G127" s="34">
        <f t="shared" si="27"/>
        <v>20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216</v>
      </c>
      <c r="F128" s="27">
        <v>4</v>
      </c>
      <c r="G128" s="28">
        <f t="shared" si="27"/>
        <v>20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216</v>
      </c>
      <c r="F129" s="27">
        <v>1</v>
      </c>
      <c r="G129" s="34">
        <f t="shared" si="27"/>
        <v>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248</v>
      </c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216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216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216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216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216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1" t="s">
        <v>220</v>
      </c>
      <c r="B135" s="102"/>
      <c r="C135" s="102"/>
      <c r="D135" s="102"/>
      <c r="E135" s="103">
        <f>SUM(E123:E134)</f>
        <v>0</v>
      </c>
      <c r="F135" s="36">
        <f>SUM(F123:F134)</f>
        <v>45</v>
      </c>
      <c r="G135" s="36">
        <f>SUM(G123:G134)</f>
        <v>225</v>
      </c>
      <c r="H135" s="37"/>
      <c r="I135" s="37"/>
      <c r="J135" s="37"/>
      <c r="K135" s="37"/>
      <c r="L135" s="37"/>
      <c r="M135" s="38">
        <f ca="1">IFERROR(SUM(M123:M134),"")</f>
        <v>6.8055555555555564E-2</v>
      </c>
      <c r="N135" s="36" t="s">
        <v>219</v>
      </c>
      <c r="O135" s="39">
        <v>381250</v>
      </c>
    </row>
    <row r="136" spans="1:15" ht="18" customHeight="1">
      <c r="A136" s="98" t="s">
        <v>221</v>
      </c>
      <c r="B136" s="99"/>
      <c r="C136" s="99"/>
      <c r="D136" s="99"/>
      <c r="E136" s="100">
        <f>E122+E135</f>
        <v>0</v>
      </c>
      <c r="F136" s="40">
        <f>F122+F135</f>
        <v>52</v>
      </c>
      <c r="G136" s="40">
        <f>G122+G135</f>
        <v>254.4</v>
      </c>
      <c r="H136" s="41"/>
      <c r="I136" s="41"/>
      <c r="J136" s="41"/>
      <c r="K136" s="41"/>
      <c r="L136" s="41"/>
      <c r="M136" s="42">
        <f ca="1">IFERROR(M122+M135,"")</f>
        <v>0.51944444444444449</v>
      </c>
      <c r="N136" s="40" t="s">
        <v>222</v>
      </c>
      <c r="O136" s="43">
        <f>IFERROR(O122+O135,"")</f>
        <v>432380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216</v>
      </c>
      <c r="F137" s="27">
        <v>18</v>
      </c>
      <c r="G137" s="34">
        <f t="shared" ref="G137:G148" si="30">IF(F137="","",IF(E137="PC 17",F137*4.2,IF(E137="PC 19",F137*5,"")))</f>
        <v>90</v>
      </c>
      <c r="H137" s="33" t="s">
        <v>20</v>
      </c>
      <c r="I137" s="33" t="s">
        <v>47</v>
      </c>
      <c r="J137" s="33" t="s">
        <v>28</v>
      </c>
      <c r="K137" s="29">
        <v>0.3298611111111111</v>
      </c>
      <c r="L137" s="29">
        <v>0.33194444444444443</v>
      </c>
      <c r="M137" s="35">
        <f t="shared" ref="M137:M148" ca="1" si="31">IFERROR(IF(K137="","",IF(L137="",MOD(NOW()-K137,1),IF(L137&gt;=K137,L137-K137,L137+1-K137))),"")</f>
        <v>2.0833333333333259E-3</v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216</v>
      </c>
      <c r="F138" s="27">
        <v>18</v>
      </c>
      <c r="G138" s="28">
        <f t="shared" si="30"/>
        <v>90</v>
      </c>
      <c r="H138" s="26" t="s">
        <v>20</v>
      </c>
      <c r="I138" s="26" t="s">
        <v>47</v>
      </c>
      <c r="J138" s="26" t="s">
        <v>191</v>
      </c>
      <c r="K138" s="29">
        <v>0.44166666666666665</v>
      </c>
      <c r="L138" s="29">
        <v>0.45624999999999999</v>
      </c>
      <c r="M138" s="30">
        <f t="shared" ca="1" si="31"/>
        <v>1.4583333333333337E-2</v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216</v>
      </c>
      <c r="F139" s="27">
        <v>20</v>
      </c>
      <c r="G139" s="34">
        <f t="shared" si="30"/>
        <v>100</v>
      </c>
      <c r="H139" s="33" t="s">
        <v>20</v>
      </c>
      <c r="I139" s="33" t="s">
        <v>47</v>
      </c>
      <c r="J139" s="33" t="s">
        <v>28</v>
      </c>
      <c r="K139" s="29">
        <v>0.47499999999999998</v>
      </c>
      <c r="L139" s="29">
        <v>0.49375000000000002</v>
      </c>
      <c r="M139" s="35">
        <f t="shared" ca="1" si="31"/>
        <v>1.8750000000000044E-2</v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216</v>
      </c>
      <c r="F140" s="27">
        <v>12</v>
      </c>
      <c r="G140" s="28">
        <f t="shared" si="30"/>
        <v>60</v>
      </c>
      <c r="H140" s="26" t="s">
        <v>19</v>
      </c>
      <c r="I140" s="26" t="s">
        <v>47</v>
      </c>
      <c r="J140" s="26" t="s">
        <v>27</v>
      </c>
      <c r="K140" s="29">
        <v>0.71597222222222223</v>
      </c>
      <c r="L140" s="29">
        <v>0.73611111111111116</v>
      </c>
      <c r="M140" s="30">
        <f t="shared" ca="1" si="31"/>
        <v>2.0138888888888928E-2</v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216</v>
      </c>
      <c r="F141" s="27">
        <v>6</v>
      </c>
      <c r="G141" s="34">
        <f t="shared" si="30"/>
        <v>30</v>
      </c>
      <c r="H141" s="33" t="s">
        <v>16</v>
      </c>
      <c r="I141" s="33"/>
      <c r="J141" s="33" t="s">
        <v>81</v>
      </c>
      <c r="K141" s="29">
        <v>0.71597222222222223</v>
      </c>
      <c r="L141" s="29" t="s">
        <v>273</v>
      </c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216</v>
      </c>
      <c r="F142" s="27">
        <v>7</v>
      </c>
      <c r="G142" s="28">
        <f t="shared" si="30"/>
        <v>35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216</v>
      </c>
      <c r="F143" s="27">
        <v>10</v>
      </c>
      <c r="G143" s="34">
        <f t="shared" si="30"/>
        <v>50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38</v>
      </c>
      <c r="E144" s="62" t="s">
        <v>216</v>
      </c>
      <c r="F144" s="27">
        <v>10</v>
      </c>
      <c r="G144" s="28">
        <f t="shared" si="30"/>
        <v>50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38</v>
      </c>
      <c r="E145" s="62" t="s">
        <v>216</v>
      </c>
      <c r="F145" s="27">
        <v>2</v>
      </c>
      <c r="G145" s="34">
        <f t="shared" si="30"/>
        <v>10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38</v>
      </c>
      <c r="E146" s="62" t="s">
        <v>216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38</v>
      </c>
      <c r="E147" s="62" t="s">
        <v>216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38</v>
      </c>
      <c r="E148" s="62" t="s">
        <v>216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1" t="s">
        <v>218</v>
      </c>
      <c r="B149" s="102"/>
      <c r="C149" s="102"/>
      <c r="D149" s="102"/>
      <c r="E149" s="103">
        <f>SUM(E137:E148)</f>
        <v>0</v>
      </c>
      <c r="F149" s="36">
        <f>SUM(F137:F148)</f>
        <v>118</v>
      </c>
      <c r="G149" s="36">
        <f>SUM(G137:G148)</f>
        <v>590</v>
      </c>
      <c r="H149" s="37"/>
      <c r="I149" s="37"/>
      <c r="J149" s="37"/>
      <c r="K149" s="37"/>
      <c r="L149" s="37"/>
      <c r="M149" s="38">
        <f ca="1">IFERROR(SUM(M137:M148),"")</f>
        <v>5.5555555555555636E-2</v>
      </c>
      <c r="N149" s="36" t="s">
        <v>219</v>
      </c>
      <c r="O149" s="39">
        <v>584680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216</v>
      </c>
      <c r="F150" s="27">
        <v>8</v>
      </c>
      <c r="G150" s="28">
        <f t="shared" ref="G150:G161" si="33">IF(F150="","",IF(E150="PC 17",F150*4.2,IF(E150="PC 19",F150*5,"")))</f>
        <v>40</v>
      </c>
      <c r="H150" s="26" t="s">
        <v>20</v>
      </c>
      <c r="I150" s="26" t="s">
        <v>47</v>
      </c>
      <c r="J150" s="26" t="s">
        <v>56</v>
      </c>
      <c r="K150" s="29">
        <v>6.25E-2</v>
      </c>
      <c r="L150" s="29">
        <v>7.6388888888888895E-2</v>
      </c>
      <c r="M150" s="30">
        <f t="shared" ref="M150:M161" ca="1" si="34">IFERROR(IF(K150="","",IF(L150="",MOD(NOW()-K150,1),IF(L150&gt;=K150,L150-K150,L150+1-K150))),"")</f>
        <v>1.3888888888888895E-2</v>
      </c>
      <c r="N150" s="27" t="s">
        <v>274</v>
      </c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216</v>
      </c>
      <c r="F151" s="27">
        <v>10</v>
      </c>
      <c r="G151" s="34">
        <f t="shared" si="33"/>
        <v>50</v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236</v>
      </c>
      <c r="F152" s="27">
        <v>8</v>
      </c>
      <c r="G152" s="28">
        <f t="shared" si="33"/>
        <v>33.6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251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236</v>
      </c>
      <c r="F153" s="27">
        <v>17</v>
      </c>
      <c r="G153" s="34">
        <f t="shared" si="33"/>
        <v>71.400000000000006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236</v>
      </c>
      <c r="F154" s="27">
        <v>4</v>
      </c>
      <c r="G154" s="28">
        <f t="shared" si="33"/>
        <v>16.8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236</v>
      </c>
      <c r="F155" s="27">
        <v>9</v>
      </c>
      <c r="G155" s="34">
        <f t="shared" si="33"/>
        <v>37.800000000000004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236</v>
      </c>
      <c r="F156" s="27">
        <v>12</v>
      </c>
      <c r="G156" s="28">
        <f t="shared" si="33"/>
        <v>50.400000000000006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236</v>
      </c>
      <c r="F157" s="27">
        <v>6</v>
      </c>
      <c r="G157" s="34">
        <f t="shared" si="33"/>
        <v>25.200000000000003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236</v>
      </c>
      <c r="F158" s="27">
        <v>0</v>
      </c>
      <c r="G158" s="28">
        <f t="shared" si="33"/>
        <v>0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236</v>
      </c>
      <c r="F159" s="27">
        <v>6</v>
      </c>
      <c r="G159" s="34">
        <f t="shared" si="33"/>
        <v>25.200000000000003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236</v>
      </c>
      <c r="F160" s="27">
        <v>9</v>
      </c>
      <c r="G160" s="28">
        <f t="shared" si="33"/>
        <v>37.800000000000004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236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1" t="s">
        <v>220</v>
      </c>
      <c r="B162" s="102"/>
      <c r="C162" s="102"/>
      <c r="D162" s="102"/>
      <c r="E162" s="103">
        <f>SUM(E150:E161)</f>
        <v>0</v>
      </c>
      <c r="F162" s="36">
        <f>SUM(F150:F161)</f>
        <v>89</v>
      </c>
      <c r="G162" s="36">
        <f>SUM(G150:G161)</f>
        <v>388.2</v>
      </c>
      <c r="H162" s="37"/>
      <c r="I162" s="37"/>
      <c r="J162" s="37"/>
      <c r="K162" s="37"/>
      <c r="L162" s="37"/>
      <c r="M162" s="38">
        <f ca="1">IFERROR(SUM(M150:M161),"")</f>
        <v>1.3888888888888895E-2</v>
      </c>
      <c r="N162" s="36" t="s">
        <v>219</v>
      </c>
      <c r="O162" s="39">
        <v>337120</v>
      </c>
    </row>
    <row r="163" spans="1:15" ht="18" customHeight="1">
      <c r="A163" s="98" t="s">
        <v>221</v>
      </c>
      <c r="B163" s="99"/>
      <c r="C163" s="99"/>
      <c r="D163" s="99"/>
      <c r="E163" s="100">
        <f>E149+E162</f>
        <v>0</v>
      </c>
      <c r="F163" s="40">
        <f>F149+F162</f>
        <v>207</v>
      </c>
      <c r="G163" s="40">
        <f>G149+G162</f>
        <v>978.2</v>
      </c>
      <c r="H163" s="41"/>
      <c r="I163" s="41"/>
      <c r="J163" s="41"/>
      <c r="K163" s="41"/>
      <c r="L163" s="41"/>
      <c r="M163" s="42">
        <f ca="1">IFERROR(M149+M162,"")</f>
        <v>6.9444444444444531E-2</v>
      </c>
      <c r="N163" s="40" t="s">
        <v>222</v>
      </c>
      <c r="O163" s="43">
        <f>IFERROR(O149+O162,"")</f>
        <v>921800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38</v>
      </c>
      <c r="E164" s="59" t="s">
        <v>216</v>
      </c>
      <c r="F164" s="27">
        <v>3</v>
      </c>
      <c r="G164" s="28">
        <f t="shared" ref="G164:G175" si="36">IF(F164="","",IF(E164="PC 17",F164*4.2,IF(E164="PC 19",F164*5,"")))</f>
        <v>15</v>
      </c>
      <c r="H164" s="26" t="s">
        <v>20</v>
      </c>
      <c r="I164" s="26" t="s">
        <v>47</v>
      </c>
      <c r="J164" s="26" t="s">
        <v>51</v>
      </c>
      <c r="K164" s="29">
        <v>0.42916666666666664</v>
      </c>
      <c r="L164" s="29">
        <v>0.43333333333333335</v>
      </c>
      <c r="M164" s="30">
        <f t="shared" ref="M164:M175" ca="1" si="37">IFERROR(IF(K164="","",IF(L164="",MOD(NOW()-K164,1),IF(L164&gt;=K164,L164-K164,L164+1-K164))),"")</f>
        <v>4.1666666666667074E-3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59" t="s">
        <v>236</v>
      </c>
      <c r="F165" s="27">
        <v>6</v>
      </c>
      <c r="G165" s="34">
        <f t="shared" si="36"/>
        <v>25.200000000000003</v>
      </c>
      <c r="H165" s="33" t="s">
        <v>20</v>
      </c>
      <c r="I165" s="33" t="s">
        <v>47</v>
      </c>
      <c r="J165" s="33" t="s">
        <v>51</v>
      </c>
      <c r="K165" s="29">
        <v>0.4513888888888889</v>
      </c>
      <c r="L165" s="29">
        <v>0.4548611111111111</v>
      </c>
      <c r="M165" s="35">
        <f t="shared" ca="1" si="37"/>
        <v>3.4722222222222099E-3</v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236</v>
      </c>
      <c r="F166" s="27">
        <v>10</v>
      </c>
      <c r="G166" s="28">
        <f t="shared" si="36"/>
        <v>42</v>
      </c>
      <c r="H166" s="26" t="s">
        <v>18</v>
      </c>
      <c r="I166" s="26" t="s">
        <v>47</v>
      </c>
      <c r="J166" s="26" t="s">
        <v>126</v>
      </c>
      <c r="K166" s="29">
        <v>0.45694444444444443</v>
      </c>
      <c r="L166" s="29">
        <v>0.47222222222222221</v>
      </c>
      <c r="M166" s="30" t="s">
        <v>275</v>
      </c>
      <c r="N166" s="27" t="s">
        <v>276</v>
      </c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38</v>
      </c>
      <c r="E167" s="59" t="s">
        <v>236</v>
      </c>
      <c r="F167" s="27">
        <v>6</v>
      </c>
      <c r="G167" s="34">
        <f t="shared" si="36"/>
        <v>25.200000000000003</v>
      </c>
      <c r="H167" s="33" t="s">
        <v>20</v>
      </c>
      <c r="I167" s="33" t="s">
        <v>47</v>
      </c>
      <c r="J167" s="33" t="s">
        <v>51</v>
      </c>
      <c r="K167" s="29">
        <v>0.50138888888888888</v>
      </c>
      <c r="L167" s="29">
        <v>0.50416666666666665</v>
      </c>
      <c r="M167" s="35">
        <f t="shared" ca="1" si="37"/>
        <v>2.7777777777777679E-3</v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38</v>
      </c>
      <c r="E168" s="59" t="s">
        <v>236</v>
      </c>
      <c r="F168" s="27">
        <v>12</v>
      </c>
      <c r="G168" s="28">
        <f t="shared" si="36"/>
        <v>50.400000000000006</v>
      </c>
      <c r="H168" s="26" t="s">
        <v>20</v>
      </c>
      <c r="I168" s="26" t="s">
        <v>47</v>
      </c>
      <c r="J168" s="26" t="s">
        <v>51</v>
      </c>
      <c r="K168" s="29">
        <v>0.56805555555555554</v>
      </c>
      <c r="L168" s="29">
        <v>0.58125000000000004</v>
      </c>
      <c r="M168" s="30">
        <f t="shared" ca="1" si="37"/>
        <v>1.3194444444444509E-2</v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38</v>
      </c>
      <c r="E169" s="59" t="s">
        <v>236</v>
      </c>
      <c r="F169" s="27">
        <v>5</v>
      </c>
      <c r="G169" s="34">
        <f t="shared" si="36"/>
        <v>21</v>
      </c>
      <c r="H169" s="33" t="s">
        <v>20</v>
      </c>
      <c r="I169" s="33" t="s">
        <v>47</v>
      </c>
      <c r="J169" s="33" t="s">
        <v>51</v>
      </c>
      <c r="K169" s="29">
        <v>0.61944444444444446</v>
      </c>
      <c r="L169" s="29">
        <v>0.62361111111111112</v>
      </c>
      <c r="M169" s="35">
        <f t="shared" ca="1" si="37"/>
        <v>4.1666666666666519E-3</v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38</v>
      </c>
      <c r="E170" s="59" t="s">
        <v>236</v>
      </c>
      <c r="F170" s="27">
        <v>1</v>
      </c>
      <c r="G170" s="28">
        <f t="shared" si="36"/>
        <v>4.2</v>
      </c>
      <c r="H170" s="26" t="s">
        <v>20</v>
      </c>
      <c r="I170" s="26" t="s">
        <v>47</v>
      </c>
      <c r="J170" s="26" t="s">
        <v>51</v>
      </c>
      <c r="K170" s="29">
        <v>0.62638888888888888</v>
      </c>
      <c r="L170" s="29">
        <v>0.63124999999999998</v>
      </c>
      <c r="M170" s="30">
        <f t="shared" ca="1" si="37"/>
        <v>4.8611111111110938E-3</v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38</v>
      </c>
      <c r="E171" s="59" t="s">
        <v>236</v>
      </c>
      <c r="F171" s="27">
        <v>5</v>
      </c>
      <c r="G171" s="34">
        <f t="shared" si="36"/>
        <v>21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38</v>
      </c>
      <c r="E172" s="59" t="s">
        <v>236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38</v>
      </c>
      <c r="E173" s="59" t="s">
        <v>236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38</v>
      </c>
      <c r="E174" s="59" t="s">
        <v>236</v>
      </c>
      <c r="F174" s="27">
        <v>10</v>
      </c>
      <c r="G174" s="28">
        <f t="shared" si="36"/>
        <v>42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38</v>
      </c>
      <c r="E175" s="59" t="s">
        <v>236</v>
      </c>
      <c r="F175" s="27">
        <v>6</v>
      </c>
      <c r="G175" s="34">
        <f t="shared" si="36"/>
        <v>25.200000000000003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1" t="s">
        <v>218</v>
      </c>
      <c r="B176" s="102"/>
      <c r="C176" s="102"/>
      <c r="D176" s="102"/>
      <c r="E176" s="103">
        <f>SUM(E164:E175)</f>
        <v>0</v>
      </c>
      <c r="F176" s="36">
        <f>SUM(F164:F175)</f>
        <v>84</v>
      </c>
      <c r="G176" s="36">
        <f>SUM(G164:G175)</f>
        <v>355.2</v>
      </c>
      <c r="H176" s="37"/>
      <c r="I176" s="37"/>
      <c r="J176" s="37"/>
      <c r="K176" s="37"/>
      <c r="L176" s="37"/>
      <c r="M176" s="38">
        <f ca="1">IFERROR(SUM(M164:M175),"")</f>
        <v>3.2638888888888939E-2</v>
      </c>
      <c r="N176" s="36" t="s">
        <v>219</v>
      </c>
      <c r="O176" s="39">
        <v>190950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236</v>
      </c>
      <c r="F177" s="27">
        <v>18</v>
      </c>
      <c r="G177" s="34">
        <f t="shared" ref="G177:G188" si="39">IF(F177="","",IF(E177="PC 17",F177*4.2,IF(E177="PC 19",F177*5,"")))</f>
        <v>75.600000000000009</v>
      </c>
      <c r="H177" s="33" t="s">
        <v>20</v>
      </c>
      <c r="I177" s="33" t="s">
        <v>47</v>
      </c>
      <c r="J177" s="33" t="s">
        <v>51</v>
      </c>
      <c r="K177" s="29">
        <v>0.8125</v>
      </c>
      <c r="L177" s="29">
        <v>0.81597222222222221</v>
      </c>
      <c r="M177" s="35">
        <f t="shared" ref="M177:M188" ca="1" si="40">IFERROR(IF(K177="","",IF(L177="",MOD(NOW()-K177,1),IF(L177&gt;=K177,L177-K177,L177+1-K177))),"")</f>
        <v>3.4722222222222099E-3</v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236</v>
      </c>
      <c r="F178" s="27">
        <v>3</v>
      </c>
      <c r="G178" s="28">
        <f t="shared" si="39"/>
        <v>12.600000000000001</v>
      </c>
      <c r="H178" s="26" t="s">
        <v>19</v>
      </c>
      <c r="I178" s="26" t="s">
        <v>47</v>
      </c>
      <c r="J178" s="26" t="s">
        <v>27</v>
      </c>
      <c r="K178" s="29">
        <v>0.21041666666666667</v>
      </c>
      <c r="L178" s="29">
        <v>0.22361111111111112</v>
      </c>
      <c r="M178" s="30">
        <f t="shared" ca="1" si="40"/>
        <v>1.3194444444444453E-2</v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236</v>
      </c>
      <c r="F179" s="27">
        <v>11</v>
      </c>
      <c r="G179" s="34">
        <f t="shared" si="39"/>
        <v>46.2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236</v>
      </c>
      <c r="F180" s="27">
        <v>18</v>
      </c>
      <c r="G180" s="28">
        <f t="shared" si="39"/>
        <v>75.600000000000009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236</v>
      </c>
      <c r="F181" s="27">
        <v>11</v>
      </c>
      <c r="G181" s="34">
        <f>IF(F181="","",IF(E181="PC 17",F181*4.2,IF(E181="PC 19",F181*5,"")))</f>
        <v>46.2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236</v>
      </c>
      <c r="F182" s="27">
        <v>10</v>
      </c>
      <c r="G182" s="28">
        <f t="shared" si="39"/>
        <v>42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236</v>
      </c>
      <c r="F183" s="27">
        <v>11</v>
      </c>
      <c r="G183" s="34">
        <f t="shared" si="39"/>
        <v>46.2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236</v>
      </c>
      <c r="F184" s="27">
        <v>16</v>
      </c>
      <c r="G184" s="28">
        <f t="shared" si="39"/>
        <v>67.2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236</v>
      </c>
      <c r="F185" s="27">
        <v>13</v>
      </c>
      <c r="G185" s="34">
        <f t="shared" si="39"/>
        <v>54.6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236</v>
      </c>
      <c r="F186" s="27">
        <v>13</v>
      </c>
      <c r="G186" s="28">
        <f t="shared" si="39"/>
        <v>54.6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236</v>
      </c>
      <c r="F187" s="27">
        <v>5</v>
      </c>
      <c r="G187" s="34">
        <f t="shared" si="39"/>
        <v>21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236</v>
      </c>
      <c r="F188" s="27">
        <v>2</v>
      </c>
      <c r="G188" s="28">
        <f t="shared" si="39"/>
        <v>8.4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1" t="s">
        <v>220</v>
      </c>
      <c r="B189" s="102"/>
      <c r="C189" s="102"/>
      <c r="D189" s="102"/>
      <c r="E189" s="103">
        <f>SUM(E177:E188)</f>
        <v>0</v>
      </c>
      <c r="F189" s="36">
        <f>SUM(F177:F188)</f>
        <v>131</v>
      </c>
      <c r="G189" s="36">
        <f>SUM(G177:G188)</f>
        <v>550.20000000000005</v>
      </c>
      <c r="H189" s="37"/>
      <c r="I189" s="37"/>
      <c r="J189" s="37"/>
      <c r="K189" s="37"/>
      <c r="L189" s="37"/>
      <c r="M189" s="38">
        <f ca="1">IFERROR(SUM(M177:M188),"")</f>
        <v>1.6666666666666663E-2</v>
      </c>
      <c r="N189" s="36" t="s">
        <v>219</v>
      </c>
      <c r="O189" s="39">
        <v>747210</v>
      </c>
    </row>
    <row r="190" spans="1:15" ht="18" customHeight="1">
      <c r="A190" s="98" t="s">
        <v>221</v>
      </c>
      <c r="B190" s="99"/>
      <c r="C190" s="99"/>
      <c r="D190" s="99"/>
      <c r="E190" s="100">
        <f>E176+E189</f>
        <v>0</v>
      </c>
      <c r="F190" s="40">
        <f>F176+F189</f>
        <v>215</v>
      </c>
      <c r="G190" s="40">
        <f>G176+G189</f>
        <v>905.40000000000009</v>
      </c>
      <c r="H190" s="41"/>
      <c r="I190" s="41"/>
      <c r="J190" s="41"/>
      <c r="K190" s="41"/>
      <c r="L190" s="41"/>
      <c r="M190" s="42">
        <f ca="1">IFERROR(M176+M189,"")</f>
        <v>4.9305555555555602E-2</v>
      </c>
      <c r="N190" s="40" t="s">
        <v>222</v>
      </c>
      <c r="O190" s="43">
        <f>IFERROR(O176+O189,"")</f>
        <v>938160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22</v>
      </c>
      <c r="E191" s="62" t="s">
        <v>236</v>
      </c>
      <c r="F191" s="27">
        <v>5</v>
      </c>
      <c r="G191" s="34">
        <f t="shared" ref="G191:G202" si="42">IF(F191="","",IF(E191="PC 17",F191*4.2,IF(E191="PC 19",F191*5,"")))</f>
        <v>21</v>
      </c>
      <c r="H191" s="33" t="s">
        <v>18</v>
      </c>
      <c r="I191" s="33" t="s">
        <v>134</v>
      </c>
      <c r="J191" s="33" t="s">
        <v>95</v>
      </c>
      <c r="K191" s="29">
        <v>0.33194444444444443</v>
      </c>
      <c r="L191" s="29">
        <v>0.35347222222222224</v>
      </c>
      <c r="M191" s="35">
        <f t="shared" ref="M191:M202" ca="1" si="43">IFERROR(IF(K191="","",IF(L191="",MOD(NOW()-K191,1),IF(L191&gt;=K191,L191-K191,L191+1-K191))),"")</f>
        <v>2.1527777777777812E-2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236</v>
      </c>
      <c r="F192" s="27">
        <v>5</v>
      </c>
      <c r="G192" s="28">
        <f t="shared" si="42"/>
        <v>21</v>
      </c>
      <c r="H192" s="26" t="s">
        <v>20</v>
      </c>
      <c r="I192" s="26" t="s">
        <v>47</v>
      </c>
      <c r="J192" s="26" t="s">
        <v>167</v>
      </c>
      <c r="K192" s="29">
        <v>0.38263888888888886</v>
      </c>
      <c r="L192" s="29">
        <v>0.4826388888888889</v>
      </c>
      <c r="M192" s="30">
        <f t="shared" ca="1" si="43"/>
        <v>0.10000000000000003</v>
      </c>
      <c r="N192" s="27" t="s">
        <v>277</v>
      </c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236</v>
      </c>
      <c r="F193" s="27">
        <v>2</v>
      </c>
      <c r="G193" s="34">
        <f t="shared" si="42"/>
        <v>8.4</v>
      </c>
      <c r="H193" s="33" t="s">
        <v>20</v>
      </c>
      <c r="I193" s="33" t="s">
        <v>47</v>
      </c>
      <c r="J193" s="33" t="s">
        <v>56</v>
      </c>
      <c r="K193" s="29">
        <v>0.61388888888888893</v>
      </c>
      <c r="L193" s="29">
        <v>0.62569444444444444</v>
      </c>
      <c r="M193" s="35">
        <f t="shared" ca="1" si="43"/>
        <v>1.1805555555555514E-2</v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236</v>
      </c>
      <c r="F194" s="27">
        <v>0</v>
      </c>
      <c r="G194" s="28">
        <f t="shared" si="42"/>
        <v>0</v>
      </c>
      <c r="H194" s="26" t="s">
        <v>20</v>
      </c>
      <c r="I194" s="26" t="s">
        <v>47</v>
      </c>
      <c r="J194" s="26" t="s">
        <v>160</v>
      </c>
      <c r="K194" s="29">
        <v>0.75486111111111109</v>
      </c>
      <c r="L194" s="29">
        <v>0.77777777777777779</v>
      </c>
      <c r="M194" s="30">
        <f t="shared" ca="1" si="43"/>
        <v>2.2916666666666696E-2</v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236</v>
      </c>
      <c r="F195" s="27">
        <v>4</v>
      </c>
      <c r="G195" s="34">
        <f t="shared" si="42"/>
        <v>16.8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236</v>
      </c>
      <c r="F196" s="27">
        <v>14</v>
      </c>
      <c r="G196" s="28">
        <f t="shared" si="42"/>
        <v>58.800000000000004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236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236</v>
      </c>
      <c r="F198" s="27">
        <v>7</v>
      </c>
      <c r="G198" s="28">
        <f t="shared" si="42"/>
        <v>29.400000000000002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236</v>
      </c>
      <c r="F199" s="27">
        <v>15</v>
      </c>
      <c r="G199" s="34">
        <f t="shared" si="42"/>
        <v>63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236</v>
      </c>
      <c r="F200" s="27">
        <v>12</v>
      </c>
      <c r="G200" s="28">
        <f t="shared" si="42"/>
        <v>50.400000000000006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236</v>
      </c>
      <c r="F201" s="27">
        <v>6</v>
      </c>
      <c r="G201" s="34">
        <f t="shared" si="42"/>
        <v>25.200000000000003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236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1" t="s">
        <v>218</v>
      </c>
      <c r="B203" s="102"/>
      <c r="C203" s="102"/>
      <c r="D203" s="102"/>
      <c r="E203" s="103">
        <f>SUM(E191:E202)</f>
        <v>0</v>
      </c>
      <c r="F203" s="36">
        <f>SUM(F191:F202)</f>
        <v>90</v>
      </c>
      <c r="G203" s="36">
        <f>SUM(G191:G202)</f>
        <v>377.99999999999994</v>
      </c>
      <c r="H203" s="37"/>
      <c r="I203" s="37"/>
      <c r="J203" s="37"/>
      <c r="K203" s="37"/>
      <c r="L203" s="37"/>
      <c r="M203" s="38">
        <f ca="1">IFERROR(SUM(M191:M202),"")</f>
        <v>0.15625000000000006</v>
      </c>
      <c r="N203" s="36" t="s">
        <v>219</v>
      </c>
      <c r="O203" s="39">
        <v>324840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236</v>
      </c>
      <c r="F204" s="27">
        <v>6</v>
      </c>
      <c r="G204" s="28">
        <f t="shared" ref="G204:G215" si="45">IF(F204="","",IF(E204="PC 17",F204*4.2,IF(E204="PC 19",F204*5,"")))</f>
        <v>25.200000000000003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216</v>
      </c>
      <c r="F205" s="27">
        <v>13</v>
      </c>
      <c r="G205" s="34">
        <f t="shared" si="45"/>
        <v>65</v>
      </c>
      <c r="H205" s="33" t="s">
        <v>19</v>
      </c>
      <c r="I205" s="33" t="s">
        <v>47</v>
      </c>
      <c r="J205" s="33" t="s">
        <v>78</v>
      </c>
      <c r="K205" s="29">
        <v>9.0277777777777776E-2</v>
      </c>
      <c r="L205" s="29">
        <v>0.1111111111111111</v>
      </c>
      <c r="M205" s="35">
        <f t="shared" ca="1" si="46"/>
        <v>2.0833333333333329E-2</v>
      </c>
      <c r="N205" s="27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236</v>
      </c>
      <c r="F206" s="27">
        <v>15</v>
      </c>
      <c r="G206" s="28">
        <f t="shared" si="45"/>
        <v>63</v>
      </c>
      <c r="H206" s="26" t="s">
        <v>19</v>
      </c>
      <c r="I206" s="26" t="s">
        <v>47</v>
      </c>
      <c r="J206" s="26" t="s">
        <v>27</v>
      </c>
      <c r="K206" s="29">
        <v>0.24652777777777779</v>
      </c>
      <c r="L206" s="29">
        <v>0.25694444444444442</v>
      </c>
      <c r="M206" s="30">
        <f t="shared" ca="1" si="46"/>
        <v>1.041666666666663E-2</v>
      </c>
      <c r="N206" s="27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236</v>
      </c>
      <c r="F207" s="27">
        <v>9</v>
      </c>
      <c r="G207" s="34">
        <f t="shared" si="45"/>
        <v>37.800000000000004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236</v>
      </c>
      <c r="F208" s="27">
        <v>7</v>
      </c>
      <c r="G208" s="28">
        <f t="shared" si="45"/>
        <v>29.400000000000002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236</v>
      </c>
      <c r="F209" s="27">
        <v>8</v>
      </c>
      <c r="G209" s="34">
        <f t="shared" si="45"/>
        <v>33.6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236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236</v>
      </c>
      <c r="F211" s="27">
        <v>11</v>
      </c>
      <c r="G211" s="34">
        <f t="shared" si="45"/>
        <v>46.2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236</v>
      </c>
      <c r="F212" s="27">
        <v>10</v>
      </c>
      <c r="G212" s="28">
        <f t="shared" si="45"/>
        <v>42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236</v>
      </c>
      <c r="F213" s="27">
        <v>2</v>
      </c>
      <c r="G213" s="34">
        <f t="shared" si="45"/>
        <v>8.4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236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236</v>
      </c>
      <c r="F215" s="27">
        <v>0</v>
      </c>
      <c r="G215" s="34">
        <f t="shared" si="45"/>
        <v>0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101" t="s">
        <v>220</v>
      </c>
      <c r="B216" s="102"/>
      <c r="C216" s="102"/>
      <c r="D216" s="102"/>
      <c r="E216" s="103">
        <f>SUM(E204:E215)</f>
        <v>0</v>
      </c>
      <c r="F216" s="36">
        <f>SUM(F204:F215)</f>
        <v>99</v>
      </c>
      <c r="G216" s="36">
        <f>SUM(G204:G215)</f>
        <v>426.2</v>
      </c>
      <c r="H216" s="37"/>
      <c r="I216" s="37"/>
      <c r="J216" s="37"/>
      <c r="K216" s="37"/>
      <c r="L216" s="37"/>
      <c r="M216" s="38">
        <f ca="1">IFERROR(SUM(M204:M215),"")</f>
        <v>6.5972222222222168E-2</v>
      </c>
      <c r="N216" s="36" t="s">
        <v>219</v>
      </c>
      <c r="O216" s="39">
        <v>468430</v>
      </c>
    </row>
    <row r="217" spans="1:15" ht="18" customHeight="1">
      <c r="A217" s="98" t="s">
        <v>221</v>
      </c>
      <c r="B217" s="99"/>
      <c r="C217" s="99"/>
      <c r="D217" s="99"/>
      <c r="E217" s="100">
        <f>E203+E216</f>
        <v>0</v>
      </c>
      <c r="F217" s="40">
        <f>F203+F216</f>
        <v>189</v>
      </c>
      <c r="G217" s="40">
        <f>G203+G216</f>
        <v>804.19999999999993</v>
      </c>
      <c r="H217" s="41"/>
      <c r="I217" s="41"/>
      <c r="J217" s="41"/>
      <c r="K217" s="41"/>
      <c r="L217" s="41"/>
      <c r="M217" s="42">
        <f ca="1">IFERROR(M203+M216,"")</f>
        <v>0.22222222222222221</v>
      </c>
      <c r="N217" s="40" t="s">
        <v>222</v>
      </c>
      <c r="O217" s="48">
        <f>IFERROR(O203+O216,"")</f>
        <v>793270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236</v>
      </c>
      <c r="F218" s="27">
        <v>14</v>
      </c>
      <c r="G218" s="28">
        <f t="shared" ref="G218:G229" si="48">IF(F218="","",IF(E218="PC 17",F218*4.2,IF(E218="PC 19",F218*5,"")))</f>
        <v>58.800000000000004</v>
      </c>
      <c r="H218" s="26" t="s">
        <v>20</v>
      </c>
      <c r="I218" s="26" t="s">
        <v>47</v>
      </c>
      <c r="J218" s="26" t="s">
        <v>51</v>
      </c>
      <c r="K218" s="29">
        <v>0.63888888888888884</v>
      </c>
      <c r="L218" s="29">
        <v>0.66041666666666665</v>
      </c>
      <c r="M218" s="30">
        <f t="shared" ref="M218:M229" ca="1" si="49">IFERROR(IF(K218="","",IF(L218="",MOD(NOW()-K218,1),IF(L218&gt;=K218,L218-K218,L218+1-K218))),"")</f>
        <v>2.1527777777777812E-2</v>
      </c>
      <c r="N218" s="27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236</v>
      </c>
      <c r="F219" s="27">
        <v>11</v>
      </c>
      <c r="G219" s="34">
        <f t="shared" si="48"/>
        <v>46.2</v>
      </c>
      <c r="H219" s="33" t="s">
        <v>20</v>
      </c>
      <c r="I219" s="33" t="s">
        <v>47</v>
      </c>
      <c r="J219" s="33" t="s">
        <v>51</v>
      </c>
      <c r="K219" s="29">
        <v>0.6694444444444444</v>
      </c>
      <c r="L219" s="29">
        <v>0.6743055555555556</v>
      </c>
      <c r="M219" s="35">
        <f t="shared" ca="1" si="49"/>
        <v>4.8611111111112049E-3</v>
      </c>
      <c r="N219" s="27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236</v>
      </c>
      <c r="F220" s="27">
        <v>4</v>
      </c>
      <c r="G220" s="28">
        <f t="shared" si="48"/>
        <v>16.8</v>
      </c>
      <c r="H220" s="26" t="s">
        <v>20</v>
      </c>
      <c r="I220" s="26" t="s">
        <v>47</v>
      </c>
      <c r="J220" s="26" t="s">
        <v>51</v>
      </c>
      <c r="K220" s="29">
        <v>0.67638888888888893</v>
      </c>
      <c r="L220" s="29">
        <v>0.68194444444444446</v>
      </c>
      <c r="M220" s="30">
        <f t="shared" ca="1" si="49"/>
        <v>5.5555555555555358E-3</v>
      </c>
      <c r="N220" s="27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236</v>
      </c>
      <c r="F221" s="27">
        <v>10</v>
      </c>
      <c r="G221" s="34">
        <f t="shared" si="48"/>
        <v>42</v>
      </c>
      <c r="H221" s="33" t="s">
        <v>20</v>
      </c>
      <c r="I221" s="33" t="s">
        <v>47</v>
      </c>
      <c r="J221" s="33" t="s">
        <v>51</v>
      </c>
      <c r="K221" s="29">
        <v>0.74930555555555556</v>
      </c>
      <c r="L221" s="29">
        <v>0.75277777777777777</v>
      </c>
      <c r="M221" s="35">
        <f t="shared" ca="1" si="49"/>
        <v>3.4722222222222099E-3</v>
      </c>
      <c r="N221" s="27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236</v>
      </c>
      <c r="F222" s="27">
        <v>5</v>
      </c>
      <c r="G222" s="28">
        <f t="shared" si="48"/>
        <v>21</v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236</v>
      </c>
      <c r="F223" s="27">
        <v>11</v>
      </c>
      <c r="G223" s="34">
        <f t="shared" si="48"/>
        <v>46.2</v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38</v>
      </c>
      <c r="E224" s="59" t="s">
        <v>236</v>
      </c>
      <c r="F224" s="27">
        <v>15</v>
      </c>
      <c r="G224" s="28">
        <f t="shared" si="48"/>
        <v>63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38</v>
      </c>
      <c r="E225" s="59" t="s">
        <v>236</v>
      </c>
      <c r="F225" s="27">
        <v>10</v>
      </c>
      <c r="G225" s="34">
        <f t="shared" si="48"/>
        <v>42</v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38</v>
      </c>
      <c r="E226" s="59" t="s">
        <v>236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38</v>
      </c>
      <c r="E227" s="59" t="s">
        <v>236</v>
      </c>
      <c r="F227" s="27">
        <v>0</v>
      </c>
      <c r="G227" s="34">
        <f t="shared" si="48"/>
        <v>0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38</v>
      </c>
      <c r="E228" s="59" t="s">
        <v>236</v>
      </c>
      <c r="F228" s="27">
        <v>10</v>
      </c>
      <c r="G228" s="28">
        <f t="shared" si="48"/>
        <v>42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38</v>
      </c>
      <c r="E229" s="59" t="s">
        <v>236</v>
      </c>
      <c r="F229" s="27">
        <v>12</v>
      </c>
      <c r="G229" s="34">
        <f t="shared" si="48"/>
        <v>50.400000000000006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101" t="s">
        <v>218</v>
      </c>
      <c r="B230" s="102"/>
      <c r="C230" s="102"/>
      <c r="D230" s="102"/>
      <c r="E230" s="103">
        <f>SUM(E218:E229)</f>
        <v>0</v>
      </c>
      <c r="F230" s="36">
        <f>SUM(F218:F229)</f>
        <v>102</v>
      </c>
      <c r="G230" s="36">
        <f>SUM(G218:G229)</f>
        <v>428.4</v>
      </c>
      <c r="H230" s="37"/>
      <c r="I230" s="37"/>
      <c r="J230" s="37"/>
      <c r="K230" s="37"/>
      <c r="L230" s="37"/>
      <c r="M230" s="38">
        <f ca="1">IFERROR(SUM(M218:M229),"")</f>
        <v>3.5416666666666763E-2</v>
      </c>
      <c r="N230" s="36" t="s">
        <v>219</v>
      </c>
      <c r="O230" s="39">
        <v>469520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236</v>
      </c>
      <c r="F231" s="27">
        <v>20</v>
      </c>
      <c r="G231" s="34">
        <f t="shared" ref="G231:G242" si="51">IF(F231="","",IF(E231="PC 17",F231*4.2,IF(E231="PC 19",F231*5,"")))</f>
        <v>84</v>
      </c>
      <c r="H231" s="33" t="s">
        <v>20</v>
      </c>
      <c r="I231" s="33" t="s">
        <v>145</v>
      </c>
      <c r="J231" s="33" t="s">
        <v>177</v>
      </c>
      <c r="K231" s="29">
        <v>0.9375</v>
      </c>
      <c r="L231" s="29">
        <v>0.95833333333333337</v>
      </c>
      <c r="M231" s="35">
        <f t="shared" ref="M231:M242" ca="1" si="52">IFERROR(IF(K231="","",IF(L231="",MOD(NOW()-K231,1),IF(L231&gt;=K231,L231-K231,L231+1-K231))),"")</f>
        <v>2.083333333333337E-2</v>
      </c>
      <c r="N231" s="27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216</v>
      </c>
      <c r="F232" s="27">
        <v>7</v>
      </c>
      <c r="G232" s="28">
        <f t="shared" si="51"/>
        <v>35</v>
      </c>
      <c r="H232" s="26" t="s">
        <v>20</v>
      </c>
      <c r="I232" s="26" t="s">
        <v>145</v>
      </c>
      <c r="J232" s="26" t="s">
        <v>74</v>
      </c>
      <c r="K232" s="29">
        <v>0.96527777777777779</v>
      </c>
      <c r="L232" s="29">
        <v>0.97291666666666665</v>
      </c>
      <c r="M232" s="30">
        <f t="shared" ca="1" si="52"/>
        <v>7.6388888888888618E-3</v>
      </c>
      <c r="N232" s="27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236</v>
      </c>
      <c r="F233" s="27">
        <v>14</v>
      </c>
      <c r="G233" s="34">
        <f t="shared" si="51"/>
        <v>58.800000000000004</v>
      </c>
      <c r="H233" s="33" t="s">
        <v>18</v>
      </c>
      <c r="I233" s="33" t="s">
        <v>137</v>
      </c>
      <c r="J233" s="33" t="s">
        <v>101</v>
      </c>
      <c r="K233" s="29">
        <v>6.9444444444444448E-2</v>
      </c>
      <c r="L233" s="29">
        <v>8.3333333333333329E-2</v>
      </c>
      <c r="M233" s="35">
        <f t="shared" ca="1" si="52"/>
        <v>1.3888888888888881E-2</v>
      </c>
      <c r="N233" s="27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236</v>
      </c>
      <c r="F234" s="27">
        <v>4</v>
      </c>
      <c r="G234" s="28">
        <f t="shared" si="51"/>
        <v>16.8</v>
      </c>
      <c r="H234" s="26" t="s">
        <v>19</v>
      </c>
      <c r="I234" s="26" t="s">
        <v>47</v>
      </c>
      <c r="J234" s="26" t="s">
        <v>27</v>
      </c>
      <c r="K234" s="29">
        <v>0.23958333333333334</v>
      </c>
      <c r="L234" s="29">
        <v>0.25</v>
      </c>
      <c r="M234" s="30">
        <f t="shared" ca="1" si="52"/>
        <v>1.0416666666666657E-2</v>
      </c>
      <c r="N234" s="27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236</v>
      </c>
      <c r="F235" s="27">
        <v>8</v>
      </c>
      <c r="G235" s="34">
        <f t="shared" si="51"/>
        <v>33.6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236</v>
      </c>
      <c r="F236" s="27">
        <v>16</v>
      </c>
      <c r="G236" s="28">
        <f t="shared" si="51"/>
        <v>67.2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236</v>
      </c>
      <c r="F237" s="27">
        <v>9</v>
      </c>
      <c r="G237" s="34">
        <f t="shared" si="51"/>
        <v>37.800000000000004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236</v>
      </c>
      <c r="F238" s="27">
        <v>10</v>
      </c>
      <c r="G238" s="28">
        <f t="shared" si="51"/>
        <v>42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236</v>
      </c>
      <c r="F239" s="27">
        <v>13</v>
      </c>
      <c r="G239" s="34">
        <f t="shared" si="51"/>
        <v>54.6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236</v>
      </c>
      <c r="F240" s="27">
        <v>8</v>
      </c>
      <c r="G240" s="28">
        <f t="shared" si="51"/>
        <v>33.6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216</v>
      </c>
      <c r="F241" s="27">
        <v>8</v>
      </c>
      <c r="G241" s="34">
        <f t="shared" si="51"/>
        <v>40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236</v>
      </c>
      <c r="F242" s="27">
        <v>3</v>
      </c>
      <c r="G242" s="28">
        <f t="shared" si="51"/>
        <v>12.600000000000001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101" t="s">
        <v>220</v>
      </c>
      <c r="B243" s="102"/>
      <c r="C243" s="102"/>
      <c r="D243" s="102"/>
      <c r="E243" s="103">
        <f>SUM(E231:E242)</f>
        <v>0</v>
      </c>
      <c r="F243" s="36">
        <f>SUM(F231:F242)</f>
        <v>120</v>
      </c>
      <c r="G243" s="36">
        <f>SUM(G231:G242)</f>
        <v>516.00000000000011</v>
      </c>
      <c r="H243" s="37"/>
      <c r="I243" s="37"/>
      <c r="J243" s="37"/>
      <c r="K243" s="37"/>
      <c r="L243" s="37"/>
      <c r="M243" s="38">
        <f ca="1">IFERROR(SUM(M231:M242),"")</f>
        <v>5.2777777777777771E-2</v>
      </c>
      <c r="N243" s="36" t="s">
        <v>219</v>
      </c>
      <c r="O243" s="39">
        <v>575930</v>
      </c>
    </row>
    <row r="244" spans="1:15" ht="18" customHeight="1">
      <c r="A244" s="98" t="s">
        <v>221</v>
      </c>
      <c r="B244" s="99"/>
      <c r="C244" s="99"/>
      <c r="D244" s="99"/>
      <c r="E244" s="100">
        <f>E230+E243</f>
        <v>0</v>
      </c>
      <c r="F244" s="40">
        <f>F230+F243</f>
        <v>222</v>
      </c>
      <c r="G244" s="40">
        <f>G230+G243</f>
        <v>944.40000000000009</v>
      </c>
      <c r="H244" s="41"/>
      <c r="I244" s="41"/>
      <c r="J244" s="41"/>
      <c r="K244" s="41"/>
      <c r="L244" s="41"/>
      <c r="M244" s="42">
        <f ca="1">IFERROR(M230+M243,"")</f>
        <v>8.8194444444444534E-2</v>
      </c>
      <c r="N244" s="40" t="s">
        <v>222</v>
      </c>
      <c r="O244" s="48">
        <f>IFERROR(O230+O243,"")</f>
        <v>1045450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236</v>
      </c>
      <c r="F245" s="27">
        <v>25</v>
      </c>
      <c r="G245" s="28">
        <f t="shared" ref="G245:G256" si="54">IF(F245="","",IF(E245="PC 17",F245*4.2,IF(E245="PC 19",F245*5,"")))</f>
        <v>105</v>
      </c>
      <c r="H245" s="33" t="s">
        <v>18</v>
      </c>
      <c r="I245" s="33" t="s">
        <v>47</v>
      </c>
      <c r="J245" s="33" t="s">
        <v>202</v>
      </c>
      <c r="K245" s="29">
        <v>0.54374999999999996</v>
      </c>
      <c r="L245" s="29">
        <v>0.55972222222222223</v>
      </c>
      <c r="M245" s="35">
        <f t="shared" ref="M245:M256" ca="1" si="55">IFERROR(IF(K245="","",IF(L245="",MOD(NOW()-K245,1),IF(L245&gt;=K245,L245-K245,L245+1-K245))),"")</f>
        <v>1.5972222222222276E-2</v>
      </c>
      <c r="N245" s="27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236</v>
      </c>
      <c r="F246" s="27">
        <v>15</v>
      </c>
      <c r="G246" s="34">
        <f t="shared" si="54"/>
        <v>63</v>
      </c>
      <c r="H246" s="33" t="s">
        <v>20</v>
      </c>
      <c r="I246" s="26" t="s">
        <v>47</v>
      </c>
      <c r="J246" s="33" t="s">
        <v>51</v>
      </c>
      <c r="K246" s="29">
        <v>0.63958333333333328</v>
      </c>
      <c r="L246" s="29">
        <v>0.65138888888888891</v>
      </c>
      <c r="M246" s="30">
        <f t="shared" ca="1" si="55"/>
        <v>1.1805555555555625E-2</v>
      </c>
      <c r="N246" s="27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236</v>
      </c>
      <c r="F247" s="27">
        <v>12</v>
      </c>
      <c r="G247" s="28">
        <f t="shared" si="54"/>
        <v>50.400000000000006</v>
      </c>
      <c r="H247" s="33" t="s">
        <v>18</v>
      </c>
      <c r="I247" s="33" t="s">
        <v>47</v>
      </c>
      <c r="J247" s="33" t="s">
        <v>51</v>
      </c>
      <c r="K247" s="29">
        <v>0.70833333333333337</v>
      </c>
      <c r="L247" s="29">
        <v>0.74444444444444446</v>
      </c>
      <c r="M247" s="35">
        <f t="shared" ca="1" si="55"/>
        <v>3.6111111111111094E-2</v>
      </c>
      <c r="N247" s="27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236</v>
      </c>
      <c r="F248" s="27">
        <v>18</v>
      </c>
      <c r="G248" s="34">
        <f t="shared" si="54"/>
        <v>75.600000000000009</v>
      </c>
      <c r="H248" s="26" t="s">
        <v>20</v>
      </c>
      <c r="I248" s="26" t="s">
        <v>47</v>
      </c>
      <c r="J248" s="26" t="s">
        <v>51</v>
      </c>
      <c r="K248" s="29">
        <v>0.77013888888888893</v>
      </c>
      <c r="L248" s="29">
        <v>0.77361111111111114</v>
      </c>
      <c r="M248" s="30">
        <f t="shared" ca="1" si="55"/>
        <v>3.4722222222222099E-3</v>
      </c>
      <c r="N248" s="27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236</v>
      </c>
      <c r="F249" s="27">
        <v>8</v>
      </c>
      <c r="G249" s="28">
        <f t="shared" si="54"/>
        <v>33.6</v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38</v>
      </c>
      <c r="E250" s="59" t="s">
        <v>236</v>
      </c>
      <c r="F250" s="27">
        <v>0</v>
      </c>
      <c r="G250" s="34">
        <f t="shared" si="54"/>
        <v>0</v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38</v>
      </c>
      <c r="E251" s="59" t="s">
        <v>236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38</v>
      </c>
      <c r="E252" s="59" t="s">
        <v>236</v>
      </c>
      <c r="F252" s="27">
        <v>25</v>
      </c>
      <c r="G252" s="34">
        <f t="shared" si="54"/>
        <v>105</v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38</v>
      </c>
      <c r="E253" s="59" t="s">
        <v>236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38</v>
      </c>
      <c r="E254" s="59" t="s">
        <v>236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38</v>
      </c>
      <c r="E255" s="59" t="s">
        <v>236</v>
      </c>
      <c r="F255" s="27">
        <v>2</v>
      </c>
      <c r="G255" s="28">
        <f t="shared" si="54"/>
        <v>8.4</v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236</v>
      </c>
      <c r="F256" s="27">
        <v>7</v>
      </c>
      <c r="G256" s="34">
        <f t="shared" si="54"/>
        <v>29.400000000000002</v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101" t="s">
        <v>218</v>
      </c>
      <c r="B257" s="102"/>
      <c r="C257" s="102"/>
      <c r="D257" s="102"/>
      <c r="E257" s="103">
        <f>SUM(E245:E256)</f>
        <v>0</v>
      </c>
      <c r="F257" s="36">
        <f>SUM(F245:F256)</f>
        <v>139</v>
      </c>
      <c r="G257" s="36">
        <f>SUM(G245:G256)</f>
        <v>583.79999999999995</v>
      </c>
      <c r="H257" s="37"/>
      <c r="I257" s="37"/>
      <c r="J257" s="37"/>
      <c r="K257" s="37"/>
      <c r="L257" s="37"/>
      <c r="M257" s="38">
        <f ca="1">IFERROR(SUM(M245:M256),"")</f>
        <v>6.7361111111111205E-2</v>
      </c>
      <c r="N257" s="36" t="s">
        <v>219</v>
      </c>
      <c r="O257" s="39">
        <v>456270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236</v>
      </c>
      <c r="F258" s="27">
        <v>2</v>
      </c>
      <c r="G258" s="34">
        <f t="shared" ref="G258:G269" si="57">IF(F258="","",IF(E258="PC 17",F258*4.2,IF(E258="PC 19",F258*5,"")))</f>
        <v>8.4</v>
      </c>
      <c r="H258" s="26" t="s">
        <v>20</v>
      </c>
      <c r="I258" s="26" t="s">
        <v>47</v>
      </c>
      <c r="J258" s="26" t="s">
        <v>51</v>
      </c>
      <c r="K258" s="29">
        <v>0.79166666666666663</v>
      </c>
      <c r="L258" s="29">
        <v>0.80069444444444449</v>
      </c>
      <c r="M258" s="30">
        <f t="shared" ref="M258:M269" ca="1" si="58">IFERROR(IF(K258="","",IF(L258="",MOD(NOW()-K258,1),IF(L258&gt;=K258,L258-K258,L258+1-K258))),"")</f>
        <v>9.0277777777778567E-3</v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236</v>
      </c>
      <c r="F259" s="27">
        <v>6</v>
      </c>
      <c r="G259" s="28">
        <f t="shared" si="57"/>
        <v>25.200000000000003</v>
      </c>
      <c r="H259" s="50" t="s">
        <v>20</v>
      </c>
      <c r="I259" s="50" t="s">
        <v>47</v>
      </c>
      <c r="J259" s="50" t="s">
        <v>193</v>
      </c>
      <c r="K259" s="29">
        <v>0.81736111111111109</v>
      </c>
      <c r="L259" s="29">
        <v>0.82013888888888886</v>
      </c>
      <c r="M259" s="35">
        <f t="shared" ca="1" si="58"/>
        <v>2.7777777777777679E-3</v>
      </c>
      <c r="N259" s="27" t="s">
        <v>278</v>
      </c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236</v>
      </c>
      <c r="F260" s="27">
        <v>8</v>
      </c>
      <c r="G260" s="34">
        <f t="shared" si="57"/>
        <v>33.6</v>
      </c>
      <c r="H260" s="33" t="s">
        <v>20</v>
      </c>
      <c r="I260" s="26" t="s">
        <v>47</v>
      </c>
      <c r="J260" s="33" t="s">
        <v>51</v>
      </c>
      <c r="K260" s="29">
        <v>9.5138888888888884E-2</v>
      </c>
      <c r="L260" s="29">
        <v>9.7222222222222224E-2</v>
      </c>
      <c r="M260" s="30">
        <f t="shared" ca="1" si="58"/>
        <v>2.0833333333333398E-3</v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236</v>
      </c>
      <c r="F261" s="27">
        <v>14</v>
      </c>
      <c r="G261" s="28">
        <f t="shared" si="57"/>
        <v>58.800000000000004</v>
      </c>
      <c r="H261" s="33" t="s">
        <v>16</v>
      </c>
      <c r="I261" s="33" t="s">
        <v>47</v>
      </c>
      <c r="J261" s="33" t="s">
        <v>32</v>
      </c>
      <c r="K261" s="29">
        <v>9.7222222222222224E-2</v>
      </c>
      <c r="L261" s="29">
        <v>0.10555555555555556</v>
      </c>
      <c r="M261" s="35">
        <f t="shared" ca="1" si="58"/>
        <v>8.3333333333333315E-3</v>
      </c>
      <c r="N261" s="27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236</v>
      </c>
      <c r="F262" s="27">
        <v>9</v>
      </c>
      <c r="G262" s="34">
        <f t="shared" si="57"/>
        <v>37.800000000000004</v>
      </c>
      <c r="H262" s="33" t="s">
        <v>18</v>
      </c>
      <c r="I262" s="26" t="s">
        <v>47</v>
      </c>
      <c r="J262" s="33" t="s">
        <v>120</v>
      </c>
      <c r="K262" s="29">
        <v>0.10555555555555556</v>
      </c>
      <c r="L262" s="29">
        <v>0.10902777777777778</v>
      </c>
      <c r="M262" s="30">
        <f t="shared" ca="1" si="58"/>
        <v>3.4722222222222238E-3</v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236</v>
      </c>
      <c r="F263" s="27">
        <v>16</v>
      </c>
      <c r="G263" s="28">
        <f t="shared" si="57"/>
        <v>67.2</v>
      </c>
      <c r="H263" s="33" t="s">
        <v>20</v>
      </c>
      <c r="I263" s="33" t="s">
        <v>47</v>
      </c>
      <c r="J263" s="33" t="s">
        <v>56</v>
      </c>
      <c r="K263" s="29">
        <v>0.13958333333333334</v>
      </c>
      <c r="L263" s="29">
        <v>0.16666666666666666</v>
      </c>
      <c r="M263" s="35">
        <f t="shared" ca="1" si="58"/>
        <v>2.708333333333332E-2</v>
      </c>
      <c r="N263" s="27" t="s">
        <v>279</v>
      </c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236</v>
      </c>
      <c r="F264" s="27">
        <v>11</v>
      </c>
      <c r="G264" s="34">
        <f t="shared" si="57"/>
        <v>46.2</v>
      </c>
      <c r="H264" s="33" t="s">
        <v>19</v>
      </c>
      <c r="I264" s="26" t="s">
        <v>47</v>
      </c>
      <c r="J264" s="33" t="s">
        <v>27</v>
      </c>
      <c r="K264" s="29">
        <v>0.16666666666666666</v>
      </c>
      <c r="L264" s="29">
        <v>0.17430555555555555</v>
      </c>
      <c r="M264" s="30">
        <f t="shared" ca="1" si="58"/>
        <v>7.6388888888888895E-3</v>
      </c>
      <c r="N264" s="27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236</v>
      </c>
      <c r="F265" s="27">
        <v>13</v>
      </c>
      <c r="G265" s="28">
        <f t="shared" si="57"/>
        <v>54.6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236</v>
      </c>
      <c r="F266" s="27">
        <v>11</v>
      </c>
      <c r="G266" s="34">
        <f t="shared" si="57"/>
        <v>46.2</v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236</v>
      </c>
      <c r="F267" s="27">
        <v>4</v>
      </c>
      <c r="G267" s="28">
        <f t="shared" si="57"/>
        <v>16.8</v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236</v>
      </c>
      <c r="F268" s="27">
        <v>16</v>
      </c>
      <c r="G268" s="34">
        <f t="shared" si="57"/>
        <v>67.2</v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236</v>
      </c>
      <c r="F269" s="27">
        <v>11</v>
      </c>
      <c r="G269" s="28">
        <f t="shared" si="57"/>
        <v>46.2</v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101" t="s">
        <v>220</v>
      </c>
      <c r="B270" s="102"/>
      <c r="C270" s="102"/>
      <c r="D270" s="102"/>
      <c r="E270" s="103">
        <f>SUM(E258:E269)</f>
        <v>0</v>
      </c>
      <c r="F270" s="36">
        <f>SUM(F258:F269)</f>
        <v>121</v>
      </c>
      <c r="G270" s="36">
        <f>SUM(G258:G269)</f>
        <v>508.2</v>
      </c>
      <c r="H270" s="37"/>
      <c r="I270" s="37"/>
      <c r="J270" s="37"/>
      <c r="K270" s="37"/>
      <c r="L270" s="37"/>
      <c r="M270" s="38">
        <f ca="1">IFERROR(SUM(M258:M269),"")</f>
        <v>6.041666666666673E-2</v>
      </c>
      <c r="N270" s="36" t="s">
        <v>219</v>
      </c>
      <c r="O270" s="39">
        <v>483510</v>
      </c>
    </row>
    <row r="271" spans="1:15" ht="18" customHeight="1">
      <c r="A271" s="98" t="s">
        <v>221</v>
      </c>
      <c r="B271" s="99"/>
      <c r="C271" s="99"/>
      <c r="D271" s="99"/>
      <c r="E271" s="100">
        <f>E257+E270</f>
        <v>0</v>
      </c>
      <c r="F271" s="40">
        <f>F257+F270</f>
        <v>260</v>
      </c>
      <c r="G271" s="40">
        <f>G257+G270</f>
        <v>1092</v>
      </c>
      <c r="H271" s="41"/>
      <c r="I271" s="41"/>
      <c r="J271" s="41"/>
      <c r="K271" s="41"/>
      <c r="L271" s="41"/>
      <c r="M271" s="42">
        <f ca="1">IFERROR(M257+M270,"")</f>
        <v>0.12777777777777793</v>
      </c>
      <c r="N271" s="40" t="s">
        <v>222</v>
      </c>
      <c r="O271" s="48">
        <f>IFERROR(O257+O270,"")</f>
        <v>939780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236</v>
      </c>
      <c r="F272" s="27">
        <v>0</v>
      </c>
      <c r="G272" s="28">
        <f t="shared" ref="G272:G283" si="60">IF(F272="","",IF(E272="PC 17",F272*4.2,IF(E272="PC 19",F272*5,"")))</f>
        <v>0</v>
      </c>
      <c r="H272" s="26" t="s">
        <v>20</v>
      </c>
      <c r="I272" s="26" t="s">
        <v>47</v>
      </c>
      <c r="J272" s="26" t="s">
        <v>51</v>
      </c>
      <c r="K272" s="29">
        <v>0.48055555555555557</v>
      </c>
      <c r="L272" s="29">
        <v>0.49305555555555558</v>
      </c>
      <c r="M272" s="30">
        <f t="shared" ref="M272:M283" ca="1" si="61">IFERROR(IF(K272="","",IF(L272="",MOD(NOW()-K272,1),IF(L272&gt;=K272,L272-K272,L272+1-K272))),"")</f>
        <v>1.2500000000000011E-2</v>
      </c>
      <c r="N272" s="27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236</v>
      </c>
      <c r="F273" s="27">
        <v>10</v>
      </c>
      <c r="G273" s="34">
        <f t="shared" si="60"/>
        <v>42</v>
      </c>
      <c r="H273" s="33" t="s">
        <v>20</v>
      </c>
      <c r="I273" s="33" t="s">
        <v>47</v>
      </c>
      <c r="J273" s="33" t="s">
        <v>51</v>
      </c>
      <c r="K273" s="29">
        <v>0.51875000000000004</v>
      </c>
      <c r="L273" s="29">
        <v>0.52430555555555558</v>
      </c>
      <c r="M273" s="35">
        <f t="shared" ca="1" si="61"/>
        <v>5.5555555555555358E-3</v>
      </c>
      <c r="N273" s="27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236</v>
      </c>
      <c r="F274" s="27">
        <v>16</v>
      </c>
      <c r="G274" s="28">
        <f t="shared" si="60"/>
        <v>67.2</v>
      </c>
      <c r="H274" s="26" t="s">
        <v>20</v>
      </c>
      <c r="I274" s="26" t="s">
        <v>47</v>
      </c>
      <c r="J274" s="26" t="s">
        <v>51</v>
      </c>
      <c r="K274" s="29">
        <v>0.54652777777777772</v>
      </c>
      <c r="L274" s="29">
        <v>0.55347222222222225</v>
      </c>
      <c r="M274" s="30">
        <f t="shared" ca="1" si="61"/>
        <v>6.9444444444445308E-3</v>
      </c>
      <c r="N274" s="27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236</v>
      </c>
      <c r="F275" s="27">
        <v>10</v>
      </c>
      <c r="G275" s="34">
        <f t="shared" si="60"/>
        <v>42</v>
      </c>
      <c r="H275" s="33" t="s">
        <v>20</v>
      </c>
      <c r="I275" s="33" t="s">
        <v>47</v>
      </c>
      <c r="J275" s="33" t="s">
        <v>28</v>
      </c>
      <c r="K275" s="29">
        <v>0.5625</v>
      </c>
      <c r="L275" s="29">
        <v>0.57708333333333328</v>
      </c>
      <c r="M275" s="35">
        <f t="shared" ca="1" si="61"/>
        <v>1.4583333333333282E-2</v>
      </c>
      <c r="N275" s="27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236</v>
      </c>
      <c r="F276" s="27">
        <v>8</v>
      </c>
      <c r="G276" s="28">
        <f t="shared" si="60"/>
        <v>33.6</v>
      </c>
      <c r="H276" s="26" t="s">
        <v>20</v>
      </c>
      <c r="I276" s="26" t="s">
        <v>47</v>
      </c>
      <c r="J276" s="26" t="s">
        <v>51</v>
      </c>
      <c r="K276" s="29">
        <v>0.62291666666666667</v>
      </c>
      <c r="L276" s="29">
        <v>0.625</v>
      </c>
      <c r="M276" s="30">
        <f t="shared" ca="1" si="61"/>
        <v>2.0833333333333259E-3</v>
      </c>
      <c r="N276" s="27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236</v>
      </c>
      <c r="F277" s="27">
        <v>0</v>
      </c>
      <c r="G277" s="34">
        <f t="shared" si="60"/>
        <v>0</v>
      </c>
      <c r="H277" s="33" t="s">
        <v>20</v>
      </c>
      <c r="I277" s="33" t="s">
        <v>47</v>
      </c>
      <c r="J277" s="33" t="s">
        <v>51</v>
      </c>
      <c r="K277" s="29">
        <v>0.65486111111111112</v>
      </c>
      <c r="L277" s="29">
        <v>0.66666666666666663</v>
      </c>
      <c r="M277" s="35">
        <f t="shared" ca="1" si="61"/>
        <v>1.1805555555555514E-2</v>
      </c>
      <c r="N277" s="27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236</v>
      </c>
      <c r="F278" s="27">
        <v>7</v>
      </c>
      <c r="G278" s="28">
        <f t="shared" si="60"/>
        <v>29.400000000000002</v>
      </c>
      <c r="H278" s="26" t="s">
        <v>20</v>
      </c>
      <c r="I278" s="26" t="s">
        <v>47</v>
      </c>
      <c r="J278" s="26" t="s">
        <v>51</v>
      </c>
      <c r="K278" s="29">
        <v>0.74097222222222225</v>
      </c>
      <c r="L278" s="29">
        <v>0.74305555555555558</v>
      </c>
      <c r="M278" s="30">
        <f t="shared" ca="1" si="61"/>
        <v>2.0833333333333259E-3</v>
      </c>
      <c r="N278" s="27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236</v>
      </c>
      <c r="F279" s="27">
        <v>0</v>
      </c>
      <c r="G279" s="34">
        <f t="shared" si="60"/>
        <v>0</v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236</v>
      </c>
      <c r="F280" s="27">
        <v>5</v>
      </c>
      <c r="G280" s="28">
        <f t="shared" si="60"/>
        <v>21</v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236</v>
      </c>
      <c r="F281" s="27">
        <v>5</v>
      </c>
      <c r="G281" s="34">
        <f t="shared" si="60"/>
        <v>21</v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236</v>
      </c>
      <c r="F282" s="27">
        <v>6</v>
      </c>
      <c r="G282" s="28">
        <f t="shared" si="60"/>
        <v>25.200000000000003</v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236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101" t="s">
        <v>218</v>
      </c>
      <c r="B284" s="102"/>
      <c r="C284" s="102"/>
      <c r="D284" s="102"/>
      <c r="E284" s="103">
        <f>SUM(E272:E283)</f>
        <v>0</v>
      </c>
      <c r="F284" s="36">
        <f>SUM(F272:F283)</f>
        <v>73</v>
      </c>
      <c r="G284" s="36">
        <f>SUM(G272:G283)</f>
        <v>306.59999999999997</v>
      </c>
      <c r="H284" s="37"/>
      <c r="I284" s="37"/>
      <c r="J284" s="37"/>
      <c r="K284" s="37"/>
      <c r="L284" s="37"/>
      <c r="M284" s="38">
        <f ca="1">IFERROR(SUM(M272:M283),"")</f>
        <v>5.5555555555555525E-2</v>
      </c>
      <c r="N284" s="36" t="s">
        <v>219</v>
      </c>
      <c r="O284" s="39">
        <v>303720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236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20</v>
      </c>
      <c r="I285" s="33" t="s">
        <v>47</v>
      </c>
      <c r="J285" s="33" t="s">
        <v>51</v>
      </c>
      <c r="K285" s="29">
        <v>0.79166666666666663</v>
      </c>
      <c r="L285" s="29">
        <v>0.79513888888888884</v>
      </c>
      <c r="M285" s="35">
        <f t="shared" ref="M285:M296" ca="1" si="64">IFERROR(IF(K285="","",IF(L285="",MOD(NOW()-K285,1),IF(L285&gt;=K285,L285-K285,L285+1-K285))),"")</f>
        <v>3.4722222222222099E-3</v>
      </c>
      <c r="N285" s="27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236</v>
      </c>
      <c r="F286" s="27">
        <v>5</v>
      </c>
      <c r="G286" s="28">
        <f t="shared" si="63"/>
        <v>21</v>
      </c>
      <c r="H286" s="49" t="s">
        <v>18</v>
      </c>
      <c r="I286" s="49" t="s">
        <v>47</v>
      </c>
      <c r="J286" s="49" t="s">
        <v>126</v>
      </c>
      <c r="K286" s="29">
        <v>0.79513888888888884</v>
      </c>
      <c r="L286" s="29">
        <v>0.83888888888888891</v>
      </c>
      <c r="M286" s="30">
        <f t="shared" ca="1" si="64"/>
        <v>4.3750000000000067E-2</v>
      </c>
      <c r="N286" s="27" t="s">
        <v>280</v>
      </c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236</v>
      </c>
      <c r="F287" s="27">
        <v>14</v>
      </c>
      <c r="G287" s="34">
        <f t="shared" si="63"/>
        <v>58.800000000000004</v>
      </c>
      <c r="H287" s="33" t="s">
        <v>20</v>
      </c>
      <c r="I287" s="33" t="s">
        <v>47</v>
      </c>
      <c r="J287" s="33" t="s">
        <v>51</v>
      </c>
      <c r="K287" s="29">
        <v>0.84375</v>
      </c>
      <c r="L287" s="29">
        <v>0.84861111111111109</v>
      </c>
      <c r="M287" s="35">
        <f t="shared" ca="1" si="64"/>
        <v>4.8611111111110938E-3</v>
      </c>
      <c r="N287" s="27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236</v>
      </c>
      <c r="F288" s="27">
        <v>6</v>
      </c>
      <c r="G288" s="28">
        <f t="shared" si="63"/>
        <v>25.200000000000003</v>
      </c>
      <c r="H288" s="26" t="s">
        <v>20</v>
      </c>
      <c r="I288" s="26" t="s">
        <v>47</v>
      </c>
      <c r="J288" s="26" t="s">
        <v>51</v>
      </c>
      <c r="K288" s="29">
        <v>0.85</v>
      </c>
      <c r="L288" s="29">
        <v>0.85555555555555551</v>
      </c>
      <c r="M288" s="30">
        <f t="shared" ca="1" si="64"/>
        <v>5.5555555555555358E-3</v>
      </c>
      <c r="N288" s="27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236</v>
      </c>
      <c r="F289" s="27">
        <v>6</v>
      </c>
      <c r="G289" s="34">
        <f t="shared" si="63"/>
        <v>25.200000000000003</v>
      </c>
      <c r="H289" s="33" t="s">
        <v>20</v>
      </c>
      <c r="I289" s="33" t="s">
        <v>47</v>
      </c>
      <c r="J289" s="33" t="s">
        <v>56</v>
      </c>
      <c r="K289" s="29">
        <v>0.87013888888888891</v>
      </c>
      <c r="L289" s="29">
        <v>0.89097222222222228</v>
      </c>
      <c r="M289" s="35">
        <f t="shared" ca="1" si="64"/>
        <v>2.083333333333337E-2</v>
      </c>
      <c r="N289" s="27" t="s">
        <v>281</v>
      </c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236</v>
      </c>
      <c r="F290" s="27">
        <v>30</v>
      </c>
      <c r="G290" s="28">
        <f t="shared" si="63"/>
        <v>126</v>
      </c>
      <c r="H290" s="26" t="s">
        <v>20</v>
      </c>
      <c r="I290" s="26" t="s">
        <v>47</v>
      </c>
      <c r="J290" s="26" t="s">
        <v>51</v>
      </c>
      <c r="K290" s="29">
        <v>6.9444444444444447E-4</v>
      </c>
      <c r="L290" s="29">
        <v>5.5555555555555558E-3</v>
      </c>
      <c r="M290" s="30">
        <f t="shared" ca="1" si="64"/>
        <v>4.8611111111111112E-3</v>
      </c>
      <c r="N290" s="27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236</v>
      </c>
      <c r="F291" s="27">
        <v>11</v>
      </c>
      <c r="G291" s="34">
        <f t="shared" si="63"/>
        <v>46.2</v>
      </c>
      <c r="H291" s="33" t="s">
        <v>20</v>
      </c>
      <c r="I291" s="33"/>
      <c r="J291" s="33" t="s">
        <v>112</v>
      </c>
      <c r="K291" s="29">
        <v>0.2013888888888889</v>
      </c>
      <c r="L291" s="29">
        <v>0.21180555555555555</v>
      </c>
      <c r="M291" s="35">
        <f t="shared" ca="1" si="64"/>
        <v>1.0416666666666657E-2</v>
      </c>
      <c r="N291" s="27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236</v>
      </c>
      <c r="F292" s="27">
        <v>17</v>
      </c>
      <c r="G292" s="28">
        <f t="shared" si="63"/>
        <v>71.400000000000006</v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236</v>
      </c>
      <c r="F293" s="27">
        <v>5</v>
      </c>
      <c r="G293" s="34">
        <f t="shared" si="63"/>
        <v>21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236</v>
      </c>
      <c r="F294" s="27">
        <v>11</v>
      </c>
      <c r="G294" s="28">
        <f t="shared" si="63"/>
        <v>46.2</v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20" t="s">
        <v>30</v>
      </c>
      <c r="E295" s="62" t="s">
        <v>236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236</v>
      </c>
      <c r="F296" s="27">
        <v>2</v>
      </c>
      <c r="G296" s="28">
        <f t="shared" si="63"/>
        <v>8.4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101" t="s">
        <v>220</v>
      </c>
      <c r="B297" s="102"/>
      <c r="C297" s="102"/>
      <c r="D297" s="102"/>
      <c r="E297" s="103">
        <f>SUM(E285:E296)</f>
        <v>0</v>
      </c>
      <c r="F297" s="36">
        <f>SUM(F285:F296)</f>
        <v>118</v>
      </c>
      <c r="G297" s="36">
        <f>SUM(G285:G296)</f>
        <v>495.6</v>
      </c>
      <c r="H297" s="37"/>
      <c r="I297" s="37"/>
      <c r="J297" s="37"/>
      <c r="K297" s="37"/>
      <c r="L297" s="37"/>
      <c r="M297" s="38">
        <f ca="1">IFERROR(SUM(M285:M296),"")</f>
        <v>9.3750000000000042E-2</v>
      </c>
      <c r="N297" s="36" t="s">
        <v>219</v>
      </c>
      <c r="O297" s="39">
        <v>487980</v>
      </c>
    </row>
    <row r="298" spans="1:15" ht="18" customHeight="1">
      <c r="A298" s="98" t="s">
        <v>221</v>
      </c>
      <c r="B298" s="99"/>
      <c r="C298" s="99"/>
      <c r="D298" s="99"/>
      <c r="E298" s="100">
        <f>E284+E297</f>
        <v>0</v>
      </c>
      <c r="F298" s="40">
        <f>F284+F297</f>
        <v>191</v>
      </c>
      <c r="G298" s="40">
        <f>G284+G297</f>
        <v>802.2</v>
      </c>
      <c r="H298" s="41"/>
      <c r="I298" s="41"/>
      <c r="J298" s="41"/>
      <c r="K298" s="41"/>
      <c r="L298" s="41"/>
      <c r="M298" s="42">
        <f ca="1">IFERROR(M284+M297,"")</f>
        <v>0.14930555555555558</v>
      </c>
      <c r="N298" s="40" t="s">
        <v>222</v>
      </c>
      <c r="O298" s="48">
        <f>IFERROR(O284+O297,"")</f>
        <v>791700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236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131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27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236</v>
      </c>
      <c r="F300" s="27">
        <v>7</v>
      </c>
      <c r="G300" s="28">
        <f t="shared" si="66"/>
        <v>29.400000000000002</v>
      </c>
      <c r="H300" s="26" t="s">
        <v>20</v>
      </c>
      <c r="I300" s="26" t="s">
        <v>131</v>
      </c>
      <c r="J300" s="26" t="s">
        <v>74</v>
      </c>
      <c r="K300" s="29">
        <v>0.35416666666666669</v>
      </c>
      <c r="L300" s="29">
        <v>0.3840277777777778</v>
      </c>
      <c r="M300" s="30">
        <f t="shared" ca="1" si="67"/>
        <v>2.9861111111111116E-2</v>
      </c>
      <c r="N300" s="27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236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112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27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236</v>
      </c>
      <c r="F302" s="27">
        <v>11</v>
      </c>
      <c r="G302" s="28">
        <f t="shared" si="66"/>
        <v>46.2</v>
      </c>
      <c r="H302" s="26" t="s">
        <v>20</v>
      </c>
      <c r="I302" s="26" t="s">
        <v>47</v>
      </c>
      <c r="J302" s="26" t="s">
        <v>56</v>
      </c>
      <c r="K302" s="29">
        <v>0.61250000000000004</v>
      </c>
      <c r="L302" s="29">
        <v>0.66666666666666663</v>
      </c>
      <c r="M302" s="30">
        <f t="shared" ca="1" si="67"/>
        <v>5.4166666666666585E-2</v>
      </c>
      <c r="N302" s="27" t="s">
        <v>282</v>
      </c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236</v>
      </c>
      <c r="F303" s="27">
        <v>3</v>
      </c>
      <c r="G303" s="34">
        <f t="shared" si="66"/>
        <v>12.600000000000001</v>
      </c>
      <c r="H303" s="33" t="s">
        <v>20</v>
      </c>
      <c r="I303" s="33" t="s">
        <v>47</v>
      </c>
      <c r="J303" s="33" t="s">
        <v>51</v>
      </c>
      <c r="K303" s="29">
        <v>0.73611111111111116</v>
      </c>
      <c r="L303" s="29">
        <v>0.73958333333333337</v>
      </c>
      <c r="M303" s="35">
        <v>5.5555555555555558E-3</v>
      </c>
      <c r="N303" s="27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236</v>
      </c>
      <c r="F304" s="27">
        <v>5</v>
      </c>
      <c r="G304" s="28">
        <f t="shared" si="66"/>
        <v>21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236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236</v>
      </c>
      <c r="F306" s="27">
        <v>5</v>
      </c>
      <c r="G306" s="28">
        <f t="shared" si="66"/>
        <v>21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236</v>
      </c>
      <c r="F307" s="27">
        <v>12</v>
      </c>
      <c r="G307" s="34">
        <f t="shared" si="66"/>
        <v>50.400000000000006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236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236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216</v>
      </c>
      <c r="F310" s="27">
        <v>6</v>
      </c>
      <c r="G310" s="28">
        <f t="shared" si="66"/>
        <v>30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101" t="s">
        <v>218</v>
      </c>
      <c r="B311" s="102"/>
      <c r="C311" s="102"/>
      <c r="D311" s="102"/>
      <c r="E311" s="103">
        <f>SUM(E299:E310)</f>
        <v>0</v>
      </c>
      <c r="F311" s="36">
        <f>SUM(F299:F310)</f>
        <v>69</v>
      </c>
      <c r="G311" s="36">
        <f>SUM(G299:G310)</f>
        <v>294.60000000000002</v>
      </c>
      <c r="H311" s="37"/>
      <c r="I311" s="37"/>
      <c r="J311" s="37"/>
      <c r="K311" s="37"/>
      <c r="L311" s="37"/>
      <c r="M311" s="38">
        <f ca="1">IFERROR(SUM(M299:M310),"")</f>
        <v>9.9305555555555439E-2</v>
      </c>
      <c r="N311" s="36" t="s">
        <v>219</v>
      </c>
      <c r="O311" s="39">
        <v>373300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236</v>
      </c>
      <c r="F312" s="27">
        <v>16</v>
      </c>
      <c r="G312" s="28">
        <f t="shared" ref="G312:G323" si="69">IF(F312="","",IF(E312="PC 17",F312*4.2,IF(E312="PC 19",F312*5,"")))</f>
        <v>67.2</v>
      </c>
      <c r="H312" s="26" t="s">
        <v>20</v>
      </c>
      <c r="I312" s="26" t="s">
        <v>47</v>
      </c>
      <c r="J312" s="26" t="s">
        <v>56</v>
      </c>
      <c r="K312" s="29">
        <v>0.9458333333333333</v>
      </c>
      <c r="L312" s="29">
        <v>0.96180555555555558</v>
      </c>
      <c r="M312" s="30">
        <f t="shared" ref="M312:M323" ca="1" si="70">IFERROR(IF(K312="","",IF(L312="",MOD(NOW()-K312,1),IF(L312&gt;=K312,L312-K312,L312+1-K312))),"")</f>
        <v>1.5972222222222276E-2</v>
      </c>
      <c r="N312" s="27" t="s">
        <v>283</v>
      </c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236</v>
      </c>
      <c r="F313" s="27">
        <v>3</v>
      </c>
      <c r="G313" s="34">
        <f t="shared" si="69"/>
        <v>12.600000000000001</v>
      </c>
      <c r="H313" s="33" t="s">
        <v>20</v>
      </c>
      <c r="I313" s="33" t="s">
        <v>47</v>
      </c>
      <c r="J313" s="33" t="s">
        <v>36</v>
      </c>
      <c r="K313" s="29">
        <v>0.18194444444444444</v>
      </c>
      <c r="L313" s="29">
        <v>0.19722222222222222</v>
      </c>
      <c r="M313" s="35">
        <f t="shared" ca="1" si="70"/>
        <v>1.5277777777777779E-2</v>
      </c>
      <c r="N313" s="27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236</v>
      </c>
      <c r="F314" s="27">
        <v>9</v>
      </c>
      <c r="G314" s="28">
        <f t="shared" si="69"/>
        <v>37.800000000000004</v>
      </c>
      <c r="H314" s="26" t="s">
        <v>19</v>
      </c>
      <c r="I314" s="26" t="s">
        <v>47</v>
      </c>
      <c r="J314" s="26" t="s">
        <v>27</v>
      </c>
      <c r="K314" s="29">
        <v>0.19722222222222222</v>
      </c>
      <c r="L314" s="29">
        <v>0.20694444444444443</v>
      </c>
      <c r="M314" s="30">
        <f t="shared" ca="1" si="70"/>
        <v>9.7222222222222154E-3</v>
      </c>
      <c r="N314" s="27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236</v>
      </c>
      <c r="F315" s="27">
        <v>11</v>
      </c>
      <c r="G315" s="34">
        <f t="shared" si="69"/>
        <v>46.2</v>
      </c>
      <c r="H315" s="33" t="s">
        <v>16</v>
      </c>
      <c r="I315" s="33" t="s">
        <v>47</v>
      </c>
      <c r="J315" s="33"/>
      <c r="K315" s="29" t="s">
        <v>284</v>
      </c>
      <c r="L315" s="29">
        <v>0.25416666666666665</v>
      </c>
      <c r="M315" s="35" t="str">
        <f t="shared" ca="1" si="70"/>
        <v/>
      </c>
      <c r="N315" s="27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236</v>
      </c>
      <c r="F316" s="27">
        <v>7</v>
      </c>
      <c r="G316" s="28">
        <f t="shared" si="69"/>
        <v>29.400000000000002</v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236</v>
      </c>
      <c r="F317" s="27">
        <v>11</v>
      </c>
      <c r="G317" s="34">
        <f t="shared" si="69"/>
        <v>46.2</v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236</v>
      </c>
      <c r="F318" s="27">
        <v>9</v>
      </c>
      <c r="G318" s="28">
        <f t="shared" si="69"/>
        <v>37.800000000000004</v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236</v>
      </c>
      <c r="F319" s="27">
        <v>10</v>
      </c>
      <c r="G319" s="34">
        <f t="shared" si="69"/>
        <v>42</v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236</v>
      </c>
      <c r="F320" s="27">
        <v>8</v>
      </c>
      <c r="G320" s="28">
        <f t="shared" si="69"/>
        <v>33.6</v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236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236</v>
      </c>
      <c r="F322" s="27">
        <v>9</v>
      </c>
      <c r="G322" s="28">
        <f t="shared" si="69"/>
        <v>37.800000000000004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216</v>
      </c>
      <c r="F323" s="27">
        <v>12</v>
      </c>
      <c r="G323" s="34">
        <f t="shared" si="69"/>
        <v>60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101" t="s">
        <v>220</v>
      </c>
      <c r="B324" s="102"/>
      <c r="C324" s="102"/>
      <c r="D324" s="102"/>
      <c r="E324" s="103">
        <f>SUM(E312:E323)</f>
        <v>0</v>
      </c>
      <c r="F324" s="36">
        <f>SUM(F312:F323)</f>
        <v>124</v>
      </c>
      <c r="G324" s="36">
        <f>SUM(G312:G323)</f>
        <v>530.40000000000009</v>
      </c>
      <c r="H324" s="37"/>
      <c r="I324" s="37"/>
      <c r="J324" s="37"/>
      <c r="K324" s="37"/>
      <c r="L324" s="37"/>
      <c r="M324" s="38">
        <f ca="1">IFERROR(SUM(M312:M323),"")</f>
        <v>4.0972222222222271E-2</v>
      </c>
      <c r="N324" s="36" t="s">
        <v>219</v>
      </c>
      <c r="O324" s="39">
        <v>609460</v>
      </c>
    </row>
    <row r="325" spans="1:15" ht="18" customHeight="1">
      <c r="A325" s="98" t="s">
        <v>221</v>
      </c>
      <c r="B325" s="99"/>
      <c r="C325" s="99"/>
      <c r="D325" s="99"/>
      <c r="E325" s="100">
        <f>E311+E324</f>
        <v>0</v>
      </c>
      <c r="F325" s="40">
        <f>F311+F324</f>
        <v>193</v>
      </c>
      <c r="G325" s="40">
        <f>G311+G324</f>
        <v>825.00000000000011</v>
      </c>
      <c r="H325" s="41"/>
      <c r="I325" s="41"/>
      <c r="J325" s="41"/>
      <c r="K325" s="41"/>
      <c r="L325" s="41"/>
      <c r="M325" s="42">
        <f ca="1">IFERROR(M311+M324,"")</f>
        <v>0.14027777777777772</v>
      </c>
      <c r="N325" s="40" t="s">
        <v>222</v>
      </c>
      <c r="O325" s="48">
        <f>IFERROR(O311+O324,"")</f>
        <v>982760</v>
      </c>
    </row>
    <row r="326" spans="1:15" ht="15" customHeight="1">
      <c r="A326" s="69">
        <v>46216</v>
      </c>
      <c r="B326" s="25">
        <v>0.33333333333333298</v>
      </c>
      <c r="C326" s="26" t="s">
        <v>45</v>
      </c>
      <c r="D326" s="59" t="s">
        <v>38</v>
      </c>
      <c r="E326" s="59" t="s">
        <v>236</v>
      </c>
      <c r="F326" s="27">
        <v>0</v>
      </c>
      <c r="G326" s="28">
        <f t="shared" ref="G326:G337" si="72">IF(F326="","",IF(E326="PC 17",F326*4.2,IF(E326="PC 19",F326*5,"")))</f>
        <v>0</v>
      </c>
      <c r="H326" s="26" t="s">
        <v>20</v>
      </c>
      <c r="I326" s="26" t="s">
        <v>47</v>
      </c>
      <c r="J326" s="26" t="s">
        <v>51</v>
      </c>
      <c r="K326" s="29">
        <v>0.35069444444444442</v>
      </c>
      <c r="L326" s="29">
        <v>0.39791666666666664</v>
      </c>
      <c r="M326" s="30">
        <f t="shared" ref="M326:M337" ca="1" si="73">IFERROR(IF(K326="","",IF(L326="",MOD(NOW()-K326,1),IF(L326&gt;=K326,L326-K326,L326+1-K326))),"")</f>
        <v>4.7222222222222221E-2</v>
      </c>
      <c r="N326" s="27" t="s">
        <v>285</v>
      </c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38</v>
      </c>
      <c r="E327" s="59" t="s">
        <v>236</v>
      </c>
      <c r="F327" s="27">
        <v>7</v>
      </c>
      <c r="G327" s="34">
        <f t="shared" si="72"/>
        <v>29.400000000000002</v>
      </c>
      <c r="H327" s="26" t="s">
        <v>20</v>
      </c>
      <c r="I327" s="26" t="s">
        <v>47</v>
      </c>
      <c r="J327" s="26" t="s">
        <v>51</v>
      </c>
      <c r="K327" s="29">
        <v>0.40555555555555556</v>
      </c>
      <c r="L327" s="29">
        <v>0.41041666666666665</v>
      </c>
      <c r="M327" s="35">
        <f t="shared" ca="1" si="73"/>
        <v>4.8611111111110938E-3</v>
      </c>
      <c r="N327" s="27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236</v>
      </c>
      <c r="F328" s="27">
        <v>0</v>
      </c>
      <c r="G328" s="28">
        <f t="shared" si="72"/>
        <v>0</v>
      </c>
      <c r="H328" s="26" t="s">
        <v>20</v>
      </c>
      <c r="I328" s="26" t="s">
        <v>47</v>
      </c>
      <c r="J328" s="26" t="s">
        <v>51</v>
      </c>
      <c r="K328" s="29">
        <v>0.42916666666666664</v>
      </c>
      <c r="L328" s="29">
        <v>0.43402777777777779</v>
      </c>
      <c r="M328" s="30">
        <f t="shared" ca="1" si="73"/>
        <v>4.8611111111111494E-3</v>
      </c>
      <c r="N328" s="27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236</v>
      </c>
      <c r="F329" s="27">
        <v>5</v>
      </c>
      <c r="G329" s="34">
        <f t="shared" si="72"/>
        <v>21</v>
      </c>
      <c r="H329" s="33" t="s">
        <v>20</v>
      </c>
      <c r="I329" s="33" t="s">
        <v>47</v>
      </c>
      <c r="J329" s="33" t="s">
        <v>195</v>
      </c>
      <c r="K329" s="29">
        <v>0.45833333333333331</v>
      </c>
      <c r="L329" s="29">
        <v>0.61111111111111116</v>
      </c>
      <c r="M329" s="35">
        <f t="shared" ca="1" si="73"/>
        <v>0.15277777777777785</v>
      </c>
      <c r="N329" s="27" t="s">
        <v>271</v>
      </c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 t="s">
        <v>45</v>
      </c>
      <c r="D330" s="59" t="s">
        <v>38</v>
      </c>
      <c r="E330" s="59" t="s">
        <v>216</v>
      </c>
      <c r="F330" s="27">
        <v>0</v>
      </c>
      <c r="G330" s="28">
        <f t="shared" si="72"/>
        <v>0</v>
      </c>
      <c r="H330" s="26" t="s">
        <v>20</v>
      </c>
      <c r="I330" s="26" t="s">
        <v>47</v>
      </c>
      <c r="J330" s="26" t="s">
        <v>51</v>
      </c>
      <c r="K330" s="29">
        <v>0.64444444444444449</v>
      </c>
      <c r="L330" s="29">
        <v>0.64652777777777781</v>
      </c>
      <c r="M330" s="30">
        <f t="shared" ca="1" si="73"/>
        <v>2.0833333333333259E-3</v>
      </c>
      <c r="N330" s="27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 t="s">
        <v>45</v>
      </c>
      <c r="D331" s="59" t="s">
        <v>38</v>
      </c>
      <c r="E331" s="59" t="s">
        <v>236</v>
      </c>
      <c r="F331" s="27">
        <v>0</v>
      </c>
      <c r="G331" s="34">
        <f t="shared" si="72"/>
        <v>0</v>
      </c>
      <c r="H331" s="33" t="s">
        <v>20</v>
      </c>
      <c r="I331" s="33" t="s">
        <v>47</v>
      </c>
      <c r="J331" s="33" t="s">
        <v>191</v>
      </c>
      <c r="K331" s="29">
        <v>0.65972222222222221</v>
      </c>
      <c r="L331" s="29">
        <v>0.66666666666666663</v>
      </c>
      <c r="M331" s="35">
        <f t="shared" ca="1" si="73"/>
        <v>6.9444444444444198E-3</v>
      </c>
      <c r="N331" s="27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 t="s">
        <v>45</v>
      </c>
      <c r="D332" s="59" t="s">
        <v>38</v>
      </c>
      <c r="E332" s="59" t="s">
        <v>236</v>
      </c>
      <c r="F332" s="27">
        <v>0</v>
      </c>
      <c r="G332" s="28">
        <f t="shared" si="72"/>
        <v>0</v>
      </c>
      <c r="H332" s="26" t="s">
        <v>18</v>
      </c>
      <c r="I332" s="26" t="s">
        <v>47</v>
      </c>
      <c r="J332" s="26" t="s">
        <v>126</v>
      </c>
      <c r="K332" s="29">
        <v>0.70277777777777772</v>
      </c>
      <c r="L332" s="29">
        <v>0.71805555555555556</v>
      </c>
      <c r="M332" s="30">
        <f t="shared" ca="1" si="73"/>
        <v>1.5277777777777835E-2</v>
      </c>
      <c r="N332" s="27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 t="s">
        <v>45</v>
      </c>
      <c r="D333" s="59" t="s">
        <v>38</v>
      </c>
      <c r="E333" s="59" t="s">
        <v>236</v>
      </c>
      <c r="F333" s="27">
        <v>3</v>
      </c>
      <c r="G333" s="34">
        <f t="shared" si="72"/>
        <v>12.600000000000001</v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 t="s">
        <v>45</v>
      </c>
      <c r="D334" s="59" t="s">
        <v>38</v>
      </c>
      <c r="E334" s="59" t="s">
        <v>236</v>
      </c>
      <c r="F334" s="27">
        <v>18</v>
      </c>
      <c r="G334" s="28">
        <f t="shared" si="72"/>
        <v>75.600000000000009</v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 t="s">
        <v>45</v>
      </c>
      <c r="D335" s="59" t="s">
        <v>38</v>
      </c>
      <c r="E335" s="59" t="s">
        <v>236</v>
      </c>
      <c r="F335" s="27">
        <v>0</v>
      </c>
      <c r="G335" s="34">
        <f t="shared" si="72"/>
        <v>0</v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 t="s">
        <v>45</v>
      </c>
      <c r="D336" s="59" t="s">
        <v>38</v>
      </c>
      <c r="E336" s="59" t="s">
        <v>236</v>
      </c>
      <c r="F336" s="27">
        <v>7</v>
      </c>
      <c r="G336" s="28">
        <f t="shared" si="72"/>
        <v>29.400000000000002</v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 t="s">
        <v>45</v>
      </c>
      <c r="D337" s="59" t="s">
        <v>38</v>
      </c>
      <c r="E337" s="59" t="s">
        <v>236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101" t="s">
        <v>218</v>
      </c>
      <c r="B338" s="102"/>
      <c r="C338" s="102"/>
      <c r="D338" s="102"/>
      <c r="E338" s="103">
        <f>SUM(E326:E337)</f>
        <v>0</v>
      </c>
      <c r="F338" s="36">
        <f>SUM(F326:F337)</f>
        <v>40</v>
      </c>
      <c r="G338" s="36">
        <f>SUM(G326:G337)</f>
        <v>168.00000000000003</v>
      </c>
      <c r="H338" s="37"/>
      <c r="I338" s="37"/>
      <c r="J338" s="37"/>
      <c r="K338" s="37"/>
      <c r="L338" s="37"/>
      <c r="M338" s="38">
        <f ca="1">IFERROR(SUM(M326:M337),"")</f>
        <v>0.23402777777777789</v>
      </c>
      <c r="N338" s="36" t="s">
        <v>219</v>
      </c>
      <c r="O338" s="39">
        <v>168000</v>
      </c>
    </row>
    <row r="339" spans="1:15" ht="15" customHeight="1">
      <c r="A339" s="70">
        <v>46216</v>
      </c>
      <c r="B339" s="32">
        <v>0.83333333333333304</v>
      </c>
      <c r="C339" s="33" t="s">
        <v>29</v>
      </c>
      <c r="D339" s="62" t="s">
        <v>30</v>
      </c>
      <c r="E339" s="62" t="s">
        <v>236</v>
      </c>
      <c r="F339" s="27">
        <v>17</v>
      </c>
      <c r="G339" s="34">
        <f t="shared" ref="G339:G350" si="75">IF(F339="","",IF(E339="PC 17",F339*4.2,IF(E339="PC 19",F339*5,"")))</f>
        <v>71.400000000000006</v>
      </c>
      <c r="H339" s="33" t="s">
        <v>20</v>
      </c>
      <c r="I339" s="33" t="s">
        <v>47</v>
      </c>
      <c r="J339" s="33" t="s">
        <v>56</v>
      </c>
      <c r="K339" s="29">
        <v>0.8666666666666667</v>
      </c>
      <c r="L339" s="29">
        <v>0.87569444444444444</v>
      </c>
      <c r="M339" s="35">
        <f t="shared" ref="M339:M350" ca="1" si="76">IFERROR(IF(K339="","",IF(L339="",MOD(NOW()-K339,1),IF(L339&gt;=K339,L339-K339,L339+1-K339))),"")</f>
        <v>9.0277777777777457E-3</v>
      </c>
      <c r="N339" s="27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236</v>
      </c>
      <c r="F340" s="27">
        <v>8</v>
      </c>
      <c r="G340" s="28">
        <f t="shared" si="75"/>
        <v>33.6</v>
      </c>
      <c r="H340" s="26" t="s">
        <v>20</v>
      </c>
      <c r="I340" s="26" t="s">
        <v>119</v>
      </c>
      <c r="J340" s="26" t="s">
        <v>112</v>
      </c>
      <c r="K340" s="29">
        <v>0.90416666666666667</v>
      </c>
      <c r="L340" s="29">
        <v>0.90972222222222221</v>
      </c>
      <c r="M340" s="30">
        <f t="shared" ca="1" si="76"/>
        <v>5.5555555555555358E-3</v>
      </c>
      <c r="N340" s="27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236</v>
      </c>
      <c r="F341" s="27">
        <v>9</v>
      </c>
      <c r="G341" s="34">
        <f t="shared" si="75"/>
        <v>37.800000000000004</v>
      </c>
      <c r="H341" s="33" t="s">
        <v>19</v>
      </c>
      <c r="I341" s="33" t="s">
        <v>47</v>
      </c>
      <c r="J341" s="33" t="s">
        <v>27</v>
      </c>
      <c r="K341" s="29">
        <v>0.23333333333333334</v>
      </c>
      <c r="L341" s="29">
        <v>0.24444444444444444</v>
      </c>
      <c r="M341" s="35">
        <f t="shared" ca="1" si="76"/>
        <v>1.1111111111111099E-2</v>
      </c>
      <c r="N341" s="27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236</v>
      </c>
      <c r="F342" s="27">
        <v>4</v>
      </c>
      <c r="G342" s="28">
        <f t="shared" si="75"/>
        <v>16.8</v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236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236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236</v>
      </c>
      <c r="F345" s="27">
        <v>10</v>
      </c>
      <c r="G345" s="34">
        <f t="shared" si="75"/>
        <v>42</v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236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236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236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70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236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236</v>
      </c>
      <c r="F350" s="27">
        <v>0</v>
      </c>
      <c r="G350" s="28">
        <f t="shared" si="75"/>
        <v>0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101" t="s">
        <v>220</v>
      </c>
      <c r="B351" s="102"/>
      <c r="C351" s="102"/>
      <c r="D351" s="102"/>
      <c r="E351" s="103">
        <f>SUM(E339:E350)</f>
        <v>0</v>
      </c>
      <c r="F351" s="36">
        <f>SUM(F339:F350)</f>
        <v>98</v>
      </c>
      <c r="G351" s="36">
        <f>SUM(G339:G350)</f>
        <v>411.6</v>
      </c>
      <c r="H351" s="37"/>
      <c r="I351" s="37"/>
      <c r="J351" s="37"/>
      <c r="K351" s="37"/>
      <c r="L351" s="37"/>
      <c r="M351" s="38">
        <f ca="1">IFERROR(SUM(M339:M350),"")</f>
        <v>2.5694444444444381E-2</v>
      </c>
      <c r="N351" s="36" t="s">
        <v>219</v>
      </c>
      <c r="O351" s="39">
        <v>437940</v>
      </c>
    </row>
    <row r="352" spans="1:15" ht="18" customHeight="1">
      <c r="A352" s="98" t="s">
        <v>221</v>
      </c>
      <c r="B352" s="99"/>
      <c r="C352" s="99"/>
      <c r="D352" s="99"/>
      <c r="E352" s="100">
        <f>E338+E351</f>
        <v>0</v>
      </c>
      <c r="F352" s="40">
        <f>F338+F351</f>
        <v>138</v>
      </c>
      <c r="G352" s="40">
        <f>G338+G351</f>
        <v>579.6</v>
      </c>
      <c r="H352" s="41"/>
      <c r="I352" s="41"/>
      <c r="J352" s="41"/>
      <c r="K352" s="41"/>
      <c r="L352" s="41"/>
      <c r="M352" s="42">
        <f ca="1">IFERROR(M338+M351,"")</f>
        <v>0.2597222222222223</v>
      </c>
      <c r="N352" s="40" t="s">
        <v>222</v>
      </c>
      <c r="O352" s="48">
        <f>IFERROR(O338+O351,"")</f>
        <v>605940</v>
      </c>
    </row>
    <row r="353" spans="1:15" ht="15" customHeight="1">
      <c r="A353" s="70">
        <v>46217</v>
      </c>
      <c r="B353" s="32">
        <v>0.33333333333333298</v>
      </c>
      <c r="C353" s="33" t="s">
        <v>45</v>
      </c>
      <c r="D353" s="62" t="s">
        <v>30</v>
      </c>
      <c r="E353" s="62" t="s">
        <v>236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18</v>
      </c>
      <c r="I353" s="33" t="s">
        <v>47</v>
      </c>
      <c r="J353" s="33" t="s">
        <v>34</v>
      </c>
      <c r="K353" s="29">
        <v>0.29166666666666669</v>
      </c>
      <c r="L353" s="29"/>
      <c r="M353" s="35">
        <f t="shared" ref="M353:M364" ca="1" si="79">IFERROR(IF(K353="","",IF(L353="",MOD(NOW()-K353,1),IF(L353&gt;=K353,L353-K353,L353+1-K353))),"")</f>
        <v>0.11845752315275604</v>
      </c>
      <c r="N353" s="27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236</v>
      </c>
      <c r="F354" s="27">
        <v>2</v>
      </c>
      <c r="G354" s="28">
        <f t="shared" si="78"/>
        <v>8.4</v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236</v>
      </c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236</v>
      </c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236</v>
      </c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236</v>
      </c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236</v>
      </c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236</v>
      </c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236</v>
      </c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236</v>
      </c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236</v>
      </c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236</v>
      </c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101" t="s">
        <v>218</v>
      </c>
      <c r="B365" s="102"/>
      <c r="C365" s="102"/>
      <c r="D365" s="102"/>
      <c r="E365" s="103">
        <f>SUM(E353:E364)</f>
        <v>0</v>
      </c>
      <c r="F365" s="36">
        <f>SUM(F353:F364)</f>
        <v>2</v>
      </c>
      <c r="G365" s="36">
        <f>SUM(G353:G364)</f>
        <v>8.4</v>
      </c>
      <c r="H365" s="37"/>
      <c r="I365" s="37"/>
      <c r="J365" s="37"/>
      <c r="K365" s="37"/>
      <c r="L365" s="37"/>
      <c r="M365" s="38">
        <f ca="1">IFERROR(SUM(M353:M364),"")</f>
        <v>0.11845752315275604</v>
      </c>
      <c r="N365" s="36" t="s">
        <v>219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101" t="s">
        <v>220</v>
      </c>
      <c r="B378" s="102"/>
      <c r="C378" s="102"/>
      <c r="D378" s="102"/>
      <c r="E378" s="10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219</v>
      </c>
      <c r="O378" s="39"/>
    </row>
    <row r="379" spans="1:15" ht="18" customHeight="1">
      <c r="A379" s="98" t="s">
        <v>221</v>
      </c>
      <c r="B379" s="99"/>
      <c r="C379" s="99"/>
      <c r="D379" s="99"/>
      <c r="E379" s="100">
        <f>E365+E378</f>
        <v>0</v>
      </c>
      <c r="F379" s="40">
        <f>F365+F378</f>
        <v>2</v>
      </c>
      <c r="G379" s="40">
        <f>G365+G378</f>
        <v>8.4</v>
      </c>
      <c r="H379" s="41"/>
      <c r="I379" s="41"/>
      <c r="J379" s="41"/>
      <c r="K379" s="41"/>
      <c r="L379" s="41"/>
      <c r="M379" s="42">
        <f ca="1">IFERROR(M365+M378,"")</f>
        <v>0.11845752315275604</v>
      </c>
      <c r="N379" s="40" t="s">
        <v>222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101" t="s">
        <v>218</v>
      </c>
      <c r="B392" s="102"/>
      <c r="C392" s="102"/>
      <c r="D392" s="102"/>
      <c r="E392" s="10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219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101" t="s">
        <v>220</v>
      </c>
      <c r="B405" s="102"/>
      <c r="C405" s="102"/>
      <c r="D405" s="102"/>
      <c r="E405" s="10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219</v>
      </c>
      <c r="O405" s="39"/>
    </row>
    <row r="406" spans="1:15" ht="18" customHeight="1">
      <c r="A406" s="98" t="s">
        <v>221</v>
      </c>
      <c r="B406" s="99"/>
      <c r="C406" s="99"/>
      <c r="D406" s="99"/>
      <c r="E406" s="100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222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47"/>
    </row>
    <row r="419" spans="1:15" ht="15.75" customHeight="1">
      <c r="A419" s="101" t="s">
        <v>218</v>
      </c>
      <c r="B419" s="102"/>
      <c r="C419" s="102"/>
      <c r="D419" s="102"/>
      <c r="E419" s="10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219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101" t="s">
        <v>220</v>
      </c>
      <c r="B432" s="102"/>
      <c r="C432" s="102"/>
      <c r="D432" s="102"/>
      <c r="E432" s="10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219</v>
      </c>
      <c r="O432" s="39"/>
    </row>
    <row r="433" spans="1:15" ht="18" customHeight="1">
      <c r="A433" s="98" t="s">
        <v>221</v>
      </c>
      <c r="B433" s="99"/>
      <c r="C433" s="99"/>
      <c r="D433" s="99"/>
      <c r="E433" s="100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222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101" t="s">
        <v>218</v>
      </c>
      <c r="B446" s="102"/>
      <c r="C446" s="102"/>
      <c r="D446" s="102"/>
      <c r="E446" s="10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219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101" t="s">
        <v>220</v>
      </c>
      <c r="B459" s="102"/>
      <c r="C459" s="102"/>
      <c r="D459" s="102"/>
      <c r="E459" s="10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219</v>
      </c>
      <c r="O459" s="39"/>
    </row>
    <row r="460" spans="1:15" ht="18" customHeight="1">
      <c r="A460" s="98" t="s">
        <v>221</v>
      </c>
      <c r="B460" s="99"/>
      <c r="C460" s="99"/>
      <c r="D460" s="99"/>
      <c r="E460" s="100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222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101" t="s">
        <v>218</v>
      </c>
      <c r="B473" s="102"/>
      <c r="C473" s="102"/>
      <c r="D473" s="102"/>
      <c r="E473" s="10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219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101" t="s">
        <v>220</v>
      </c>
      <c r="B486" s="102"/>
      <c r="C486" s="102"/>
      <c r="D486" s="102"/>
      <c r="E486" s="10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219</v>
      </c>
      <c r="O486" s="39"/>
    </row>
    <row r="487" spans="1:15" ht="18" customHeight="1">
      <c r="A487" s="98" t="s">
        <v>221</v>
      </c>
      <c r="B487" s="99"/>
      <c r="C487" s="99"/>
      <c r="D487" s="99"/>
      <c r="E487" s="100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222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101" t="s">
        <v>218</v>
      </c>
      <c r="B500" s="102"/>
      <c r="C500" s="102"/>
      <c r="D500" s="102"/>
      <c r="E500" s="10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219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101" t="s">
        <v>220</v>
      </c>
      <c r="B513" s="102"/>
      <c r="C513" s="102"/>
      <c r="D513" s="102"/>
      <c r="E513" s="10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219</v>
      </c>
      <c r="O513" s="39"/>
    </row>
    <row r="514" spans="1:15" ht="18" customHeight="1">
      <c r="A514" s="98" t="s">
        <v>221</v>
      </c>
      <c r="B514" s="99"/>
      <c r="C514" s="99"/>
      <c r="D514" s="99"/>
      <c r="E514" s="100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222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101" t="s">
        <v>218</v>
      </c>
      <c r="B527" s="102"/>
      <c r="C527" s="102"/>
      <c r="D527" s="102"/>
      <c r="E527" s="10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219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101" t="s">
        <v>220</v>
      </c>
      <c r="B540" s="102"/>
      <c r="C540" s="102"/>
      <c r="D540" s="102"/>
      <c r="E540" s="10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219</v>
      </c>
      <c r="O540" s="39"/>
    </row>
    <row r="541" spans="1:15" ht="18" customHeight="1">
      <c r="A541" s="98" t="s">
        <v>221</v>
      </c>
      <c r="B541" s="99"/>
      <c r="C541" s="99"/>
      <c r="D541" s="99"/>
      <c r="E541" s="100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222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101" t="s">
        <v>218</v>
      </c>
      <c r="B554" s="102"/>
      <c r="C554" s="102"/>
      <c r="D554" s="102"/>
      <c r="E554" s="10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219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101" t="s">
        <v>220</v>
      </c>
      <c r="B567" s="102"/>
      <c r="C567" s="102"/>
      <c r="D567" s="102"/>
      <c r="E567" s="10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219</v>
      </c>
      <c r="O567" s="39"/>
    </row>
    <row r="568" spans="1:15" ht="18" customHeight="1">
      <c r="A568" s="98" t="s">
        <v>221</v>
      </c>
      <c r="B568" s="99"/>
      <c r="C568" s="99"/>
      <c r="D568" s="99"/>
      <c r="E568" s="100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222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101" t="s">
        <v>218</v>
      </c>
      <c r="B581" s="102"/>
      <c r="C581" s="102"/>
      <c r="D581" s="102"/>
      <c r="E581" s="10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219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101" t="s">
        <v>220</v>
      </c>
      <c r="B594" s="102"/>
      <c r="C594" s="102"/>
      <c r="D594" s="102"/>
      <c r="E594" s="10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219</v>
      </c>
      <c r="O594" s="39"/>
    </row>
    <row r="595" spans="1:15" ht="18" customHeight="1">
      <c r="A595" s="98" t="s">
        <v>221</v>
      </c>
      <c r="B595" s="99"/>
      <c r="C595" s="99"/>
      <c r="D595" s="99"/>
      <c r="E595" s="100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222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101" t="s">
        <v>218</v>
      </c>
      <c r="B608" s="102"/>
      <c r="C608" s="102"/>
      <c r="D608" s="102"/>
      <c r="E608" s="10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219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101" t="s">
        <v>220</v>
      </c>
      <c r="B621" s="102"/>
      <c r="C621" s="102"/>
      <c r="D621" s="102"/>
      <c r="E621" s="10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219</v>
      </c>
      <c r="O621" s="39"/>
    </row>
    <row r="622" spans="1:15" ht="18" customHeight="1">
      <c r="A622" s="98" t="s">
        <v>221</v>
      </c>
      <c r="B622" s="99"/>
      <c r="C622" s="99"/>
      <c r="D622" s="99"/>
      <c r="E622" s="100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222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101" t="s">
        <v>218</v>
      </c>
      <c r="B635" s="102"/>
      <c r="C635" s="102"/>
      <c r="D635" s="102"/>
      <c r="E635" s="10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219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101" t="s">
        <v>220</v>
      </c>
      <c r="B648" s="102"/>
      <c r="C648" s="102"/>
      <c r="D648" s="102"/>
      <c r="E648" s="10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219</v>
      </c>
      <c r="O648" s="39"/>
    </row>
    <row r="649" spans="1:15" ht="18" customHeight="1">
      <c r="A649" s="98" t="s">
        <v>221</v>
      </c>
      <c r="B649" s="99"/>
      <c r="C649" s="99"/>
      <c r="D649" s="99"/>
      <c r="E649" s="100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222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101" t="s">
        <v>218</v>
      </c>
      <c r="B662" s="102"/>
      <c r="C662" s="102"/>
      <c r="D662" s="102"/>
      <c r="E662" s="10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219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101" t="s">
        <v>220</v>
      </c>
      <c r="B675" s="102"/>
      <c r="C675" s="102"/>
      <c r="D675" s="102"/>
      <c r="E675" s="10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219</v>
      </c>
      <c r="O675" s="39"/>
    </row>
    <row r="676" spans="1:15" ht="18" customHeight="1">
      <c r="A676" s="98" t="s">
        <v>221</v>
      </c>
      <c r="B676" s="99"/>
      <c r="C676" s="99"/>
      <c r="D676" s="99"/>
      <c r="E676" s="100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222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101" t="s">
        <v>218</v>
      </c>
      <c r="B689" s="102"/>
      <c r="C689" s="102"/>
      <c r="D689" s="102"/>
      <c r="E689" s="10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219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101" t="s">
        <v>220</v>
      </c>
      <c r="B702" s="102"/>
      <c r="C702" s="102"/>
      <c r="D702" s="102"/>
      <c r="E702" s="10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219</v>
      </c>
      <c r="O702" s="39"/>
    </row>
    <row r="703" spans="1:15" ht="18" customHeight="1">
      <c r="A703" s="98" t="s">
        <v>221</v>
      </c>
      <c r="B703" s="99"/>
      <c r="C703" s="99"/>
      <c r="D703" s="99"/>
      <c r="E703" s="100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222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101" t="s">
        <v>218</v>
      </c>
      <c r="B716" s="102"/>
      <c r="C716" s="102"/>
      <c r="D716" s="102"/>
      <c r="E716" s="10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219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101" t="s">
        <v>220</v>
      </c>
      <c r="B729" s="102"/>
      <c r="C729" s="102"/>
      <c r="D729" s="102"/>
      <c r="E729" s="10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219</v>
      </c>
      <c r="O729" s="39"/>
    </row>
    <row r="730" spans="1:15" ht="18" customHeight="1">
      <c r="A730" s="98" t="s">
        <v>221</v>
      </c>
      <c r="B730" s="99"/>
      <c r="C730" s="99"/>
      <c r="D730" s="99"/>
      <c r="E730" s="100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222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101" t="s">
        <v>218</v>
      </c>
      <c r="B743" s="102"/>
      <c r="C743" s="102"/>
      <c r="D743" s="102"/>
      <c r="E743" s="10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219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101" t="s">
        <v>220</v>
      </c>
      <c r="B756" s="102"/>
      <c r="C756" s="102"/>
      <c r="D756" s="102"/>
      <c r="E756" s="10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219</v>
      </c>
      <c r="O756" s="39"/>
    </row>
    <row r="757" spans="1:15" ht="18" customHeight="1">
      <c r="A757" s="98" t="s">
        <v>221</v>
      </c>
      <c r="B757" s="99"/>
      <c r="C757" s="99"/>
      <c r="D757" s="99"/>
      <c r="E757" s="100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222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101" t="s">
        <v>218</v>
      </c>
      <c r="B770" s="102"/>
      <c r="C770" s="102"/>
      <c r="D770" s="102"/>
      <c r="E770" s="10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219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101" t="s">
        <v>220</v>
      </c>
      <c r="B783" s="102"/>
      <c r="C783" s="102"/>
      <c r="D783" s="102"/>
      <c r="E783" s="10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219</v>
      </c>
      <c r="O783" s="39"/>
    </row>
    <row r="784" spans="1:15" ht="18" customHeight="1">
      <c r="A784" s="98" t="s">
        <v>221</v>
      </c>
      <c r="B784" s="99"/>
      <c r="C784" s="99"/>
      <c r="D784" s="99"/>
      <c r="E784" s="100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222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101" t="s">
        <v>218</v>
      </c>
      <c r="B797" s="102"/>
      <c r="C797" s="102"/>
      <c r="D797" s="102"/>
      <c r="E797" s="10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219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101" t="s">
        <v>220</v>
      </c>
      <c r="B810" s="102"/>
      <c r="C810" s="102"/>
      <c r="D810" s="102"/>
      <c r="E810" s="10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219</v>
      </c>
      <c r="O810" s="39"/>
    </row>
    <row r="811" spans="1:15" ht="18" customHeight="1">
      <c r="A811" s="98" t="s">
        <v>221</v>
      </c>
      <c r="B811" s="99"/>
      <c r="C811" s="99"/>
      <c r="D811" s="99"/>
      <c r="E811" s="100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222</v>
      </c>
      <c r="O811" s="43">
        <f>IFERROR(O797+O810,"")</f>
        <v>0</v>
      </c>
    </row>
  </sheetData>
  <mergeCells count="90"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dataValidations count="2">
    <dataValidation type="list" allowBlank="1" showErrorMessage="1" errorTitle="Valor inválido" error="Selecione PC 17 ou PC 19 da lista." sqref="E15:E26 E2:E13 E29:E811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D29:D294 D296:D900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11"/>
  <sheetViews>
    <sheetView showGridLines="0" tabSelected="1" zoomScale="50" zoomScaleNormal="50" workbookViewId="0">
      <pane ySplit="1" topLeftCell="A352" activePane="bottomLeft" state="frozen"/>
      <selection pane="bottomLeft" activeCell="L355" sqref="L355"/>
    </sheetView>
  </sheetViews>
  <sheetFormatPr defaultColWidth="8.5703125" defaultRowHeight="14.45"/>
  <cols>
    <col min="1" max="1" width="13" style="76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65.42578125" style="57" customWidth="1"/>
    <col min="15" max="15" width="14" customWidth="1"/>
    <col min="16" max="16" width="9.42578125" bestFit="1" customWidth="1"/>
  </cols>
  <sheetData>
    <row r="1" spans="1:15" ht="37.5" customHeight="1">
      <c r="A1" s="68" t="s">
        <v>7</v>
      </c>
      <c r="B1" s="23" t="s">
        <v>205</v>
      </c>
      <c r="C1" s="23" t="s">
        <v>12</v>
      </c>
      <c r="D1" s="22" t="s">
        <v>13</v>
      </c>
      <c r="E1" s="22" t="s">
        <v>206</v>
      </c>
      <c r="F1" s="23" t="s">
        <v>207</v>
      </c>
      <c r="G1" s="23" t="s">
        <v>208</v>
      </c>
      <c r="H1" s="23" t="s">
        <v>14</v>
      </c>
      <c r="I1" s="23" t="s">
        <v>15</v>
      </c>
      <c r="J1" s="23" t="s">
        <v>209</v>
      </c>
      <c r="K1" s="23" t="s">
        <v>210</v>
      </c>
      <c r="L1" s="23" t="s">
        <v>211</v>
      </c>
      <c r="M1" s="24" t="s">
        <v>212</v>
      </c>
      <c r="N1" s="23" t="s">
        <v>213</v>
      </c>
      <c r="O1" s="23" t="s">
        <v>214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236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137</v>
      </c>
      <c r="J2" s="26" t="s">
        <v>101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286</v>
      </c>
      <c r="O2" s="60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236</v>
      </c>
      <c r="F3" s="27">
        <v>0</v>
      </c>
      <c r="G3" s="34">
        <f t="shared" si="0"/>
        <v>0</v>
      </c>
      <c r="H3" s="33" t="s">
        <v>18</v>
      </c>
      <c r="I3" s="33" t="s">
        <v>158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271</v>
      </c>
      <c r="O3" s="60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236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188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236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236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236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236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236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236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236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236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236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101" t="s">
        <v>218</v>
      </c>
      <c r="B14" s="102"/>
      <c r="C14" s="102"/>
      <c r="D14" s="102"/>
      <c r="E14" s="103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219</v>
      </c>
      <c r="O14" s="39">
        <v>327070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236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236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9">
        <f ca="1">IFERROR(IF(K16="","",IF(L16="",MOD(NOW()-K16,1),IF(L16&gt;=K16,L16-K16,L16+1-K16))),"")</f>
        <v>4.1666666666666741E-2</v>
      </c>
      <c r="N16" s="27" t="s">
        <v>287</v>
      </c>
      <c r="O16" s="60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236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236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236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236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236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236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236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236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236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236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101" t="s">
        <v>220</v>
      </c>
      <c r="B27" s="102"/>
      <c r="C27" s="102"/>
      <c r="D27" s="102"/>
      <c r="E27" s="103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219</v>
      </c>
      <c r="O27" s="39">
        <v>202230</v>
      </c>
    </row>
    <row r="28" spans="1:15" ht="18" customHeight="1">
      <c r="A28" s="98" t="s">
        <v>221</v>
      </c>
      <c r="B28" s="99"/>
      <c r="C28" s="99"/>
      <c r="D28" s="99"/>
      <c r="E28" s="100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222</v>
      </c>
      <c r="O28" s="48">
        <f>IFERROR(O14+O27,"")</f>
        <v>529300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236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125</v>
      </c>
      <c r="J29" s="33" t="s">
        <v>192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288</v>
      </c>
      <c r="O29" s="60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236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236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236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236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236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289</v>
      </c>
      <c r="O34" s="60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236</v>
      </c>
      <c r="F35" s="27">
        <v>0</v>
      </c>
      <c r="G35" s="28">
        <f t="shared" si="6"/>
        <v>0</v>
      </c>
      <c r="H35" s="33" t="s">
        <v>20</v>
      </c>
      <c r="I35" s="33" t="s">
        <v>148</v>
      </c>
      <c r="J35" s="33" t="s">
        <v>177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236</v>
      </c>
      <c r="F36" s="27">
        <v>0</v>
      </c>
      <c r="G36" s="34">
        <f t="shared" si="6"/>
        <v>0</v>
      </c>
      <c r="H36" s="26" t="s">
        <v>20</v>
      </c>
      <c r="I36" s="26" t="s">
        <v>148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236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236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236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236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101" t="s">
        <v>218</v>
      </c>
      <c r="B41" s="102"/>
      <c r="C41" s="102"/>
      <c r="D41" s="102"/>
      <c r="E41" s="103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219</v>
      </c>
      <c r="O41" s="39">
        <v>304990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236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236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236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236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236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236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236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236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236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236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236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236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101" t="s">
        <v>220</v>
      </c>
      <c r="B54" s="102"/>
      <c r="C54" s="102"/>
      <c r="D54" s="102"/>
      <c r="E54" s="103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219</v>
      </c>
      <c r="O54" s="39">
        <v>473910</v>
      </c>
    </row>
    <row r="55" spans="1:15" ht="18" customHeight="1">
      <c r="A55" s="98" t="s">
        <v>221</v>
      </c>
      <c r="B55" s="99"/>
      <c r="C55" s="99"/>
      <c r="D55" s="99"/>
      <c r="E55" s="100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222</v>
      </c>
      <c r="O55" s="48">
        <f>IFERROR(O41+O54,"")</f>
        <v>778900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236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236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236</v>
      </c>
      <c r="F58" s="27">
        <v>15</v>
      </c>
      <c r="G58" s="28">
        <f t="shared" si="12"/>
        <v>63</v>
      </c>
      <c r="H58" s="26" t="s">
        <v>19</v>
      </c>
      <c r="I58" s="26" t="s">
        <v>57</v>
      </c>
      <c r="J58" s="26" t="s">
        <v>27</v>
      </c>
      <c r="K58" s="29" t="s">
        <v>290</v>
      </c>
      <c r="L58" s="29">
        <v>0.54097222222222219</v>
      </c>
      <c r="M58" s="30" t="str">
        <f t="shared" ca="1" si="13"/>
        <v/>
      </c>
      <c r="N58" s="27" t="s">
        <v>291</v>
      </c>
      <c r="O58" s="60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236</v>
      </c>
      <c r="F59" s="27">
        <v>31</v>
      </c>
      <c r="G59" s="34">
        <f t="shared" si="12"/>
        <v>130.20000000000002</v>
      </c>
      <c r="H59" s="33" t="s">
        <v>19</v>
      </c>
      <c r="I59" s="33" t="s">
        <v>52</v>
      </c>
      <c r="J59" s="33" t="s">
        <v>27</v>
      </c>
      <c r="K59" s="29">
        <v>0.72013888888888888</v>
      </c>
      <c r="L59" s="29">
        <v>0.75</v>
      </c>
      <c r="M59" s="35">
        <f t="shared" ca="1" si="13"/>
        <v>2.9861111111111116E-2</v>
      </c>
      <c r="N59" s="27"/>
      <c r="O59" s="60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236</v>
      </c>
      <c r="F60" s="27">
        <v>14</v>
      </c>
      <c r="G60" s="28">
        <f t="shared" si="12"/>
        <v>58.800000000000004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236</v>
      </c>
      <c r="F61" s="27">
        <v>17</v>
      </c>
      <c r="G61" s="34">
        <f t="shared" si="12"/>
        <v>71.400000000000006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236</v>
      </c>
      <c r="F62" s="27">
        <v>9</v>
      </c>
      <c r="G62" s="28">
        <f t="shared" si="12"/>
        <v>37.800000000000004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236</v>
      </c>
      <c r="F63" s="27">
        <v>13</v>
      </c>
      <c r="G63" s="34">
        <f t="shared" si="12"/>
        <v>54.6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236</v>
      </c>
      <c r="F64" s="27">
        <v>24</v>
      </c>
      <c r="G64" s="28">
        <f t="shared" si="12"/>
        <v>100.80000000000001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236</v>
      </c>
      <c r="F65" s="27">
        <v>30</v>
      </c>
      <c r="G65" s="34">
        <f t="shared" si="12"/>
        <v>126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236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236</v>
      </c>
      <c r="F67" s="27">
        <v>7</v>
      </c>
      <c r="G67" s="34">
        <f t="shared" si="12"/>
        <v>29.400000000000002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101" t="s">
        <v>218</v>
      </c>
      <c r="B68" s="102"/>
      <c r="C68" s="102"/>
      <c r="D68" s="102"/>
      <c r="E68" s="103">
        <f>SUM(E56:E67)</f>
        <v>0</v>
      </c>
      <c r="F68" s="36">
        <f>SUM(F56:F67)</f>
        <v>195</v>
      </c>
      <c r="G68" s="36">
        <f>SUM(G56:G67)</f>
        <v>819.00000000000011</v>
      </c>
      <c r="H68" s="37"/>
      <c r="I68" s="37"/>
      <c r="J68" s="37"/>
      <c r="K68" s="61"/>
      <c r="L68" s="61"/>
      <c r="M68" s="38">
        <f ca="1">IFERROR(SUM(M56:M67),"")</f>
        <v>5.9722222222222232E-2</v>
      </c>
      <c r="N68" s="36" t="s">
        <v>219</v>
      </c>
      <c r="O68" s="39">
        <v>763370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236</v>
      </c>
      <c r="F69" s="27">
        <v>27</v>
      </c>
      <c r="G69" s="34">
        <f t="shared" ref="G69:G80" si="15">IF(F69="","",IF(E69="PC 17",F69*4.2,IF(E69="PC 19",F69*5,"")))</f>
        <v>113.4</v>
      </c>
      <c r="H69" s="33" t="s">
        <v>20</v>
      </c>
      <c r="I69" s="33" t="s">
        <v>52</v>
      </c>
      <c r="J69" s="33" t="s">
        <v>51</v>
      </c>
      <c r="K69" s="29">
        <v>0.83819444444444446</v>
      </c>
      <c r="L69" s="29">
        <v>0.84097222222222223</v>
      </c>
      <c r="M69" s="35">
        <f t="shared" ref="M69:M80" ca="1" si="16">IFERROR(IF(K69="","",IF(L69="",MOD(NOW()-K69,1),IF(L69&gt;=K69,L69-K69,L69+1-K69))),"")</f>
        <v>2.7777777777777679E-3</v>
      </c>
      <c r="N69" s="27"/>
      <c r="O69" s="60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236</v>
      </c>
      <c r="F70" s="27">
        <v>19</v>
      </c>
      <c r="G70" s="28">
        <f t="shared" si="15"/>
        <v>79.8</v>
      </c>
      <c r="H70" s="26" t="s">
        <v>20</v>
      </c>
      <c r="I70" s="26" t="s">
        <v>52</v>
      </c>
      <c r="J70" s="26" t="s">
        <v>51</v>
      </c>
      <c r="K70" s="29">
        <v>0.86805555555555558</v>
      </c>
      <c r="L70" s="29">
        <v>0.88958333333333328</v>
      </c>
      <c r="M70" s="30">
        <f t="shared" ca="1" si="16"/>
        <v>2.1527777777777701E-2</v>
      </c>
      <c r="N70" s="27" t="s">
        <v>267</v>
      </c>
      <c r="O70" s="60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236</v>
      </c>
      <c r="F71" s="27">
        <v>12</v>
      </c>
      <c r="G71" s="34">
        <f t="shared" si="15"/>
        <v>50.400000000000006</v>
      </c>
      <c r="H71" s="33" t="s">
        <v>18</v>
      </c>
      <c r="I71" s="33" t="s">
        <v>125</v>
      </c>
      <c r="J71" s="33" t="s">
        <v>194</v>
      </c>
      <c r="K71" s="29">
        <v>0.89236111111111116</v>
      </c>
      <c r="L71" s="29">
        <v>0.90625</v>
      </c>
      <c r="M71" s="35">
        <f t="shared" ca="1" si="16"/>
        <v>1.388888888888884E-2</v>
      </c>
      <c r="N71" s="27"/>
      <c r="O71" s="60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236</v>
      </c>
      <c r="F72" s="27">
        <v>9</v>
      </c>
      <c r="G72" s="28">
        <f t="shared" si="15"/>
        <v>37.800000000000004</v>
      </c>
      <c r="H72" s="26" t="s">
        <v>20</v>
      </c>
      <c r="I72" s="26" t="s">
        <v>52</v>
      </c>
      <c r="J72" s="26" t="s">
        <v>163</v>
      </c>
      <c r="K72" s="29">
        <v>0.90972222222222221</v>
      </c>
      <c r="L72" s="29">
        <v>0.94097222222222221</v>
      </c>
      <c r="M72" s="30">
        <f t="shared" ca="1" si="16"/>
        <v>3.125E-2</v>
      </c>
      <c r="N72" s="27" t="s">
        <v>292</v>
      </c>
      <c r="O72" s="60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236</v>
      </c>
      <c r="F73" s="27">
        <v>9</v>
      </c>
      <c r="G73" s="34">
        <f t="shared" si="15"/>
        <v>37.800000000000004</v>
      </c>
      <c r="H73" s="33" t="s">
        <v>20</v>
      </c>
      <c r="I73" s="33" t="s">
        <v>52</v>
      </c>
      <c r="J73" s="33" t="s">
        <v>163</v>
      </c>
      <c r="K73" s="29">
        <v>0.95416666666666672</v>
      </c>
      <c r="L73" s="29">
        <v>0.97916666666666663</v>
      </c>
      <c r="M73" s="35">
        <f t="shared" ca="1" si="16"/>
        <v>2.4999999999999911E-2</v>
      </c>
      <c r="N73" s="27" t="s">
        <v>293</v>
      </c>
      <c r="O73" s="60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236</v>
      </c>
      <c r="F74" s="27">
        <v>31</v>
      </c>
      <c r="G74" s="28">
        <f t="shared" si="15"/>
        <v>130.20000000000002</v>
      </c>
      <c r="H74" s="26" t="s">
        <v>19</v>
      </c>
      <c r="I74" s="26" t="s">
        <v>52</v>
      </c>
      <c r="J74" s="33" t="s">
        <v>35</v>
      </c>
      <c r="K74" s="29">
        <v>4.4444444444444446E-2</v>
      </c>
      <c r="L74" s="29">
        <v>0.10486111111111111</v>
      </c>
      <c r="M74" s="30">
        <f t="shared" ca="1" si="16"/>
        <v>6.0416666666666667E-2</v>
      </c>
      <c r="N74" s="27" t="s">
        <v>294</v>
      </c>
      <c r="O74" s="60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236</v>
      </c>
      <c r="F75" s="27">
        <v>8</v>
      </c>
      <c r="G75" s="34">
        <f>IF(F75="","",IF(E75="PC 17",F75*4.2,IF(E75="PC 19",F75*5,"")))</f>
        <v>33.6</v>
      </c>
      <c r="H75" s="33" t="s">
        <v>20</v>
      </c>
      <c r="I75" s="33" t="s">
        <v>57</v>
      </c>
      <c r="J75" s="33" t="s">
        <v>163</v>
      </c>
      <c r="K75" s="29">
        <v>0.10902777777777778</v>
      </c>
      <c r="L75" s="29">
        <v>0.12569444444444444</v>
      </c>
      <c r="M75" s="35">
        <f t="shared" ca="1" si="16"/>
        <v>1.6666666666666663E-2</v>
      </c>
      <c r="N75" s="27" t="s">
        <v>295</v>
      </c>
      <c r="O75" s="60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236</v>
      </c>
      <c r="F76" s="27">
        <v>1</v>
      </c>
      <c r="G76" s="28">
        <f t="shared" si="15"/>
        <v>4.2</v>
      </c>
      <c r="H76" s="26" t="s">
        <v>20</v>
      </c>
      <c r="I76" s="26" t="s">
        <v>148</v>
      </c>
      <c r="J76" s="26" t="s">
        <v>180</v>
      </c>
      <c r="K76" s="29">
        <v>0.13194444444444445</v>
      </c>
      <c r="L76" s="29">
        <v>0.22222222222222221</v>
      </c>
      <c r="M76" s="30">
        <f t="shared" ca="1" si="16"/>
        <v>9.0277777777777762E-2</v>
      </c>
      <c r="N76" s="27"/>
      <c r="O76" s="60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236</v>
      </c>
      <c r="F77" s="27">
        <v>4</v>
      </c>
      <c r="G77" s="34">
        <f t="shared" si="15"/>
        <v>16.8</v>
      </c>
      <c r="H77" s="33" t="s">
        <v>20</v>
      </c>
      <c r="I77" s="33" t="s">
        <v>52</v>
      </c>
      <c r="J77" s="33" t="s">
        <v>51</v>
      </c>
      <c r="K77" s="29">
        <v>0.23958333333333334</v>
      </c>
      <c r="L77" s="29">
        <v>0.25694444444444442</v>
      </c>
      <c r="M77" s="35">
        <f t="shared" ca="1" si="16"/>
        <v>1.7361111111111077E-2</v>
      </c>
      <c r="N77" s="27"/>
      <c r="O77" s="60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236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236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236</v>
      </c>
      <c r="F80" s="27">
        <v>5</v>
      </c>
      <c r="G80" s="28">
        <f t="shared" si="15"/>
        <v>21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101" t="s">
        <v>220</v>
      </c>
      <c r="B81" s="102"/>
      <c r="C81" s="102"/>
      <c r="D81" s="102"/>
      <c r="E81" s="103">
        <f>SUM(E69:E80)</f>
        <v>0</v>
      </c>
      <c r="F81" s="36">
        <f>SUM(F69:F80)</f>
        <v>132</v>
      </c>
      <c r="G81" s="36">
        <f>SUM(G69:G80)</f>
        <v>554.4</v>
      </c>
      <c r="H81" s="37"/>
      <c r="I81" s="37"/>
      <c r="J81" s="37"/>
      <c r="K81" s="61"/>
      <c r="L81" s="61"/>
      <c r="M81" s="38">
        <f ca="1">IFERROR(SUM(M69:M80),"")</f>
        <v>0.27916666666666634</v>
      </c>
      <c r="N81" s="36" t="s">
        <v>219</v>
      </c>
      <c r="O81" s="39">
        <v>565120</v>
      </c>
    </row>
    <row r="82" spans="1:15" ht="18" customHeight="1">
      <c r="A82" s="98" t="s">
        <v>221</v>
      </c>
      <c r="B82" s="99"/>
      <c r="C82" s="99"/>
      <c r="D82" s="99"/>
      <c r="E82" s="100">
        <f>E68+E81</f>
        <v>0</v>
      </c>
      <c r="F82" s="40">
        <f>F68+F81</f>
        <v>327</v>
      </c>
      <c r="G82" s="40">
        <f>G68+G81</f>
        <v>1373.4</v>
      </c>
      <c r="H82" s="41"/>
      <c r="I82" s="41"/>
      <c r="J82" s="41"/>
      <c r="K82" s="63"/>
      <c r="L82" s="63"/>
      <c r="M82" s="42">
        <f ca="1">IFERROR(M68+M81,"")</f>
        <v>0.33888888888888857</v>
      </c>
      <c r="N82" s="40" t="s">
        <v>222</v>
      </c>
      <c r="O82" s="48">
        <f>IFERROR(O68+O81,"")</f>
        <v>1328490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236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52</v>
      </c>
      <c r="J83" s="33" t="s">
        <v>27</v>
      </c>
      <c r="K83" s="29">
        <v>0.29166666666666669</v>
      </c>
      <c r="L83" s="29">
        <v>0.46527777777777779</v>
      </c>
      <c r="M83" s="30">
        <f t="shared" ref="M83:M94" ca="1" si="19">IFERROR(IF(K83="","",IF(L83="",MOD(NOW()-K83,1),IF(L83&gt;=K83,L83-K83,L83+1-K83))),"")</f>
        <v>0.1736111111111111</v>
      </c>
      <c r="N83" s="27" t="s">
        <v>296</v>
      </c>
      <c r="O83" s="60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236</v>
      </c>
      <c r="F84" s="27">
        <v>3</v>
      </c>
      <c r="G84" s="34">
        <f t="shared" si="18"/>
        <v>12.600000000000001</v>
      </c>
      <c r="H84" s="26" t="s">
        <v>20</v>
      </c>
      <c r="I84" s="26" t="s">
        <v>52</v>
      </c>
      <c r="J84" s="26" t="s">
        <v>56</v>
      </c>
      <c r="K84" s="29">
        <v>0.7319444444444444</v>
      </c>
      <c r="L84" s="29">
        <v>0.74652777777777779</v>
      </c>
      <c r="M84" s="35">
        <f t="shared" ca="1" si="19"/>
        <v>1.4583333333333393E-2</v>
      </c>
      <c r="N84" s="27"/>
      <c r="O84" s="60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236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236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236</v>
      </c>
      <c r="F87" s="27">
        <v>12</v>
      </c>
      <c r="G87" s="28">
        <f t="shared" si="18"/>
        <v>50.400000000000006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216</v>
      </c>
      <c r="F88" s="27">
        <v>26</v>
      </c>
      <c r="G88" s="34">
        <f t="shared" si="18"/>
        <v>130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216</v>
      </c>
      <c r="F89" s="27">
        <v>21</v>
      </c>
      <c r="G89" s="28">
        <f t="shared" si="18"/>
        <v>105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216</v>
      </c>
      <c r="F90" s="27">
        <v>15</v>
      </c>
      <c r="G90" s="34">
        <f t="shared" si="18"/>
        <v>75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30</v>
      </c>
      <c r="E91" s="59" t="s">
        <v>216</v>
      </c>
      <c r="F91" s="27">
        <v>17</v>
      </c>
      <c r="G91" s="28">
        <f t="shared" si="18"/>
        <v>85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216</v>
      </c>
      <c r="F92" s="27">
        <v>46</v>
      </c>
      <c r="G92" s="34">
        <f t="shared" si="18"/>
        <v>230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216</v>
      </c>
      <c r="F93" s="27">
        <v>3</v>
      </c>
      <c r="G93" s="28">
        <f t="shared" si="18"/>
        <v>15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216</v>
      </c>
      <c r="F94" s="27">
        <v>0</v>
      </c>
      <c r="G94" s="34">
        <f t="shared" si="18"/>
        <v>0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101" t="s">
        <v>218</v>
      </c>
      <c r="B95" s="102"/>
      <c r="C95" s="102"/>
      <c r="D95" s="102"/>
      <c r="E95" s="103">
        <f>SUM(E83:E94)</f>
        <v>0</v>
      </c>
      <c r="F95" s="36">
        <f>SUM(F83:F94)</f>
        <v>143</v>
      </c>
      <c r="G95" s="36">
        <f>SUM(G83:G94)</f>
        <v>703</v>
      </c>
      <c r="H95" s="37"/>
      <c r="I95" s="37"/>
      <c r="J95" s="37"/>
      <c r="K95" s="61"/>
      <c r="L95" s="61"/>
      <c r="M95" s="38">
        <f ca="1">IFERROR(SUM(M83:M94),"")</f>
        <v>0.1881944444444445</v>
      </c>
      <c r="N95" s="36" t="s">
        <v>219</v>
      </c>
      <c r="O95" s="39">
        <v>776910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236</v>
      </c>
      <c r="F96" s="27">
        <v>21</v>
      </c>
      <c r="G96" s="34">
        <f t="shared" ref="G96:G107" si="21">IF(F96="","",IF(E96="PC 17",F96*4.2,IF(E96="PC 19",F96*5,"")))</f>
        <v>88.2</v>
      </c>
      <c r="H96" s="26" t="s">
        <v>19</v>
      </c>
      <c r="I96" s="26" t="s">
        <v>158</v>
      </c>
      <c r="J96" s="26" t="s">
        <v>27</v>
      </c>
      <c r="K96" s="29">
        <v>0.85069444444444442</v>
      </c>
      <c r="L96" s="29">
        <v>0.86597222222222225</v>
      </c>
      <c r="M96" s="35">
        <f t="shared" ref="M96:M107" ca="1" si="22">IFERROR(IF(K96="","",IF(L96="",MOD(NOW()-K96,1),IF(L96&gt;=K96,L96-K96,L96+1-K96))),"")</f>
        <v>1.5277777777777835E-2</v>
      </c>
      <c r="N96" s="27"/>
      <c r="O96" s="60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236</v>
      </c>
      <c r="F97" s="27">
        <v>0</v>
      </c>
      <c r="G97" s="28">
        <f t="shared" si="21"/>
        <v>0</v>
      </c>
      <c r="H97" s="33" t="s">
        <v>20</v>
      </c>
      <c r="I97" s="33" t="s">
        <v>52</v>
      </c>
      <c r="J97" s="33" t="s">
        <v>62</v>
      </c>
      <c r="K97" s="29">
        <v>0.95138888888888884</v>
      </c>
      <c r="L97" s="29">
        <v>0.97083333333333333</v>
      </c>
      <c r="M97" s="30">
        <f t="shared" ca="1" si="22"/>
        <v>1.9444444444444486E-2</v>
      </c>
      <c r="N97" s="27"/>
      <c r="O97" s="60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236</v>
      </c>
      <c r="F98" s="27">
        <v>20</v>
      </c>
      <c r="G98" s="34">
        <f>IF(F98="","",IF(E98="PC 17",F98*4.2,IF(E98="PC 19",F98*5,"")))</f>
        <v>84</v>
      </c>
      <c r="H98" s="26" t="s">
        <v>18</v>
      </c>
      <c r="I98" s="26" t="s">
        <v>75</v>
      </c>
      <c r="J98" s="26" t="s">
        <v>196</v>
      </c>
      <c r="K98" s="29">
        <v>0.99791666666666667</v>
      </c>
      <c r="L98" s="29">
        <v>0.29166666666666669</v>
      </c>
      <c r="M98" s="35">
        <f t="shared" ca="1" si="22"/>
        <v>0.29375000000000007</v>
      </c>
      <c r="N98" s="27"/>
      <c r="O98" s="60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236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236</v>
      </c>
      <c r="F100" s="27">
        <v>22</v>
      </c>
      <c r="G100" s="34">
        <f t="shared" si="21"/>
        <v>92.4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236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236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236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236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236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236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236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101" t="s">
        <v>220</v>
      </c>
      <c r="B108" s="102"/>
      <c r="C108" s="102"/>
      <c r="D108" s="102"/>
      <c r="E108" s="103">
        <f>SUM(E96:E107)</f>
        <v>0</v>
      </c>
      <c r="F108" s="36">
        <f>SUM(F96:F107)</f>
        <v>85</v>
      </c>
      <c r="G108" s="36">
        <f>SUM(G96:G107)</f>
        <v>357</v>
      </c>
      <c r="H108" s="37"/>
      <c r="I108" s="37"/>
      <c r="J108" s="37"/>
      <c r="K108" s="61"/>
      <c r="L108" s="61"/>
      <c r="M108" s="38">
        <f ca="1">IFERROR(SUM(M96:M107),"")</f>
        <v>0.32847222222222239</v>
      </c>
      <c r="N108" s="36" t="s">
        <v>219</v>
      </c>
      <c r="O108" s="39">
        <v>558590</v>
      </c>
    </row>
    <row r="109" spans="1:15" ht="18" customHeight="1">
      <c r="A109" s="98" t="s">
        <v>221</v>
      </c>
      <c r="B109" s="99"/>
      <c r="C109" s="99"/>
      <c r="D109" s="99"/>
      <c r="E109" s="100">
        <f>E95+E108</f>
        <v>0</v>
      </c>
      <c r="F109" s="40">
        <f>F95+F108</f>
        <v>228</v>
      </c>
      <c r="G109" s="40">
        <f>G95+G108</f>
        <v>1060</v>
      </c>
      <c r="H109" s="41"/>
      <c r="I109" s="41"/>
      <c r="J109" s="41"/>
      <c r="K109" s="63"/>
      <c r="L109" s="63"/>
      <c r="M109" s="42">
        <f ca="1">IFERROR(M95+M108,"")</f>
        <v>0.51666666666666683</v>
      </c>
      <c r="N109" s="40" t="s">
        <v>222</v>
      </c>
      <c r="O109" s="48">
        <f>IFERROR(O95+O108,"")</f>
        <v>1335500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236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75</v>
      </c>
      <c r="J110" s="26" t="s">
        <v>196</v>
      </c>
      <c r="K110" s="29">
        <v>0.29166666666666669</v>
      </c>
      <c r="L110" s="29">
        <v>0.65694444444444444</v>
      </c>
      <c r="M110" s="30">
        <f t="shared" ref="M110:M121" ca="1" si="25">IFERROR(IF(K110="","",IF(L110="",MOD(NOW()-K110,1),IF(L110&gt;=K110,L110-K110,L110+1-K110))),"")</f>
        <v>0.36527777777777776</v>
      </c>
      <c r="N110" s="27" t="s">
        <v>297</v>
      </c>
      <c r="O110" s="60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236</v>
      </c>
      <c r="F111" s="27">
        <v>0</v>
      </c>
      <c r="G111" s="34">
        <f t="shared" si="24"/>
        <v>0</v>
      </c>
      <c r="H111" s="33" t="s">
        <v>20</v>
      </c>
      <c r="I111" s="33" t="s">
        <v>52</v>
      </c>
      <c r="J111" s="33" t="s">
        <v>51</v>
      </c>
      <c r="K111" s="29">
        <v>0.71736111111111112</v>
      </c>
      <c r="L111" s="29">
        <v>0.71944444444444444</v>
      </c>
      <c r="M111" s="35">
        <f t="shared" ca="1" si="25"/>
        <v>2.0833333333333259E-3</v>
      </c>
      <c r="N111" s="27"/>
      <c r="O111" s="60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236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236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236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236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236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236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236</v>
      </c>
      <c r="F118" s="27">
        <v>10</v>
      </c>
      <c r="G118" s="28">
        <f t="shared" si="24"/>
        <v>42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236</v>
      </c>
      <c r="F119" s="27">
        <v>22</v>
      </c>
      <c r="G119" s="34">
        <f t="shared" si="24"/>
        <v>92.4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236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236</v>
      </c>
      <c r="F121" s="27">
        <v>4</v>
      </c>
      <c r="G121" s="34">
        <f t="shared" si="24"/>
        <v>16.8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101" t="s">
        <v>218</v>
      </c>
      <c r="B122" s="102"/>
      <c r="C122" s="102"/>
      <c r="D122" s="102"/>
      <c r="E122" s="103">
        <f>SUM(E110:E121)</f>
        <v>0</v>
      </c>
      <c r="F122" s="36">
        <f>SUM(F110:F121)</f>
        <v>54</v>
      </c>
      <c r="G122" s="36">
        <f>SUM(G110:G121)</f>
        <v>226.8</v>
      </c>
      <c r="H122" s="37"/>
      <c r="I122" s="37"/>
      <c r="J122" s="37"/>
      <c r="K122" s="61"/>
      <c r="L122" s="61"/>
      <c r="M122" s="38">
        <f ca="1">IFERROR(SUM(M110:M121),"")</f>
        <v>0.36736111111111108</v>
      </c>
      <c r="N122" s="36" t="s">
        <v>219</v>
      </c>
      <c r="O122" s="39">
        <v>274450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216</v>
      </c>
      <c r="F123" s="27">
        <v>5</v>
      </c>
      <c r="G123" s="34">
        <f t="shared" ref="G123:G134" si="27">IF(F123="","",IF(E123="PC 17",F123*4.2,IF(E123="PC 19",F123*5,"")))</f>
        <v>25</v>
      </c>
      <c r="H123" s="33" t="s">
        <v>18</v>
      </c>
      <c r="I123" s="33" t="s">
        <v>75</v>
      </c>
      <c r="J123" s="33" t="s">
        <v>101</v>
      </c>
      <c r="K123" s="29">
        <v>0.79166666666666663</v>
      </c>
      <c r="L123" s="29">
        <v>0.85069444444444442</v>
      </c>
      <c r="M123" s="35">
        <f t="shared" ref="M123:M134" ca="1" si="28">IFERROR(IF(K123="","",IF(L123="",MOD(NOW()-K123,1),IF(L123&gt;=K123,L123-K123,L123+1-K123))),"")</f>
        <v>5.902777777777779E-2</v>
      </c>
      <c r="N123" s="27"/>
      <c r="O123" s="60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216</v>
      </c>
      <c r="F124" s="27">
        <v>14</v>
      </c>
      <c r="G124" s="28">
        <f t="shared" si="27"/>
        <v>70</v>
      </c>
      <c r="H124" s="26" t="s">
        <v>20</v>
      </c>
      <c r="I124" s="26" t="s">
        <v>52</v>
      </c>
      <c r="J124" s="26" t="s">
        <v>28</v>
      </c>
      <c r="K124" s="29">
        <v>0.96180555555555558</v>
      </c>
      <c r="L124" s="29">
        <v>0.98611111111111116</v>
      </c>
      <c r="M124" s="30">
        <f t="shared" ca="1" si="28"/>
        <v>2.430555555555558E-2</v>
      </c>
      <c r="N124" s="27" t="s">
        <v>298</v>
      </c>
      <c r="O124" s="60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216</v>
      </c>
      <c r="F125" s="27">
        <v>20</v>
      </c>
      <c r="G125" s="34">
        <f t="shared" si="27"/>
        <v>100</v>
      </c>
      <c r="H125" s="33" t="s">
        <v>18</v>
      </c>
      <c r="I125" s="33" t="s">
        <v>125</v>
      </c>
      <c r="J125" s="33" t="s">
        <v>198</v>
      </c>
      <c r="K125" s="29">
        <v>0.99583333333333335</v>
      </c>
      <c r="L125" s="29">
        <v>4.583333333333333E-2</v>
      </c>
      <c r="M125" s="35">
        <f t="shared" ca="1" si="28"/>
        <v>5.0000000000000044E-2</v>
      </c>
      <c r="N125" s="27" t="s">
        <v>299</v>
      </c>
      <c r="O125" s="60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216</v>
      </c>
      <c r="F126" s="27">
        <v>23</v>
      </c>
      <c r="G126" s="28">
        <f t="shared" si="27"/>
        <v>115</v>
      </c>
      <c r="H126" s="26" t="s">
        <v>19</v>
      </c>
      <c r="I126" s="26" t="s">
        <v>158</v>
      </c>
      <c r="J126" s="26" t="s">
        <v>27</v>
      </c>
      <c r="K126" s="29">
        <v>7.2916666666666671E-2</v>
      </c>
      <c r="L126" s="29">
        <v>8.3333333333333329E-2</v>
      </c>
      <c r="M126" s="30">
        <f t="shared" ca="1" si="28"/>
        <v>1.0416666666666657E-2</v>
      </c>
      <c r="N126" s="27"/>
      <c r="O126" s="60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216</v>
      </c>
      <c r="F127" s="27">
        <v>9</v>
      </c>
      <c r="G127" s="34">
        <f t="shared" si="27"/>
        <v>45</v>
      </c>
      <c r="H127" s="33" t="s">
        <v>20</v>
      </c>
      <c r="I127" s="33"/>
      <c r="J127" s="33" t="s">
        <v>189</v>
      </c>
      <c r="K127" s="29">
        <v>8.3333333333333329E-2</v>
      </c>
      <c r="L127" s="29">
        <v>0.1388888888888889</v>
      </c>
      <c r="M127" s="35">
        <f t="shared" ca="1" si="28"/>
        <v>5.5555555555555566E-2</v>
      </c>
      <c r="N127" s="27"/>
      <c r="O127" s="60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216</v>
      </c>
      <c r="F128" s="27">
        <v>0</v>
      </c>
      <c r="G128" s="28">
        <f t="shared" si="27"/>
        <v>0</v>
      </c>
      <c r="H128" s="26" t="s">
        <v>19</v>
      </c>
      <c r="I128" s="26" t="s">
        <v>52</v>
      </c>
      <c r="J128" s="26" t="s">
        <v>78</v>
      </c>
      <c r="K128" s="29">
        <v>0.24930555555555556</v>
      </c>
      <c r="L128" s="29"/>
      <c r="M128" s="30">
        <f t="shared" ca="1" si="28"/>
        <v>0.16081863426370546</v>
      </c>
      <c r="N128" s="27"/>
      <c r="O128" s="60"/>
    </row>
    <row r="129" spans="1:18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216</v>
      </c>
      <c r="F129" s="27">
        <v>19</v>
      </c>
      <c r="G129" s="34">
        <f t="shared" si="27"/>
        <v>95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248</v>
      </c>
      <c r="O129" s="60"/>
    </row>
    <row r="130" spans="1:18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216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216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216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216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216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101" t="s">
        <v>220</v>
      </c>
      <c r="B135" s="102"/>
      <c r="C135" s="102"/>
      <c r="D135" s="102"/>
      <c r="E135" s="103">
        <f>SUM(E123:E134)</f>
        <v>0</v>
      </c>
      <c r="F135" s="36">
        <f>SUM(F123:F134)</f>
        <v>90</v>
      </c>
      <c r="G135" s="36">
        <f>SUM(G123:G134)</f>
        <v>450</v>
      </c>
      <c r="H135" s="37"/>
      <c r="I135" s="37"/>
      <c r="J135" s="37"/>
      <c r="K135" s="61"/>
      <c r="L135" s="61"/>
      <c r="M135" s="38">
        <f ca="1">IFERROR(SUM(M123:M134),"")</f>
        <v>0.36012418981926109</v>
      </c>
      <c r="N135" s="36" t="s">
        <v>219</v>
      </c>
      <c r="O135" s="39">
        <v>729290</v>
      </c>
    </row>
    <row r="136" spans="1:18" ht="18" customHeight="1">
      <c r="A136" s="98" t="s">
        <v>221</v>
      </c>
      <c r="B136" s="99"/>
      <c r="C136" s="99"/>
      <c r="D136" s="99"/>
      <c r="E136" s="100">
        <f>E122+E135</f>
        <v>0</v>
      </c>
      <c r="F136" s="40">
        <f>F122+F135</f>
        <v>144</v>
      </c>
      <c r="G136" s="40">
        <f>G122+G135</f>
        <v>676.8</v>
      </c>
      <c r="H136" s="41"/>
      <c r="I136" s="41"/>
      <c r="J136" s="41"/>
      <c r="K136" s="63"/>
      <c r="L136" s="63"/>
      <c r="M136" s="42">
        <f ca="1">IFERROR(M122+M135,"")</f>
        <v>0.72748530093037211</v>
      </c>
      <c r="N136" s="40" t="s">
        <v>222</v>
      </c>
      <c r="O136" s="48">
        <f>IFERROR(O122+O135,"")</f>
        <v>1003740</v>
      </c>
    </row>
    <row r="137" spans="1:18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216</v>
      </c>
      <c r="F137" s="27">
        <v>28</v>
      </c>
      <c r="G137" s="34">
        <f t="shared" ref="G137:G148" si="30">IF(F137="","",IF(E137="PC 17",F137*4.2,IF(E137="PC 19",F137*5,"")))</f>
        <v>140</v>
      </c>
      <c r="H137" s="33" t="s">
        <v>20</v>
      </c>
      <c r="I137" s="33" t="s">
        <v>52</v>
      </c>
      <c r="J137" s="33" t="s">
        <v>28</v>
      </c>
      <c r="K137" s="29">
        <v>0.31666666666666665</v>
      </c>
      <c r="L137" s="29">
        <v>0.32291666666666669</v>
      </c>
      <c r="M137" s="35">
        <f t="shared" ref="M137:M148" ca="1" si="31">IFERROR(IF(K137="","",IF(L137="",MOD(NOW()-K137,1),IF(L137&gt;=K137,L137-K137,L137+1-K137))),"")</f>
        <v>6.2500000000000333E-3</v>
      </c>
      <c r="N137" s="27"/>
      <c r="O137" s="31"/>
    </row>
    <row r="138" spans="1:18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216</v>
      </c>
      <c r="F138" s="27">
        <v>28</v>
      </c>
      <c r="G138" s="28">
        <f t="shared" si="30"/>
        <v>140</v>
      </c>
      <c r="H138" s="26" t="s">
        <v>20</v>
      </c>
      <c r="I138" s="26" t="s">
        <v>52</v>
      </c>
      <c r="J138" s="26" t="s">
        <v>51</v>
      </c>
      <c r="K138" s="29">
        <v>0.3298611111111111</v>
      </c>
      <c r="L138" s="29">
        <v>0.33333333333333331</v>
      </c>
      <c r="M138" s="30">
        <f t="shared" ca="1" si="31"/>
        <v>3.4722222222222099E-3</v>
      </c>
      <c r="N138" s="27"/>
      <c r="O138" s="31"/>
    </row>
    <row r="139" spans="1:18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216</v>
      </c>
      <c r="F139" s="27">
        <v>28</v>
      </c>
      <c r="G139" s="34">
        <f t="shared" si="30"/>
        <v>140</v>
      </c>
      <c r="H139" s="33" t="s">
        <v>19</v>
      </c>
      <c r="I139" s="33" t="s">
        <v>158</v>
      </c>
      <c r="J139" s="33" t="s">
        <v>27</v>
      </c>
      <c r="K139" s="29">
        <v>0.59444444444444444</v>
      </c>
      <c r="L139" s="29">
        <v>0.62222222222222223</v>
      </c>
      <c r="M139" s="35">
        <f t="shared" ca="1" si="31"/>
        <v>2.777777777777779E-2</v>
      </c>
      <c r="N139" s="27" t="s">
        <v>300</v>
      </c>
      <c r="O139" s="31"/>
    </row>
    <row r="140" spans="1:18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216</v>
      </c>
      <c r="F140" s="27">
        <v>27</v>
      </c>
      <c r="G140" s="28">
        <f t="shared" si="30"/>
        <v>135</v>
      </c>
      <c r="H140" s="26" t="s">
        <v>16</v>
      </c>
      <c r="I140" s="26"/>
      <c r="J140" s="26" t="s">
        <v>81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27"/>
      <c r="O140" s="31"/>
    </row>
    <row r="141" spans="1:18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216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216</v>
      </c>
      <c r="F142" s="27">
        <v>10</v>
      </c>
      <c r="G142" s="28">
        <f t="shared" si="30"/>
        <v>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216</v>
      </c>
      <c r="F143" s="27">
        <v>13</v>
      </c>
      <c r="G143" s="34">
        <f t="shared" si="30"/>
        <v>65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216</v>
      </c>
      <c r="F144" s="27">
        <v>12</v>
      </c>
      <c r="G144" s="28">
        <f t="shared" si="30"/>
        <v>60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216</v>
      </c>
      <c r="F145" s="27">
        <v>17</v>
      </c>
      <c r="G145" s="34">
        <f t="shared" si="30"/>
        <v>85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216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216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216</v>
      </c>
      <c r="F148" s="27">
        <v>10</v>
      </c>
      <c r="G148" s="28">
        <f t="shared" si="30"/>
        <v>50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1" t="s">
        <v>218</v>
      </c>
      <c r="B149" s="102"/>
      <c r="C149" s="102"/>
      <c r="D149" s="102"/>
      <c r="E149" s="103">
        <f>SUM(E137:E148)</f>
        <v>0</v>
      </c>
      <c r="F149" s="36">
        <f>SUM(F137:F148)</f>
        <v>221</v>
      </c>
      <c r="G149" s="36">
        <f>SUM(G137:G148)</f>
        <v>1105</v>
      </c>
      <c r="H149" s="37"/>
      <c r="I149" s="37"/>
      <c r="J149" s="37"/>
      <c r="K149" s="61"/>
      <c r="L149" s="61"/>
      <c r="M149" s="38">
        <f ca="1">IFERROR(SUM(M137:M148),"")</f>
        <v>6.5277777777777823E-2</v>
      </c>
      <c r="N149" s="36" t="s">
        <v>219</v>
      </c>
      <c r="O149" s="39">
        <v>1058340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216</v>
      </c>
      <c r="F150" s="27">
        <v>16</v>
      </c>
      <c r="G150" s="28">
        <f t="shared" ref="G150:G161" si="33">IF(F150="","",IF(E150="PC 17",F150*4.2,IF(E150="PC 19",F150*5,"")))</f>
        <v>80</v>
      </c>
      <c r="H150" s="26" t="s">
        <v>20</v>
      </c>
      <c r="I150" s="26" t="s">
        <v>52</v>
      </c>
      <c r="J150" s="26" t="s">
        <v>191</v>
      </c>
      <c r="K150" s="29">
        <v>0.84166666666666667</v>
      </c>
      <c r="L150" s="29">
        <v>0.85277777777777775</v>
      </c>
      <c r="M150" s="30">
        <f t="shared" ref="M150:M161" ca="1" si="34">IFERROR(IF(K150="","",IF(L150="",MOD(NOW()-K150,1),IF(L150&gt;=K150,L150-K150,L150+1-K150))),"")</f>
        <v>1.1111111111111072E-2</v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216</v>
      </c>
      <c r="F151" s="27">
        <v>14</v>
      </c>
      <c r="G151" s="34">
        <f t="shared" si="33"/>
        <v>70</v>
      </c>
      <c r="H151" s="33" t="s">
        <v>20</v>
      </c>
      <c r="I151" s="33" t="s">
        <v>57</v>
      </c>
      <c r="J151" s="33" t="s">
        <v>51</v>
      </c>
      <c r="K151" s="29">
        <v>0.87152777777777779</v>
      </c>
      <c r="L151" s="29">
        <v>0.87986111111111109</v>
      </c>
      <c r="M151" s="35">
        <f t="shared" ca="1" si="34"/>
        <v>8.3333333333333037E-3</v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236</v>
      </c>
      <c r="F152" s="27">
        <v>18</v>
      </c>
      <c r="G152" s="28">
        <f t="shared" si="33"/>
        <v>75.600000000000009</v>
      </c>
      <c r="H152" s="26" t="s">
        <v>20</v>
      </c>
      <c r="I152" s="26" t="s">
        <v>52</v>
      </c>
      <c r="J152" s="26" t="s">
        <v>163</v>
      </c>
      <c r="K152" s="29">
        <v>0.89583333333333337</v>
      </c>
      <c r="L152" s="29">
        <v>0.91666666666666663</v>
      </c>
      <c r="M152" s="30">
        <f t="shared" ca="1" si="34"/>
        <v>2.0833333333333259E-2</v>
      </c>
      <c r="N152" s="27" t="s">
        <v>301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236</v>
      </c>
      <c r="F153" s="27">
        <v>15</v>
      </c>
      <c r="G153" s="34">
        <f t="shared" si="33"/>
        <v>63</v>
      </c>
      <c r="H153" s="33" t="s">
        <v>19</v>
      </c>
      <c r="I153" s="33" t="s">
        <v>57</v>
      </c>
      <c r="J153" s="33" t="s">
        <v>27</v>
      </c>
      <c r="K153" s="29">
        <v>0.12708333333333333</v>
      </c>
      <c r="L153" s="29">
        <v>0.14583333333333334</v>
      </c>
      <c r="M153" s="35">
        <f t="shared" ca="1" si="34"/>
        <v>1.8750000000000017E-2</v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236</v>
      </c>
      <c r="F154" s="27">
        <v>10</v>
      </c>
      <c r="G154" s="28">
        <f t="shared" si="33"/>
        <v>42</v>
      </c>
      <c r="H154" s="26"/>
      <c r="I154" s="26"/>
      <c r="J154" s="26" t="s">
        <v>27</v>
      </c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236</v>
      </c>
      <c r="F155" s="27">
        <v>23</v>
      </c>
      <c r="G155" s="34">
        <f t="shared" si="33"/>
        <v>96.600000000000009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236</v>
      </c>
      <c r="F156" s="27">
        <v>14</v>
      </c>
      <c r="G156" s="28">
        <f t="shared" si="33"/>
        <v>58.800000000000004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236</v>
      </c>
      <c r="F157" s="27">
        <v>11</v>
      </c>
      <c r="G157" s="34">
        <f t="shared" si="33"/>
        <v>46.2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236</v>
      </c>
      <c r="F158" s="27">
        <v>13</v>
      </c>
      <c r="G158" s="28">
        <f t="shared" si="33"/>
        <v>54.6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236</v>
      </c>
      <c r="F159" s="27">
        <v>16</v>
      </c>
      <c r="G159" s="34">
        <f t="shared" si="33"/>
        <v>67.2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236</v>
      </c>
      <c r="F160" s="27">
        <v>22</v>
      </c>
      <c r="G160" s="28">
        <f t="shared" si="33"/>
        <v>92.4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236</v>
      </c>
      <c r="F161" s="27">
        <v>8</v>
      </c>
      <c r="G161" s="34">
        <f t="shared" si="33"/>
        <v>33.6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1" t="s">
        <v>220</v>
      </c>
      <c r="B162" s="102"/>
      <c r="C162" s="102"/>
      <c r="D162" s="102"/>
      <c r="E162" s="103">
        <f>SUM(E150:E161)</f>
        <v>0</v>
      </c>
      <c r="F162" s="36">
        <f>SUM(F150:F161)</f>
        <v>180</v>
      </c>
      <c r="G162" s="36">
        <f>SUM(G150:G161)</f>
        <v>780.00000000000011</v>
      </c>
      <c r="H162" s="37"/>
      <c r="I162" s="37"/>
      <c r="J162" s="37"/>
      <c r="K162" s="61"/>
      <c r="L162" s="61"/>
      <c r="M162" s="38">
        <f ca="1">IFERROR(SUM(M150:M161),"")</f>
        <v>5.9027777777777651E-2</v>
      </c>
      <c r="N162" s="36" t="s">
        <v>219</v>
      </c>
      <c r="O162" s="39">
        <v>697320</v>
      </c>
    </row>
    <row r="163" spans="1:15" ht="18" customHeight="1">
      <c r="A163" s="98" t="s">
        <v>221</v>
      </c>
      <c r="B163" s="99"/>
      <c r="C163" s="99"/>
      <c r="D163" s="99"/>
      <c r="E163" s="100">
        <f>E149+E162</f>
        <v>0</v>
      </c>
      <c r="F163" s="40">
        <f>F149+F162</f>
        <v>401</v>
      </c>
      <c r="G163" s="40">
        <f>G149+G162</f>
        <v>1885</v>
      </c>
      <c r="H163" s="41"/>
      <c r="I163" s="41"/>
      <c r="J163" s="41"/>
      <c r="K163" s="63"/>
      <c r="L163" s="63"/>
      <c r="M163" s="42">
        <f ca="1">IFERROR(M149+M162,"")</f>
        <v>0.12430555555555547</v>
      </c>
      <c r="N163" s="40" t="s">
        <v>222</v>
      </c>
      <c r="O163" s="43">
        <f>IFERROR(O149+O162,"")</f>
        <v>1755660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38</v>
      </c>
      <c r="E164" s="59" t="s">
        <v>216</v>
      </c>
      <c r="F164" s="27">
        <v>13</v>
      </c>
      <c r="G164" s="28">
        <f t="shared" ref="G164:G175" si="36">IF(F164="","",IF(E164="PC 17",F164*4.2,IF(E164="PC 19",F164*5,"")))</f>
        <v>65</v>
      </c>
      <c r="H164" s="26" t="s">
        <v>19</v>
      </c>
      <c r="I164" s="26" t="s">
        <v>52</v>
      </c>
      <c r="J164" s="26" t="s">
        <v>27</v>
      </c>
      <c r="K164" s="29">
        <v>0.38472222222222224</v>
      </c>
      <c r="L164" s="29">
        <v>0.3972222222222222</v>
      </c>
      <c r="M164" s="30">
        <f t="shared" ref="M164:M175" ca="1" si="37">IFERROR(IF(K164="","",IF(L164="",MOD(NOW()-K164,1),IF(L164&gt;=K164,L164-K164,L164+1-K164))),"")</f>
        <v>1.2499999999999956E-2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62" t="s">
        <v>236</v>
      </c>
      <c r="F165" s="27">
        <v>20</v>
      </c>
      <c r="G165" s="34">
        <f t="shared" si="36"/>
        <v>84</v>
      </c>
      <c r="H165" s="33" t="s">
        <v>20</v>
      </c>
      <c r="I165" s="33" t="s">
        <v>137</v>
      </c>
      <c r="J165" s="33" t="s">
        <v>74</v>
      </c>
      <c r="K165" s="29">
        <v>0.63263888888888886</v>
      </c>
      <c r="L165" s="29">
        <v>0.64375000000000004</v>
      </c>
      <c r="M165" s="35">
        <f t="shared" ca="1" si="37"/>
        <v>1.1111111111111183E-2</v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236</v>
      </c>
      <c r="F166" s="27">
        <v>10</v>
      </c>
      <c r="G166" s="28">
        <f t="shared" si="36"/>
        <v>42</v>
      </c>
      <c r="H166" s="26" t="s">
        <v>19</v>
      </c>
      <c r="I166" s="26" t="s">
        <v>137</v>
      </c>
      <c r="J166" s="26" t="s">
        <v>61</v>
      </c>
      <c r="K166" s="29">
        <v>0.65625</v>
      </c>
      <c r="L166" s="29">
        <v>0.66805555555555551</v>
      </c>
      <c r="M166" s="30">
        <f t="shared" ca="1" si="37"/>
        <v>1.1805555555555514E-2</v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236</v>
      </c>
      <c r="F167" s="27">
        <v>10</v>
      </c>
      <c r="G167" s="34">
        <f t="shared" si="36"/>
        <v>42</v>
      </c>
      <c r="H167" s="33" t="s">
        <v>19</v>
      </c>
      <c r="I167" s="33" t="s">
        <v>57</v>
      </c>
      <c r="J167" s="33" t="s">
        <v>27</v>
      </c>
      <c r="K167" s="29">
        <v>0.68194444444444446</v>
      </c>
      <c r="L167" s="29">
        <v>0.69374999999999998</v>
      </c>
      <c r="M167" s="35">
        <f t="shared" ca="1" si="37"/>
        <v>1.1805555555555514E-2</v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236</v>
      </c>
      <c r="F168" s="27">
        <v>26</v>
      </c>
      <c r="G168" s="28">
        <f t="shared" si="36"/>
        <v>109.2</v>
      </c>
      <c r="H168" s="26" t="s">
        <v>20</v>
      </c>
      <c r="I168" s="26" t="s">
        <v>52</v>
      </c>
      <c r="J168" s="26" t="s">
        <v>36</v>
      </c>
      <c r="K168" s="29">
        <v>0.75486111111111109</v>
      </c>
      <c r="L168" s="29">
        <v>0.77083333333333337</v>
      </c>
      <c r="M168" s="30">
        <f t="shared" ca="1" si="37"/>
        <v>1.5972222222222276E-2</v>
      </c>
      <c r="N168" s="27" t="s">
        <v>302</v>
      </c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236</v>
      </c>
      <c r="F169" s="27">
        <v>20</v>
      </c>
      <c r="G169" s="34">
        <f t="shared" si="36"/>
        <v>84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236</v>
      </c>
      <c r="F170" s="27">
        <v>20</v>
      </c>
      <c r="G170" s="28">
        <f t="shared" si="36"/>
        <v>84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236</v>
      </c>
      <c r="F171" s="27">
        <v>12</v>
      </c>
      <c r="G171" s="34">
        <f t="shared" si="36"/>
        <v>50.400000000000006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236</v>
      </c>
      <c r="F172" s="27">
        <v>8</v>
      </c>
      <c r="G172" s="28">
        <f t="shared" si="36"/>
        <v>33.6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236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236</v>
      </c>
      <c r="F174" s="27">
        <v>20</v>
      </c>
      <c r="G174" s="28">
        <f t="shared" si="36"/>
        <v>84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236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1" t="s">
        <v>218</v>
      </c>
      <c r="B176" s="102"/>
      <c r="C176" s="102"/>
      <c r="D176" s="102"/>
      <c r="E176" s="103">
        <f>SUM(E164:E175)</f>
        <v>0</v>
      </c>
      <c r="F176" s="36">
        <f>SUM(F164:F175)</f>
        <v>169</v>
      </c>
      <c r="G176" s="36">
        <f>SUM(G164:G175)</f>
        <v>720.2</v>
      </c>
      <c r="H176" s="37"/>
      <c r="I176" s="37"/>
      <c r="J176" s="37"/>
      <c r="K176" s="61"/>
      <c r="L176" s="61"/>
      <c r="M176" s="38">
        <f ca="1">IFERROR(SUM(M164:M175),"")</f>
        <v>6.3194444444444442E-2</v>
      </c>
      <c r="N176" s="36" t="s">
        <v>219</v>
      </c>
      <c r="O176" s="39">
        <v>500370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236</v>
      </c>
      <c r="F177" s="27">
        <v>32</v>
      </c>
      <c r="G177" s="34">
        <f t="shared" ref="G177:G188" si="39">IF(F177="","",IF(E177="PC 17",F177*4.2,IF(E177="PC 19",F177*5,"")))</f>
        <v>134.4</v>
      </c>
      <c r="H177" s="33" t="s">
        <v>19</v>
      </c>
      <c r="I177" s="33" t="s">
        <v>158</v>
      </c>
      <c r="J177" s="33" t="s">
        <v>27</v>
      </c>
      <c r="K177" s="29">
        <v>5.5555555555555552E-2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1.3888888888888895E-2</v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236</v>
      </c>
      <c r="F178" s="27">
        <v>16</v>
      </c>
      <c r="G178" s="28">
        <f t="shared" si="39"/>
        <v>67.2</v>
      </c>
      <c r="H178" s="26" t="s">
        <v>20</v>
      </c>
      <c r="I178" s="26" t="s">
        <v>137</v>
      </c>
      <c r="J178" s="26" t="s">
        <v>74</v>
      </c>
      <c r="K178" s="29">
        <v>0.13194444444444445</v>
      </c>
      <c r="L178" s="29">
        <v>0.15277777777777779</v>
      </c>
      <c r="M178" s="30">
        <f t="shared" ca="1" si="40"/>
        <v>2.0833333333333343E-2</v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236</v>
      </c>
      <c r="F179" s="27">
        <v>20</v>
      </c>
      <c r="G179" s="34">
        <f t="shared" si="39"/>
        <v>84</v>
      </c>
      <c r="H179" s="33" t="s">
        <v>20</v>
      </c>
      <c r="I179" s="33" t="s">
        <v>137</v>
      </c>
      <c r="J179" s="26" t="s">
        <v>74</v>
      </c>
      <c r="K179" s="29">
        <v>0.21249999999999999</v>
      </c>
      <c r="L179" s="29">
        <v>0.22708333333333333</v>
      </c>
      <c r="M179" s="35">
        <f t="shared" ca="1" si="40"/>
        <v>1.4583333333333337E-2</v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236</v>
      </c>
      <c r="F180" s="27">
        <v>30</v>
      </c>
      <c r="G180" s="28">
        <f t="shared" si="39"/>
        <v>126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236</v>
      </c>
      <c r="F181" s="27">
        <v>21</v>
      </c>
      <c r="G181" s="34">
        <f t="shared" si="39"/>
        <v>88.2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236</v>
      </c>
      <c r="F182" s="27">
        <v>15</v>
      </c>
      <c r="G182" s="28">
        <f t="shared" si="39"/>
        <v>63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236</v>
      </c>
      <c r="F183" s="27">
        <v>13</v>
      </c>
      <c r="G183" s="34">
        <f t="shared" si="39"/>
        <v>54.6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236</v>
      </c>
      <c r="F184" s="27">
        <v>17</v>
      </c>
      <c r="G184" s="28">
        <f t="shared" si="39"/>
        <v>71.400000000000006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236</v>
      </c>
      <c r="F185" s="27">
        <v>7</v>
      </c>
      <c r="G185" s="34">
        <f t="shared" si="39"/>
        <v>29.400000000000002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236</v>
      </c>
      <c r="F186" s="27">
        <v>22</v>
      </c>
      <c r="G186" s="28">
        <f t="shared" si="39"/>
        <v>92.4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236</v>
      </c>
      <c r="F187" s="27">
        <v>15</v>
      </c>
      <c r="G187" s="34">
        <f t="shared" si="39"/>
        <v>63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236</v>
      </c>
      <c r="F188" s="27">
        <v>9</v>
      </c>
      <c r="G188" s="28">
        <f t="shared" si="39"/>
        <v>37.800000000000004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1" t="s">
        <v>220</v>
      </c>
      <c r="B189" s="102"/>
      <c r="C189" s="102"/>
      <c r="D189" s="102"/>
      <c r="E189" s="103">
        <f>SUM(E177:E188)</f>
        <v>0</v>
      </c>
      <c r="F189" s="36">
        <f>SUM(F177:F188)</f>
        <v>217</v>
      </c>
      <c r="G189" s="36">
        <f>SUM(G177:G188)</f>
        <v>911.39999999999986</v>
      </c>
      <c r="H189" s="37"/>
      <c r="I189" s="37"/>
      <c r="J189" s="37"/>
      <c r="K189" s="61"/>
      <c r="L189" s="61"/>
      <c r="M189" s="38">
        <f ca="1">IFERROR(SUM(M177:M188),"")</f>
        <v>4.9305555555555575E-2</v>
      </c>
      <c r="N189" s="36" t="s">
        <v>219</v>
      </c>
      <c r="O189" s="39">
        <v>973580</v>
      </c>
    </row>
    <row r="190" spans="1:15" ht="18" customHeight="1">
      <c r="A190" s="98" t="s">
        <v>221</v>
      </c>
      <c r="B190" s="99"/>
      <c r="C190" s="99"/>
      <c r="D190" s="99"/>
      <c r="E190" s="100">
        <f>E176+E189</f>
        <v>0</v>
      </c>
      <c r="F190" s="40">
        <f>F176+F189</f>
        <v>386</v>
      </c>
      <c r="G190" s="40">
        <f>G176+G189</f>
        <v>1631.6</v>
      </c>
      <c r="H190" s="41"/>
      <c r="I190" s="41"/>
      <c r="J190" s="41"/>
      <c r="K190" s="63"/>
      <c r="L190" s="63"/>
      <c r="M190" s="42">
        <f ca="1">IFERROR(M176+M189,"")</f>
        <v>0.11250000000000002</v>
      </c>
      <c r="N190" s="40" t="s">
        <v>222</v>
      </c>
      <c r="O190" s="43">
        <f>IFERROR(O176+O189,"")</f>
        <v>1473950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22</v>
      </c>
      <c r="E191" s="62" t="s">
        <v>236</v>
      </c>
      <c r="F191" s="27">
        <v>20</v>
      </c>
      <c r="G191" s="34">
        <f t="shared" ref="G191:G202" si="42">IF(F191="","",IF(E191="PC 17",F191*4.2,IF(E191="PC 19",F191*5,"")))</f>
        <v>84</v>
      </c>
      <c r="H191" s="33" t="s">
        <v>18</v>
      </c>
      <c r="I191" s="33" t="s">
        <v>139</v>
      </c>
      <c r="J191" s="33" t="s">
        <v>126</v>
      </c>
      <c r="K191" s="29">
        <v>0.34722222222222221</v>
      </c>
      <c r="L191" s="29">
        <v>0.35416666666666669</v>
      </c>
      <c r="M191" s="35">
        <f t="shared" ref="M191:M202" ca="1" si="43">IFERROR(IF(K191="","",IF(L191="",MOD(NOW()-K191,1),IF(L191&gt;=K191,L191-K191,L191+1-K191))),"")</f>
        <v>6.9444444444444753E-3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236</v>
      </c>
      <c r="F192" s="27">
        <v>15</v>
      </c>
      <c r="G192" s="28">
        <f t="shared" si="42"/>
        <v>63</v>
      </c>
      <c r="H192" s="26" t="s">
        <v>19</v>
      </c>
      <c r="I192" s="26" t="s">
        <v>158</v>
      </c>
      <c r="J192" s="26" t="s">
        <v>27</v>
      </c>
      <c r="K192" s="29">
        <v>0.40625</v>
      </c>
      <c r="L192" s="29">
        <v>0.42499999999999999</v>
      </c>
      <c r="M192" s="30">
        <f t="shared" ca="1" si="43"/>
        <v>1.8749999999999989E-2</v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236</v>
      </c>
      <c r="F193" s="27">
        <v>15</v>
      </c>
      <c r="G193" s="34">
        <f t="shared" si="42"/>
        <v>63</v>
      </c>
      <c r="H193" s="33" t="s">
        <v>18</v>
      </c>
      <c r="I193" s="33" t="s">
        <v>137</v>
      </c>
      <c r="J193" s="33" t="s">
        <v>89</v>
      </c>
      <c r="K193" s="29">
        <v>0.62777777777777777</v>
      </c>
      <c r="L193" s="29">
        <v>0.76041666666666663</v>
      </c>
      <c r="M193" s="35">
        <f t="shared" ca="1" si="43"/>
        <v>0.13263888888888886</v>
      </c>
      <c r="N193" s="27" t="s">
        <v>303</v>
      </c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236</v>
      </c>
      <c r="F194" s="27">
        <v>15</v>
      </c>
      <c r="G194" s="28">
        <f t="shared" si="42"/>
        <v>63</v>
      </c>
      <c r="H194" s="26" t="s">
        <v>19</v>
      </c>
      <c r="I194" s="26" t="s">
        <v>158</v>
      </c>
      <c r="J194" s="26" t="s">
        <v>27</v>
      </c>
      <c r="K194" s="29">
        <v>0.62777777777777777</v>
      </c>
      <c r="L194" s="29">
        <v>0.66666666666666663</v>
      </c>
      <c r="M194" s="30">
        <f t="shared" ca="1" si="43"/>
        <v>3.8888888888888862E-2</v>
      </c>
      <c r="N194" s="27" t="s">
        <v>304</v>
      </c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236</v>
      </c>
      <c r="F195" s="27">
        <v>20</v>
      </c>
      <c r="G195" s="34">
        <f t="shared" si="42"/>
        <v>84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236</v>
      </c>
      <c r="F196" s="27">
        <v>20</v>
      </c>
      <c r="G196" s="28">
        <f t="shared" si="42"/>
        <v>84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236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236</v>
      </c>
      <c r="F198" s="27">
        <v>25</v>
      </c>
      <c r="G198" s="28">
        <f t="shared" si="42"/>
        <v>105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236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236</v>
      </c>
      <c r="F200" s="27">
        <v>0</v>
      </c>
      <c r="G200" s="28">
        <f t="shared" si="42"/>
        <v>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236</v>
      </c>
      <c r="F201" s="27">
        <v>0</v>
      </c>
      <c r="G201" s="34">
        <f t="shared" si="42"/>
        <v>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236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1" t="s">
        <v>218</v>
      </c>
      <c r="B203" s="102"/>
      <c r="C203" s="102"/>
      <c r="D203" s="102"/>
      <c r="E203" s="103">
        <f>SUM(E191:E202)</f>
        <v>0</v>
      </c>
      <c r="F203" s="36">
        <f>SUM(F191:F202)</f>
        <v>150</v>
      </c>
      <c r="G203" s="36">
        <f>SUM(G191:G202)</f>
        <v>630</v>
      </c>
      <c r="H203" s="37"/>
      <c r="I203" s="37"/>
      <c r="J203" s="37"/>
      <c r="K203" s="61"/>
      <c r="L203" s="61"/>
      <c r="M203" s="38">
        <f ca="1">IFERROR(SUM(M191:M202),"")</f>
        <v>0.19722222222222219</v>
      </c>
      <c r="N203" s="36" t="s">
        <v>219</v>
      </c>
      <c r="O203" s="45">
        <v>674440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236</v>
      </c>
      <c r="F204" s="27">
        <v>2</v>
      </c>
      <c r="G204" s="28">
        <f t="shared" ref="G204:G215" si="45">IF(F204="","",IF(E204="PC 17",F204*4.2,IF(E204="PC 19",F204*5,"")))</f>
        <v>8.4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60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216</v>
      </c>
      <c r="F205" s="27">
        <v>12</v>
      </c>
      <c r="G205" s="34">
        <f t="shared" si="45"/>
        <v>60</v>
      </c>
      <c r="H205" s="33" t="s">
        <v>19</v>
      </c>
      <c r="I205" s="33" t="s">
        <v>52</v>
      </c>
      <c r="J205" s="33" t="s">
        <v>78</v>
      </c>
      <c r="K205" s="29">
        <v>0.95138888888888884</v>
      </c>
      <c r="L205" s="29">
        <v>0.95833333333333337</v>
      </c>
      <c r="M205" s="35">
        <f t="shared" ca="1" si="46"/>
        <v>6.9444444444445308E-3</v>
      </c>
      <c r="N205" s="27"/>
      <c r="O205" s="60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236</v>
      </c>
      <c r="F206" s="27">
        <v>23</v>
      </c>
      <c r="G206" s="28">
        <f t="shared" si="45"/>
        <v>96.600000000000009</v>
      </c>
      <c r="H206" s="26" t="s">
        <v>18</v>
      </c>
      <c r="I206" s="26" t="s">
        <v>52</v>
      </c>
      <c r="J206" s="26" t="s">
        <v>162</v>
      </c>
      <c r="K206" s="29">
        <v>2.0833333333333332E-2</v>
      </c>
      <c r="L206" s="29">
        <v>3.0555555555555555E-2</v>
      </c>
      <c r="M206" s="30">
        <f t="shared" ca="1" si="46"/>
        <v>9.7222222222222224E-3</v>
      </c>
      <c r="N206" s="27" t="s">
        <v>305</v>
      </c>
      <c r="O206" s="60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236</v>
      </c>
      <c r="F207" s="27">
        <v>20</v>
      </c>
      <c r="G207" s="34">
        <f t="shared" si="45"/>
        <v>84</v>
      </c>
      <c r="H207" s="33" t="s">
        <v>20</v>
      </c>
      <c r="I207" s="33" t="s">
        <v>52</v>
      </c>
      <c r="J207" s="33" t="s">
        <v>28</v>
      </c>
      <c r="K207" s="29">
        <v>0.05</v>
      </c>
      <c r="L207" s="29">
        <v>5.6944444444444443E-2</v>
      </c>
      <c r="M207" s="35">
        <f t="shared" ca="1" si="46"/>
        <v>6.9444444444444406E-3</v>
      </c>
      <c r="N207" s="27"/>
      <c r="O207" s="60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236</v>
      </c>
      <c r="F208" s="27">
        <v>26</v>
      </c>
      <c r="G208" s="28">
        <f t="shared" si="45"/>
        <v>109.2</v>
      </c>
      <c r="H208" s="26" t="s">
        <v>20</v>
      </c>
      <c r="I208" s="26" t="s">
        <v>52</v>
      </c>
      <c r="J208" s="26" t="s">
        <v>51</v>
      </c>
      <c r="K208" s="29">
        <v>9.166666666666666E-2</v>
      </c>
      <c r="L208" s="29">
        <v>9.6527777777777782E-2</v>
      </c>
      <c r="M208" s="30">
        <f t="shared" ca="1" si="46"/>
        <v>4.8611111111111216E-3</v>
      </c>
      <c r="N208" s="27"/>
      <c r="O208" s="60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236</v>
      </c>
      <c r="F209" s="27">
        <v>17</v>
      </c>
      <c r="G209" s="34">
        <f t="shared" si="45"/>
        <v>71.400000000000006</v>
      </c>
      <c r="H209" s="33" t="s">
        <v>19</v>
      </c>
      <c r="I209" s="33" t="s">
        <v>57</v>
      </c>
      <c r="J209" s="33" t="s">
        <v>27</v>
      </c>
      <c r="K209" s="29">
        <v>0.22916666666666666</v>
      </c>
      <c r="L209" s="29">
        <v>0.24652777777777779</v>
      </c>
      <c r="M209" s="35">
        <f t="shared" ca="1" si="46"/>
        <v>1.7361111111111133E-2</v>
      </c>
      <c r="N209" s="27"/>
      <c r="O209" s="60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236</v>
      </c>
      <c r="F210" s="27">
        <v>17</v>
      </c>
      <c r="G210" s="28">
        <f t="shared" si="45"/>
        <v>71.400000000000006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236</v>
      </c>
      <c r="F211" s="27">
        <v>25</v>
      </c>
      <c r="G211" s="34">
        <f t="shared" si="45"/>
        <v>105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236</v>
      </c>
      <c r="F212" s="27">
        <v>22</v>
      </c>
      <c r="G212" s="28">
        <f t="shared" si="45"/>
        <v>92.4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236</v>
      </c>
      <c r="F213" s="27">
        <v>13</v>
      </c>
      <c r="G213" s="34">
        <f t="shared" si="45"/>
        <v>54.6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236</v>
      </c>
      <c r="F214" s="27">
        <v>20</v>
      </c>
      <c r="G214" s="28">
        <f t="shared" si="45"/>
        <v>84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236</v>
      </c>
      <c r="F215" s="27">
        <v>4</v>
      </c>
      <c r="G215" s="34">
        <f t="shared" si="45"/>
        <v>16.8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101" t="s">
        <v>220</v>
      </c>
      <c r="B216" s="102"/>
      <c r="C216" s="102"/>
      <c r="D216" s="102"/>
      <c r="E216" s="103">
        <f>SUM(E204:E215)</f>
        <v>0</v>
      </c>
      <c r="F216" s="36">
        <f>SUM(F204:F215)</f>
        <v>201</v>
      </c>
      <c r="G216" s="36">
        <f>SUM(G204:G215)</f>
        <v>853.8</v>
      </c>
      <c r="H216" s="37"/>
      <c r="I216" s="37"/>
      <c r="J216" s="37"/>
      <c r="K216" s="61"/>
      <c r="L216" s="61"/>
      <c r="M216" s="38">
        <f ca="1">IFERROR(SUM(M204:M215),"")</f>
        <v>8.0555555555555658E-2</v>
      </c>
      <c r="N216" s="36" t="s">
        <v>219</v>
      </c>
      <c r="O216" s="45">
        <v>1060630</v>
      </c>
    </row>
    <row r="217" spans="1:15" ht="18" customHeight="1">
      <c r="A217" s="98" t="s">
        <v>221</v>
      </c>
      <c r="B217" s="99"/>
      <c r="C217" s="99"/>
      <c r="D217" s="99"/>
      <c r="E217" s="100">
        <f>E203+E216</f>
        <v>0</v>
      </c>
      <c r="F217" s="40">
        <f>F203+F216</f>
        <v>351</v>
      </c>
      <c r="G217" s="40">
        <f>G203+G216</f>
        <v>1483.8</v>
      </c>
      <c r="H217" s="41"/>
      <c r="I217" s="41"/>
      <c r="J217" s="41"/>
      <c r="K217" s="63"/>
      <c r="L217" s="63"/>
      <c r="M217" s="42">
        <f ca="1">IFERROR(M203+M216,"")</f>
        <v>0.27777777777777785</v>
      </c>
      <c r="N217" s="40" t="s">
        <v>222</v>
      </c>
      <c r="O217" s="48">
        <f>IFERROR(O203+O216,"")</f>
        <v>1735070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236</v>
      </c>
      <c r="F218" s="27">
        <v>23</v>
      </c>
      <c r="G218" s="28">
        <f t="shared" ref="G218:G229" si="48">IF(F218="","",IF(E218="PC 17",F218*4.2,IF(E218="PC 19",F218*5,"")))</f>
        <v>96.600000000000009</v>
      </c>
      <c r="H218" s="26" t="s">
        <v>19</v>
      </c>
      <c r="I218" s="26" t="s">
        <v>52</v>
      </c>
      <c r="J218" s="26" t="s">
        <v>27</v>
      </c>
      <c r="K218" s="29">
        <v>0.33541666666666664</v>
      </c>
      <c r="L218" s="29">
        <v>0.41666666666666669</v>
      </c>
      <c r="M218" s="30">
        <f t="shared" ref="M218:M229" ca="1" si="49">IFERROR(IF(K218="","",IF(L218="",MOD(NOW()-K218,1),IF(L218&gt;=K218,L218-K218,L218+1-K218))),"")</f>
        <v>8.1250000000000044E-2</v>
      </c>
      <c r="N218" s="27" t="s">
        <v>306</v>
      </c>
      <c r="O218" s="60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236</v>
      </c>
      <c r="F219" s="27">
        <v>0</v>
      </c>
      <c r="G219" s="34">
        <f t="shared" si="48"/>
        <v>0</v>
      </c>
      <c r="H219" s="33" t="s">
        <v>20</v>
      </c>
      <c r="I219" s="33" t="s">
        <v>52</v>
      </c>
      <c r="J219" s="33" t="s">
        <v>56</v>
      </c>
      <c r="K219" s="29">
        <v>0.4375</v>
      </c>
      <c r="L219" s="29">
        <v>0.47986111111111113</v>
      </c>
      <c r="M219" s="35">
        <f t="shared" ca="1" si="49"/>
        <v>4.2361111111111127E-2</v>
      </c>
      <c r="N219" s="27"/>
      <c r="O219" s="60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236</v>
      </c>
      <c r="F220" s="27">
        <v>0</v>
      </c>
      <c r="G220" s="28">
        <f t="shared" si="48"/>
        <v>0</v>
      </c>
      <c r="H220" s="26" t="s">
        <v>17</v>
      </c>
      <c r="I220" s="26"/>
      <c r="J220" s="26" t="s">
        <v>25</v>
      </c>
      <c r="K220" s="29">
        <v>0.58819444444444446</v>
      </c>
      <c r="L220" s="29">
        <v>0.61111111111111116</v>
      </c>
      <c r="M220" s="30">
        <f t="shared" ca="1" si="49"/>
        <v>2.2916666666666696E-2</v>
      </c>
      <c r="N220" s="27" t="s">
        <v>307</v>
      </c>
      <c r="O220" s="60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236</v>
      </c>
      <c r="F221" s="27">
        <v>10</v>
      </c>
      <c r="G221" s="34">
        <f t="shared" si="48"/>
        <v>42</v>
      </c>
      <c r="H221" s="33" t="s">
        <v>20</v>
      </c>
      <c r="I221" s="33" t="s">
        <v>137</v>
      </c>
      <c r="J221" s="33" t="s">
        <v>74</v>
      </c>
      <c r="K221" s="29">
        <v>0.63680555555555551</v>
      </c>
      <c r="L221" s="29">
        <v>0.65347222222222223</v>
      </c>
      <c r="M221" s="35">
        <f t="shared" ca="1" si="49"/>
        <v>1.6666666666666718E-2</v>
      </c>
      <c r="N221" s="27"/>
      <c r="O221" s="60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236</v>
      </c>
      <c r="F222" s="27">
        <v>5</v>
      </c>
      <c r="G222" s="28">
        <f t="shared" si="48"/>
        <v>21</v>
      </c>
      <c r="H222" s="26" t="s">
        <v>20</v>
      </c>
      <c r="I222" s="26" t="s">
        <v>57</v>
      </c>
      <c r="J222" s="26" t="s">
        <v>51</v>
      </c>
      <c r="K222" s="29">
        <v>0.6791666666666667</v>
      </c>
      <c r="L222" s="29">
        <v>0.68472222222222223</v>
      </c>
      <c r="M222" s="30">
        <f t="shared" ca="1" si="49"/>
        <v>5.5555555555555358E-3</v>
      </c>
      <c r="N222" s="27"/>
      <c r="O222" s="60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236</v>
      </c>
      <c r="F223" s="27">
        <v>8</v>
      </c>
      <c r="G223" s="34">
        <f t="shared" si="48"/>
        <v>33.6</v>
      </c>
      <c r="H223" s="33" t="s">
        <v>20</v>
      </c>
      <c r="I223" s="33" t="s">
        <v>57</v>
      </c>
      <c r="J223" s="33" t="s">
        <v>51</v>
      </c>
      <c r="K223" s="29">
        <v>0.68958333333333333</v>
      </c>
      <c r="L223" s="29">
        <v>0.69374999999999998</v>
      </c>
      <c r="M223" s="35">
        <f t="shared" ca="1" si="49"/>
        <v>4.1666666666666519E-3</v>
      </c>
      <c r="N223" s="27"/>
      <c r="O223" s="60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236</v>
      </c>
      <c r="F224" s="27">
        <v>30</v>
      </c>
      <c r="G224" s="28">
        <f t="shared" si="48"/>
        <v>126</v>
      </c>
      <c r="H224" s="26" t="s">
        <v>20</v>
      </c>
      <c r="I224" s="26" t="s">
        <v>137</v>
      </c>
      <c r="J224" s="26" t="s">
        <v>180</v>
      </c>
      <c r="K224" s="29">
        <v>0.69652777777777775</v>
      </c>
      <c r="L224" s="29">
        <v>0.71319444444444446</v>
      </c>
      <c r="M224" s="30">
        <f t="shared" ca="1" si="49"/>
        <v>1.6666666666666718E-2</v>
      </c>
      <c r="N224" s="27"/>
      <c r="O224" s="60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236</v>
      </c>
      <c r="F225" s="27">
        <v>15</v>
      </c>
      <c r="G225" s="34">
        <f t="shared" si="48"/>
        <v>63</v>
      </c>
      <c r="H225" s="33" t="s">
        <v>20</v>
      </c>
      <c r="I225" s="33" t="s">
        <v>52</v>
      </c>
      <c r="J225" s="33" t="s">
        <v>51</v>
      </c>
      <c r="K225" s="29" t="s">
        <v>308</v>
      </c>
      <c r="L225" s="29">
        <v>0.76041666666666663</v>
      </c>
      <c r="M225" s="35">
        <v>6.9444444444444441E-3</v>
      </c>
      <c r="N225" s="27"/>
      <c r="O225" s="60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236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236</v>
      </c>
      <c r="F227" s="27">
        <v>11</v>
      </c>
      <c r="G227" s="34">
        <f t="shared" si="48"/>
        <v>46.2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236</v>
      </c>
      <c r="F228" s="27">
        <v>15</v>
      </c>
      <c r="G228" s="28">
        <f t="shared" si="48"/>
        <v>63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236</v>
      </c>
      <c r="F229" s="27">
        <v>1</v>
      </c>
      <c r="G229" s="34">
        <f t="shared" si="48"/>
        <v>4.2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101" t="s">
        <v>218</v>
      </c>
      <c r="B230" s="102"/>
      <c r="C230" s="102"/>
      <c r="D230" s="102"/>
      <c r="E230" s="103">
        <f>SUM(E218:E229)</f>
        <v>0</v>
      </c>
      <c r="F230" s="36">
        <f>SUM(F218:F229)</f>
        <v>118</v>
      </c>
      <c r="G230" s="36">
        <f>SUM(G218:G229)</f>
        <v>495.6</v>
      </c>
      <c r="H230" s="37"/>
      <c r="I230" s="37"/>
      <c r="J230" s="37"/>
      <c r="K230" s="61"/>
      <c r="L230" s="61"/>
      <c r="M230" s="38">
        <f ca="1">IFERROR(SUM(M218:M229),"")</f>
        <v>0.19652777777777794</v>
      </c>
      <c r="N230" s="36" t="s">
        <v>219</v>
      </c>
      <c r="O230" s="39">
        <v>587230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236</v>
      </c>
      <c r="F231" s="27">
        <v>23</v>
      </c>
      <c r="G231" s="34">
        <f t="shared" ref="G231:G242" si="51">IF(F231="","",IF(E231="PC 17",F231*4.2,IF(E231="PC 19",F231*5,"")))</f>
        <v>96.600000000000009</v>
      </c>
      <c r="H231" s="33" t="s">
        <v>20</v>
      </c>
      <c r="I231" s="33" t="s">
        <v>52</v>
      </c>
      <c r="J231" s="33" t="s">
        <v>56</v>
      </c>
      <c r="K231" s="29">
        <v>0.80833333333333335</v>
      </c>
      <c r="L231" s="29">
        <v>0.82291666666666663</v>
      </c>
      <c r="M231" s="35">
        <f t="shared" ref="M231:M242" ca="1" si="52">IFERROR(IF(K231="","",IF(L231="",MOD(NOW()-K231,1),IF(L231&gt;=K231,L231-K231,L231+1-K231))),"")</f>
        <v>1.4583333333333282E-2</v>
      </c>
      <c r="N231" s="27"/>
      <c r="O231" s="60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216</v>
      </c>
      <c r="F232" s="27">
        <v>21</v>
      </c>
      <c r="G232" s="28">
        <f t="shared" si="51"/>
        <v>105</v>
      </c>
      <c r="H232" s="26" t="s">
        <v>19</v>
      </c>
      <c r="I232" s="26" t="s">
        <v>52</v>
      </c>
      <c r="J232" s="26" t="s">
        <v>78</v>
      </c>
      <c r="K232" s="29">
        <v>0.87847222222222221</v>
      </c>
      <c r="L232" s="29">
        <v>0.92361111111111116</v>
      </c>
      <c r="M232" s="30">
        <f t="shared" ca="1" si="52"/>
        <v>4.5138888888888951E-2</v>
      </c>
      <c r="N232" s="27" t="s">
        <v>309</v>
      </c>
      <c r="O232" s="60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236</v>
      </c>
      <c r="F233" s="27">
        <v>1</v>
      </c>
      <c r="G233" s="34">
        <f t="shared" si="51"/>
        <v>4.2</v>
      </c>
      <c r="H233" s="33" t="s">
        <v>18</v>
      </c>
      <c r="I233" s="33" t="s">
        <v>52</v>
      </c>
      <c r="J233" s="33" t="s">
        <v>152</v>
      </c>
      <c r="K233" s="29">
        <v>0.95138888888888884</v>
      </c>
      <c r="L233" s="29">
        <v>0.98124999999999996</v>
      </c>
      <c r="M233" s="35">
        <f t="shared" ca="1" si="52"/>
        <v>2.9861111111111116E-2</v>
      </c>
      <c r="N233" s="27"/>
      <c r="O233" s="60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236</v>
      </c>
      <c r="F234" s="27">
        <v>20</v>
      </c>
      <c r="G234" s="28">
        <f t="shared" si="51"/>
        <v>84</v>
      </c>
      <c r="H234" s="26" t="s">
        <v>19</v>
      </c>
      <c r="I234" s="26" t="s">
        <v>52</v>
      </c>
      <c r="J234" s="26" t="s">
        <v>27</v>
      </c>
      <c r="K234" s="29">
        <v>0.98472222222222228</v>
      </c>
      <c r="L234" s="29">
        <v>1.6666666666666666E-2</v>
      </c>
      <c r="M234" s="30">
        <f t="shared" ca="1" si="52"/>
        <v>3.1944444444444331E-2</v>
      </c>
      <c r="N234" s="27"/>
      <c r="O234" s="60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236</v>
      </c>
      <c r="F235" s="27">
        <v>0</v>
      </c>
      <c r="G235" s="34">
        <f t="shared" si="51"/>
        <v>0</v>
      </c>
      <c r="H235" s="33" t="s">
        <v>20</v>
      </c>
      <c r="I235" s="33" t="s">
        <v>52</v>
      </c>
      <c r="J235" s="33" t="s">
        <v>51</v>
      </c>
      <c r="K235" s="29">
        <v>5.2083333333333336E-2</v>
      </c>
      <c r="L235" s="29">
        <v>6.6666666666666666E-2</v>
      </c>
      <c r="M235" s="35">
        <f t="shared" ca="1" si="52"/>
        <v>1.458333333333333E-2</v>
      </c>
      <c r="N235" s="27"/>
      <c r="O235" s="60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236</v>
      </c>
      <c r="F236" s="27">
        <v>27</v>
      </c>
      <c r="G236" s="28">
        <f t="shared" si="51"/>
        <v>113.4</v>
      </c>
      <c r="H236" s="50" t="s">
        <v>20</v>
      </c>
      <c r="I236" s="50" t="s">
        <v>137</v>
      </c>
      <c r="J236" s="50" t="s">
        <v>74</v>
      </c>
      <c r="K236" s="29">
        <v>0.2326388888888889</v>
      </c>
      <c r="L236" s="29">
        <v>0.2388888888888889</v>
      </c>
      <c r="M236" s="30">
        <f t="shared" ca="1" si="52"/>
        <v>6.2500000000000056E-3</v>
      </c>
      <c r="N236" s="27"/>
      <c r="O236" s="60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236</v>
      </c>
      <c r="F237" s="27">
        <v>11</v>
      </c>
      <c r="G237" s="34">
        <f t="shared" si="51"/>
        <v>46.2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236</v>
      </c>
      <c r="F238" s="27">
        <v>14</v>
      </c>
      <c r="G238" s="28">
        <f t="shared" si="51"/>
        <v>58.800000000000004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216</v>
      </c>
      <c r="F239" s="27">
        <v>32</v>
      </c>
      <c r="G239" s="34">
        <f t="shared" si="51"/>
        <v>160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236</v>
      </c>
      <c r="F240" s="27">
        <v>16</v>
      </c>
      <c r="G240" s="28">
        <f t="shared" si="51"/>
        <v>67.2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216</v>
      </c>
      <c r="F241" s="27">
        <v>21</v>
      </c>
      <c r="G241" s="34">
        <f t="shared" si="51"/>
        <v>105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236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101" t="s">
        <v>220</v>
      </c>
      <c r="B243" s="102"/>
      <c r="C243" s="102"/>
      <c r="D243" s="102"/>
      <c r="E243" s="103">
        <f>SUM(E231:E242)</f>
        <v>0</v>
      </c>
      <c r="F243" s="36">
        <f>SUM(F231:F242)</f>
        <v>193</v>
      </c>
      <c r="G243" s="36">
        <f>SUM(G231:G242)</f>
        <v>869.80000000000007</v>
      </c>
      <c r="H243" s="37"/>
      <c r="I243" s="37"/>
      <c r="J243" s="37"/>
      <c r="K243" s="61"/>
      <c r="L243" s="61"/>
      <c r="M243" s="38">
        <f ca="1">IFERROR(SUM(M231:M242),"")</f>
        <v>0.14236111111111102</v>
      </c>
      <c r="N243" s="36" t="s">
        <v>219</v>
      </c>
      <c r="O243" s="39">
        <v>982340</v>
      </c>
    </row>
    <row r="244" spans="1:15" ht="18" customHeight="1">
      <c r="A244" s="98" t="s">
        <v>221</v>
      </c>
      <c r="B244" s="99"/>
      <c r="C244" s="99"/>
      <c r="D244" s="99"/>
      <c r="E244" s="100">
        <f>E230+E243</f>
        <v>0</v>
      </c>
      <c r="F244" s="40">
        <f>F230+F243</f>
        <v>311</v>
      </c>
      <c r="G244" s="40">
        <f>G230+G243</f>
        <v>1365.4</v>
      </c>
      <c r="H244" s="41"/>
      <c r="I244" s="41"/>
      <c r="J244" s="41"/>
      <c r="K244" s="63"/>
      <c r="L244" s="63"/>
      <c r="M244" s="42">
        <f ca="1">IFERROR(M230+M243,"")</f>
        <v>0.33888888888888896</v>
      </c>
      <c r="N244" s="40" t="s">
        <v>222</v>
      </c>
      <c r="O244" s="48">
        <f>IFERROR(O230+O243,"")</f>
        <v>1569570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236</v>
      </c>
      <c r="F245" s="27">
        <v>15</v>
      </c>
      <c r="G245" s="28">
        <f t="shared" ref="G245:G256" si="54">IF(F245="","",IF(E245="PC 17",F245*4.2,IF(E245="PC 19",F245*5,"")))</f>
        <v>63</v>
      </c>
      <c r="H245" s="33" t="s">
        <v>19</v>
      </c>
      <c r="I245" s="33" t="s">
        <v>158</v>
      </c>
      <c r="J245" s="33" t="s">
        <v>27</v>
      </c>
      <c r="K245" s="29">
        <v>0.40763888888888888</v>
      </c>
      <c r="L245" s="29">
        <v>0.45277777777777778</v>
      </c>
      <c r="M245" s="30">
        <f t="shared" ref="M245:M256" ca="1" si="55">IFERROR(IF(K245="","",IF(L245="",MOD(NOW()-K245,1),IF(L245&gt;=K245,L245-K245,L245+1-K245))),"")</f>
        <v>4.5138888888888895E-2</v>
      </c>
      <c r="N245" s="27" t="s">
        <v>310</v>
      </c>
      <c r="O245" s="60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236</v>
      </c>
      <c r="F246" s="27">
        <v>20</v>
      </c>
      <c r="G246" s="34">
        <f t="shared" si="54"/>
        <v>84</v>
      </c>
      <c r="H246" s="33" t="s">
        <v>18</v>
      </c>
      <c r="I246" s="26" t="s">
        <v>136</v>
      </c>
      <c r="J246" s="33" t="s">
        <v>201</v>
      </c>
      <c r="K246" s="29">
        <v>0.40763888888888888</v>
      </c>
      <c r="L246" s="29">
        <v>0.4548611111111111</v>
      </c>
      <c r="M246" s="35">
        <f t="shared" ca="1" si="55"/>
        <v>4.7222222222222221E-2</v>
      </c>
      <c r="N246" s="27"/>
      <c r="O246" s="60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236</v>
      </c>
      <c r="F247" s="27">
        <v>17</v>
      </c>
      <c r="G247" s="28">
        <f t="shared" si="54"/>
        <v>71.400000000000006</v>
      </c>
      <c r="H247" s="33" t="s">
        <v>16</v>
      </c>
      <c r="I247" s="33" t="s">
        <v>57</v>
      </c>
      <c r="J247" s="33" t="s">
        <v>40</v>
      </c>
      <c r="K247" s="29">
        <v>0.56944444444444442</v>
      </c>
      <c r="L247" s="29">
        <v>0.58611111111111114</v>
      </c>
      <c r="M247" s="30">
        <f t="shared" ca="1" si="55"/>
        <v>1.6666666666666718E-2</v>
      </c>
      <c r="N247" s="27"/>
      <c r="O247" s="60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236</v>
      </c>
      <c r="F248" s="27">
        <v>5</v>
      </c>
      <c r="G248" s="34">
        <f t="shared" si="54"/>
        <v>21</v>
      </c>
      <c r="H248" s="26" t="s">
        <v>20</v>
      </c>
      <c r="I248" s="26" t="s">
        <v>153</v>
      </c>
      <c r="J248" s="26" t="s">
        <v>74</v>
      </c>
      <c r="K248" s="29">
        <v>0.69444444444444442</v>
      </c>
      <c r="L248" s="29">
        <v>0.70277777777777772</v>
      </c>
      <c r="M248" s="35">
        <f t="shared" ca="1" si="55"/>
        <v>8.3333333333333037E-3</v>
      </c>
      <c r="N248" s="27"/>
      <c r="O248" s="60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236</v>
      </c>
      <c r="F249" s="27">
        <v>20</v>
      </c>
      <c r="G249" s="28">
        <f t="shared" si="54"/>
        <v>84</v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236</v>
      </c>
      <c r="F250" s="27">
        <v>7</v>
      </c>
      <c r="G250" s="34">
        <f t="shared" si="54"/>
        <v>29.400000000000002</v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236</v>
      </c>
      <c r="F251" s="27">
        <v>17</v>
      </c>
      <c r="G251" s="28">
        <f t="shared" si="54"/>
        <v>71.400000000000006</v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236</v>
      </c>
      <c r="F252" s="27">
        <v>33</v>
      </c>
      <c r="G252" s="34">
        <f t="shared" si="54"/>
        <v>138.6</v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236</v>
      </c>
      <c r="F253" s="27">
        <v>12</v>
      </c>
      <c r="G253" s="28">
        <f t="shared" si="54"/>
        <v>50.400000000000006</v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236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236</v>
      </c>
      <c r="F255" s="27">
        <v>15</v>
      </c>
      <c r="G255" s="28">
        <f t="shared" si="54"/>
        <v>63</v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236</v>
      </c>
      <c r="F256" s="27">
        <v>19</v>
      </c>
      <c r="G256" s="34">
        <f t="shared" si="54"/>
        <v>79.8</v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101" t="s">
        <v>218</v>
      </c>
      <c r="B257" s="102"/>
      <c r="C257" s="102"/>
      <c r="D257" s="102"/>
      <c r="E257" s="103">
        <f>SUM(E245:E256)</f>
        <v>0</v>
      </c>
      <c r="F257" s="36">
        <f>SUM(F245:F256)</f>
        <v>190</v>
      </c>
      <c r="G257" s="36">
        <f>SUM(G245:G256)</f>
        <v>797.99999999999989</v>
      </c>
      <c r="H257" s="37"/>
      <c r="I257" s="37"/>
      <c r="J257" s="37"/>
      <c r="K257" s="61"/>
      <c r="L257" s="61"/>
      <c r="M257" s="38">
        <f ca="1">IFERROR(SUM(M245:M256),"")</f>
        <v>0.11736111111111114</v>
      </c>
      <c r="N257" s="36" t="s">
        <v>219</v>
      </c>
      <c r="O257" s="39">
        <v>874480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236</v>
      </c>
      <c r="F258" s="27">
        <v>23</v>
      </c>
      <c r="G258" s="34">
        <f t="shared" ref="G258:G269" si="57">IF(F258="","",IF(E258="PC 17",F258*4.2,IF(E258="PC 19",F258*5,"")))</f>
        <v>96.600000000000009</v>
      </c>
      <c r="H258" s="26" t="s">
        <v>20</v>
      </c>
      <c r="I258" s="26" t="s">
        <v>153</v>
      </c>
      <c r="J258" s="26" t="s">
        <v>74</v>
      </c>
      <c r="K258" s="29">
        <v>0.80208333333333337</v>
      </c>
      <c r="L258" s="29">
        <v>0.81597222222222221</v>
      </c>
      <c r="M258" s="35">
        <f t="shared" ref="M258:M269" ca="1" si="58">IFERROR(IF(K258="","",IF(L258="",MOD(NOW()-K258,1),IF(L258&gt;=K258,L258-K258,L258+1-K258))),"")</f>
        <v>1.388888888888884E-2</v>
      </c>
      <c r="N258" s="27"/>
      <c r="O258" s="60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236</v>
      </c>
      <c r="F259" s="27">
        <v>19</v>
      </c>
      <c r="G259" s="28">
        <f t="shared" si="57"/>
        <v>79.8</v>
      </c>
      <c r="H259" s="50" t="s">
        <v>19</v>
      </c>
      <c r="I259" s="50" t="s">
        <v>158</v>
      </c>
      <c r="J259" s="50" t="s">
        <v>27</v>
      </c>
      <c r="K259" s="29">
        <v>0.8930555555555556</v>
      </c>
      <c r="L259" s="29">
        <v>0.91666666666666663</v>
      </c>
      <c r="M259" s="30">
        <f t="shared" ca="1" si="58"/>
        <v>2.3611111111111027E-2</v>
      </c>
      <c r="N259" s="27"/>
      <c r="O259" s="60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236</v>
      </c>
      <c r="F260" s="27">
        <v>14</v>
      </c>
      <c r="G260" s="34">
        <f t="shared" si="57"/>
        <v>58.800000000000004</v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236</v>
      </c>
      <c r="F261" s="27">
        <v>22</v>
      </c>
      <c r="G261" s="28">
        <f t="shared" si="57"/>
        <v>92.4</v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236</v>
      </c>
      <c r="F262" s="27">
        <v>17</v>
      </c>
      <c r="G262" s="34">
        <f t="shared" si="57"/>
        <v>71.400000000000006</v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236</v>
      </c>
      <c r="F263" s="27">
        <v>27</v>
      </c>
      <c r="G263" s="28">
        <f t="shared" si="57"/>
        <v>113.4</v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236</v>
      </c>
      <c r="F264" s="27">
        <v>20</v>
      </c>
      <c r="G264" s="34">
        <f t="shared" si="57"/>
        <v>84</v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236</v>
      </c>
      <c r="F265" s="27">
        <v>20</v>
      </c>
      <c r="G265" s="28">
        <f t="shared" si="57"/>
        <v>84</v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236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236</v>
      </c>
      <c r="F267" s="27">
        <v>20</v>
      </c>
      <c r="G267" s="28">
        <f t="shared" si="57"/>
        <v>84</v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236</v>
      </c>
      <c r="F268" s="27">
        <v>10</v>
      </c>
      <c r="G268" s="34">
        <f t="shared" si="57"/>
        <v>42</v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236</v>
      </c>
      <c r="F269" s="27">
        <v>18</v>
      </c>
      <c r="G269" s="28">
        <f t="shared" si="57"/>
        <v>75.600000000000009</v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101" t="s">
        <v>220</v>
      </c>
      <c r="B270" s="102"/>
      <c r="C270" s="102"/>
      <c r="D270" s="102"/>
      <c r="E270" s="103">
        <f>SUM(E258:E269)</f>
        <v>0</v>
      </c>
      <c r="F270" s="36">
        <f>SUM(F258:F269)</f>
        <v>228</v>
      </c>
      <c r="G270" s="36">
        <f>SUM(G258:G269)</f>
        <v>957.6</v>
      </c>
      <c r="H270" s="37"/>
      <c r="I270" s="37"/>
      <c r="J270" s="37"/>
      <c r="K270" s="61"/>
      <c r="L270" s="61"/>
      <c r="M270" s="38">
        <f ca="1">IFERROR(SUM(M258:M269),"")</f>
        <v>3.7499999999999867E-2</v>
      </c>
      <c r="N270" s="36" t="s">
        <v>219</v>
      </c>
      <c r="O270" s="39">
        <v>1208450</v>
      </c>
    </row>
    <row r="271" spans="1:15" ht="18" customHeight="1">
      <c r="A271" s="98" t="s">
        <v>221</v>
      </c>
      <c r="B271" s="99"/>
      <c r="C271" s="99"/>
      <c r="D271" s="99"/>
      <c r="E271" s="100">
        <f>E257+E270</f>
        <v>0</v>
      </c>
      <c r="F271" s="40">
        <f>F257+F270</f>
        <v>418</v>
      </c>
      <c r="G271" s="40">
        <f>G257+G270</f>
        <v>1755.6</v>
      </c>
      <c r="H271" s="41"/>
      <c r="I271" s="41"/>
      <c r="J271" s="41"/>
      <c r="K271" s="63"/>
      <c r="L271" s="63"/>
      <c r="M271" s="42">
        <f ca="1">IFERROR(M257+M270,"")</f>
        <v>0.15486111111111101</v>
      </c>
      <c r="N271" s="40" t="s">
        <v>222</v>
      </c>
      <c r="O271" s="48">
        <f>IFERROR(O257+O270,"")</f>
        <v>2082930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236</v>
      </c>
      <c r="F272" s="27">
        <v>16</v>
      </c>
      <c r="G272" s="28">
        <f t="shared" ref="G272:G283" si="60">IF(F272="","",IF(E272="PC 17",F272*4.2,IF(E272="PC 19",F272*5,"")))</f>
        <v>67.2</v>
      </c>
      <c r="H272" s="26" t="s">
        <v>19</v>
      </c>
      <c r="I272" s="26" t="s">
        <v>158</v>
      </c>
      <c r="J272" s="26" t="s">
        <v>27</v>
      </c>
      <c r="K272" s="29">
        <v>0.38263888888888886</v>
      </c>
      <c r="L272" s="29">
        <v>0.3972222222222222</v>
      </c>
      <c r="M272" s="30">
        <f t="shared" ref="M272:M277" ca="1" si="61">IFERROR(IF(K272="","",IF(L272="",MOD(NOW()-K272,1),IF(L272&gt;=K272,L272-K272,L272+1-K272))),"")</f>
        <v>1.4583333333333337E-2</v>
      </c>
      <c r="N272" s="27"/>
      <c r="O272" s="60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236</v>
      </c>
      <c r="F273" s="27">
        <v>25</v>
      </c>
      <c r="G273" s="34">
        <f t="shared" si="60"/>
        <v>105</v>
      </c>
      <c r="H273" s="33" t="s">
        <v>20</v>
      </c>
      <c r="I273" s="33" t="s">
        <v>153</v>
      </c>
      <c r="J273" s="33" t="s">
        <v>74</v>
      </c>
      <c r="K273" s="29">
        <v>0.44583333333333336</v>
      </c>
      <c r="L273" s="29">
        <v>0.45</v>
      </c>
      <c r="M273" s="35">
        <f t="shared" ca="1" si="61"/>
        <v>4.1666666666666519E-3</v>
      </c>
      <c r="N273" s="27"/>
      <c r="O273" s="60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236</v>
      </c>
      <c r="F274" s="27">
        <v>12</v>
      </c>
      <c r="G274" s="28">
        <f t="shared" si="60"/>
        <v>50.400000000000006</v>
      </c>
      <c r="H274" s="26" t="s">
        <v>19</v>
      </c>
      <c r="I274" s="26" t="s">
        <v>158</v>
      </c>
      <c r="J274" s="26" t="s">
        <v>27</v>
      </c>
      <c r="K274" s="29">
        <v>0.7416666666666667</v>
      </c>
      <c r="L274" s="29">
        <v>0.78680555555555554</v>
      </c>
      <c r="M274" s="30">
        <f t="shared" ca="1" si="61"/>
        <v>4.513888888888884E-2</v>
      </c>
      <c r="N274" s="27"/>
      <c r="O274" s="60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236</v>
      </c>
      <c r="F275" s="27">
        <v>20</v>
      </c>
      <c r="G275" s="34">
        <f t="shared" si="60"/>
        <v>84</v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236</v>
      </c>
      <c r="F276" s="27">
        <v>14</v>
      </c>
      <c r="G276" s="28">
        <f t="shared" si="60"/>
        <v>58.800000000000004</v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236</v>
      </c>
      <c r="F277" s="27">
        <v>0</v>
      </c>
      <c r="G277" s="34">
        <f t="shared" si="60"/>
        <v>0</v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236</v>
      </c>
      <c r="F278" s="27">
        <v>22</v>
      </c>
      <c r="G278" s="28">
        <f t="shared" si="60"/>
        <v>92.4</v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236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236</v>
      </c>
      <c r="F280" s="27">
        <v>15</v>
      </c>
      <c r="G280" s="28">
        <f t="shared" si="60"/>
        <v>63</v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236</v>
      </c>
      <c r="F281" s="27">
        <v>18</v>
      </c>
      <c r="G281" s="34">
        <f t="shared" si="60"/>
        <v>75.600000000000009</v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236</v>
      </c>
      <c r="F282" s="27">
        <v>17</v>
      </c>
      <c r="G282" s="28">
        <f t="shared" si="60"/>
        <v>71.400000000000006</v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236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101" t="s">
        <v>218</v>
      </c>
      <c r="B284" s="102"/>
      <c r="C284" s="102"/>
      <c r="D284" s="102"/>
      <c r="E284" s="103">
        <f>SUM(E272:E283)</f>
        <v>0</v>
      </c>
      <c r="F284" s="36">
        <f>SUM(F272:F283)</f>
        <v>187</v>
      </c>
      <c r="G284" s="36">
        <f>SUM(G272:G283)</f>
        <v>785.40000000000009</v>
      </c>
      <c r="H284" s="37"/>
      <c r="I284" s="37"/>
      <c r="J284" s="37"/>
      <c r="K284" s="61"/>
      <c r="L284" s="61"/>
      <c r="M284" s="38">
        <f ca="1">IFERROR(SUM(M272:M283),"")</f>
        <v>6.3888888888888828E-2</v>
      </c>
      <c r="N284" s="36" t="s">
        <v>219</v>
      </c>
      <c r="O284" s="39">
        <v>787000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236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18</v>
      </c>
      <c r="I285" s="33" t="s">
        <v>57</v>
      </c>
      <c r="J285" s="33" t="s">
        <v>34</v>
      </c>
      <c r="K285" s="29">
        <v>0.79166666666666663</v>
      </c>
      <c r="L285" s="29">
        <v>0.86111111111111116</v>
      </c>
      <c r="M285" s="35">
        <f t="shared" ref="M285:M296" ca="1" si="64">IFERROR(IF(K285="","",IF(L285="",MOD(NOW()-K285,1),IF(L285&gt;=K285,L285-K285,L285+1-K285))),"")</f>
        <v>6.9444444444444531E-2</v>
      </c>
      <c r="N285" s="27"/>
      <c r="O285" s="60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236</v>
      </c>
      <c r="F286" s="27">
        <v>1</v>
      </c>
      <c r="G286" s="28">
        <f t="shared" si="63"/>
        <v>4.2</v>
      </c>
      <c r="H286" s="49" t="s">
        <v>19</v>
      </c>
      <c r="I286" s="49" t="s">
        <v>52</v>
      </c>
      <c r="J286" s="49" t="s">
        <v>27</v>
      </c>
      <c r="K286" s="29">
        <v>0.86111111111111116</v>
      </c>
      <c r="L286" s="29">
        <v>0.87152777777777779</v>
      </c>
      <c r="M286" s="64">
        <f t="shared" ca="1" si="64"/>
        <v>1.041666666666663E-2</v>
      </c>
      <c r="N286" s="27"/>
      <c r="O286" s="60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236</v>
      </c>
      <c r="F287" s="27">
        <v>40</v>
      </c>
      <c r="G287" s="34">
        <f t="shared" si="63"/>
        <v>168</v>
      </c>
      <c r="H287" s="33" t="s">
        <v>20</v>
      </c>
      <c r="I287" s="33" t="s">
        <v>153</v>
      </c>
      <c r="J287" s="33" t="s">
        <v>74</v>
      </c>
      <c r="K287" s="29">
        <v>1.3888888888888888E-2</v>
      </c>
      <c r="L287" s="29">
        <v>1.6666666666666666E-2</v>
      </c>
      <c r="M287" s="64">
        <f t="shared" ca="1" si="64"/>
        <v>2.7777777777777783E-3</v>
      </c>
      <c r="N287" s="27"/>
      <c r="O287" s="60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236</v>
      </c>
      <c r="F288" s="27">
        <v>16</v>
      </c>
      <c r="G288" s="28">
        <f t="shared" si="63"/>
        <v>67.2</v>
      </c>
      <c r="H288" s="26" t="s">
        <v>16</v>
      </c>
      <c r="I288" s="26" t="s">
        <v>52</v>
      </c>
      <c r="J288" s="26" t="s">
        <v>53</v>
      </c>
      <c r="K288" s="29">
        <v>0.17291666666666666</v>
      </c>
      <c r="L288" s="29">
        <v>0.17847222222222223</v>
      </c>
      <c r="M288" s="64">
        <f t="shared" ca="1" si="64"/>
        <v>5.5555555555555636E-3</v>
      </c>
      <c r="N288" s="27"/>
      <c r="O288" s="60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216</v>
      </c>
      <c r="F289" s="27">
        <v>17</v>
      </c>
      <c r="G289" s="34">
        <f t="shared" si="63"/>
        <v>85</v>
      </c>
      <c r="H289" s="33" t="s">
        <v>19</v>
      </c>
      <c r="I289" s="33" t="s">
        <v>52</v>
      </c>
      <c r="J289" s="33" t="s">
        <v>27</v>
      </c>
      <c r="K289" s="29">
        <v>0.17847222222222223</v>
      </c>
      <c r="L289" s="29">
        <v>0.19097222222222221</v>
      </c>
      <c r="M289" s="35">
        <f t="shared" ca="1" si="64"/>
        <v>1.2499999999999983E-2</v>
      </c>
      <c r="N289" s="27"/>
      <c r="O289" s="60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236</v>
      </c>
      <c r="F290" s="27">
        <v>25</v>
      </c>
      <c r="G290" s="28">
        <f t="shared" si="63"/>
        <v>105</v>
      </c>
      <c r="H290" s="26" t="s">
        <v>20</v>
      </c>
      <c r="I290" s="26"/>
      <c r="J290" s="26" t="s">
        <v>112</v>
      </c>
      <c r="K290" s="29">
        <v>0.2013888888888889</v>
      </c>
      <c r="L290" s="29">
        <v>0.21249999999999999</v>
      </c>
      <c r="M290" s="64">
        <f t="shared" ca="1" si="64"/>
        <v>1.1111111111111099E-2</v>
      </c>
      <c r="N290" s="27"/>
      <c r="O290" s="60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236</v>
      </c>
      <c r="F291" s="27">
        <v>21</v>
      </c>
      <c r="G291" s="34">
        <f t="shared" si="63"/>
        <v>88.2</v>
      </c>
      <c r="H291" s="33" t="s">
        <v>16</v>
      </c>
      <c r="I291" s="33"/>
      <c r="J291" s="33" t="s">
        <v>53</v>
      </c>
      <c r="K291" s="29">
        <v>0.25</v>
      </c>
      <c r="L291" s="29">
        <v>0.29166666666666669</v>
      </c>
      <c r="M291" s="35">
        <f t="shared" ca="1" si="64"/>
        <v>4.1666666666666685E-2</v>
      </c>
      <c r="N291" s="27"/>
      <c r="O291" s="60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236</v>
      </c>
      <c r="F292" s="27">
        <v>35</v>
      </c>
      <c r="G292" s="28">
        <f t="shared" si="63"/>
        <v>147</v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236</v>
      </c>
      <c r="F293" s="27">
        <v>12</v>
      </c>
      <c r="G293" s="34">
        <f t="shared" si="63"/>
        <v>50.400000000000006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236</v>
      </c>
      <c r="F294" s="27">
        <v>17</v>
      </c>
      <c r="G294" s="28">
        <f t="shared" si="63"/>
        <v>71.400000000000006</v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236</v>
      </c>
      <c r="F295" s="27">
        <v>23</v>
      </c>
      <c r="G295" s="34">
        <f t="shared" si="63"/>
        <v>96.600000000000009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236</v>
      </c>
      <c r="F296" s="27">
        <v>1</v>
      </c>
      <c r="G296" s="28">
        <f t="shared" si="63"/>
        <v>4.2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101" t="s">
        <v>220</v>
      </c>
      <c r="B297" s="102"/>
      <c r="C297" s="102"/>
      <c r="D297" s="102"/>
      <c r="E297" s="103">
        <f>SUM(E285:E296)</f>
        <v>0</v>
      </c>
      <c r="F297" s="36">
        <f>SUM(F285:F296)</f>
        <v>208</v>
      </c>
      <c r="G297" s="36">
        <f>SUM(G285:G296)</f>
        <v>887.2</v>
      </c>
      <c r="H297" s="37"/>
      <c r="I297" s="37"/>
      <c r="J297" s="37"/>
      <c r="K297" s="61"/>
      <c r="L297" s="61"/>
      <c r="M297" s="38">
        <f ca="1">IFERROR(SUM(M285:M296),"")</f>
        <v>0.15347222222222229</v>
      </c>
      <c r="N297" s="36" t="s">
        <v>219</v>
      </c>
      <c r="O297" s="39">
        <v>1049090</v>
      </c>
    </row>
    <row r="298" spans="1:15" ht="18" customHeight="1">
      <c r="A298" s="98" t="s">
        <v>221</v>
      </c>
      <c r="B298" s="99"/>
      <c r="C298" s="99"/>
      <c r="D298" s="99"/>
      <c r="E298" s="100">
        <f>E284+E297</f>
        <v>0</v>
      </c>
      <c r="F298" s="40">
        <f>F284+F297</f>
        <v>395</v>
      </c>
      <c r="G298" s="40">
        <f>G284+G297</f>
        <v>1672.6000000000001</v>
      </c>
      <c r="H298" s="41"/>
      <c r="I298" s="41"/>
      <c r="J298" s="41"/>
      <c r="K298" s="63"/>
      <c r="L298" s="63"/>
      <c r="M298" s="42">
        <f ca="1">IFERROR(M284+M297,"")</f>
        <v>0.21736111111111112</v>
      </c>
      <c r="N298" s="40" t="s">
        <v>222</v>
      </c>
      <c r="O298" s="48">
        <f>IFERROR(O284+O297,"")</f>
        <v>1836090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236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19</v>
      </c>
      <c r="I299" s="33" t="s">
        <v>52</v>
      </c>
      <c r="J299" s="33" t="s">
        <v>35</v>
      </c>
      <c r="K299" s="29">
        <v>0.29166666666666669</v>
      </c>
      <c r="L299" s="29">
        <v>0.43125000000000002</v>
      </c>
      <c r="M299" s="35">
        <f t="shared" ref="M299:M310" ca="1" si="67">IFERROR(IF(K299="","",IF(L299="",MOD(NOW()-K299,1),IF(L299&gt;=K299,L299-K299,L299+1-K299))),"")</f>
        <v>0.13958333333333334</v>
      </c>
      <c r="N299" s="27" t="s">
        <v>311</v>
      </c>
      <c r="O299" s="60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236</v>
      </c>
      <c r="F300" s="27">
        <v>0</v>
      </c>
      <c r="G300" s="28">
        <f t="shared" si="66"/>
        <v>0</v>
      </c>
      <c r="H300" s="26" t="s">
        <v>18</v>
      </c>
      <c r="I300" s="26"/>
      <c r="J300" s="26" t="s">
        <v>203</v>
      </c>
      <c r="K300" s="29">
        <v>0.45833333333333331</v>
      </c>
      <c r="L300" s="29">
        <v>0.55763888888888891</v>
      </c>
      <c r="M300" s="30">
        <f t="shared" ca="1" si="67"/>
        <v>9.9305555555555591E-2</v>
      </c>
      <c r="N300" s="27"/>
      <c r="O300" s="60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236</v>
      </c>
      <c r="F301" s="27">
        <v>0</v>
      </c>
      <c r="G301" s="34">
        <f t="shared" si="66"/>
        <v>0</v>
      </c>
      <c r="H301" s="33" t="s">
        <v>18</v>
      </c>
      <c r="I301" s="33"/>
      <c r="J301" s="33" t="s">
        <v>204</v>
      </c>
      <c r="K301" s="65">
        <v>0.60069444444444442</v>
      </c>
      <c r="L301" s="29">
        <v>0.71111111111111114</v>
      </c>
      <c r="M301" s="35">
        <f t="shared" ca="1" si="67"/>
        <v>0.11041666666666672</v>
      </c>
      <c r="N301" s="27"/>
      <c r="O301" s="60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236</v>
      </c>
      <c r="F302" s="27">
        <v>0</v>
      </c>
      <c r="G302" s="28">
        <f t="shared" si="66"/>
        <v>0</v>
      </c>
      <c r="H302" s="26" t="s">
        <v>18</v>
      </c>
      <c r="I302" s="26" t="s">
        <v>136</v>
      </c>
      <c r="J302" s="26" t="s">
        <v>126</v>
      </c>
      <c r="K302" s="29">
        <v>0.72222222222222221</v>
      </c>
      <c r="L302" s="29">
        <v>0.76875000000000004</v>
      </c>
      <c r="M302" s="30">
        <f t="shared" ca="1" si="67"/>
        <v>4.6527777777777835E-2</v>
      </c>
      <c r="N302" s="27"/>
      <c r="O302" s="60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236</v>
      </c>
      <c r="F303" s="27">
        <v>0</v>
      </c>
      <c r="G303" s="34">
        <f t="shared" si="66"/>
        <v>0</v>
      </c>
      <c r="H303" s="33"/>
      <c r="I303" s="33"/>
      <c r="J303" s="33" t="s">
        <v>97</v>
      </c>
      <c r="K303" s="29">
        <v>0.77083333333333337</v>
      </c>
      <c r="L303" s="29">
        <v>0.78819444444444442</v>
      </c>
      <c r="M303" s="35">
        <f t="shared" ca="1" si="67"/>
        <v>1.7361111111111049E-2</v>
      </c>
      <c r="N303" s="27"/>
      <c r="O303" s="60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236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236</v>
      </c>
      <c r="F305" s="27">
        <v>10</v>
      </c>
      <c r="G305" s="34">
        <f t="shared" si="66"/>
        <v>42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236</v>
      </c>
      <c r="F306" s="27">
        <v>0</v>
      </c>
      <c r="G306" s="28">
        <f t="shared" si="66"/>
        <v>0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236</v>
      </c>
      <c r="F307" s="27">
        <v>13</v>
      </c>
      <c r="G307" s="34">
        <f t="shared" si="66"/>
        <v>54.6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236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236</v>
      </c>
      <c r="F309" s="27">
        <v>7</v>
      </c>
      <c r="G309" s="34">
        <f t="shared" si="66"/>
        <v>29.400000000000002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236</v>
      </c>
      <c r="F310" s="27">
        <v>0</v>
      </c>
      <c r="G310" s="28">
        <f t="shared" si="66"/>
        <v>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101" t="s">
        <v>218</v>
      </c>
      <c r="B311" s="102"/>
      <c r="C311" s="102"/>
      <c r="D311" s="102"/>
      <c r="E311" s="103">
        <f>SUM(E299:E310)</f>
        <v>0</v>
      </c>
      <c r="F311" s="36">
        <f>SUM(F299:F310)</f>
        <v>30</v>
      </c>
      <c r="G311" s="36">
        <f>SUM(G299:G310)</f>
        <v>126</v>
      </c>
      <c r="H311" s="37"/>
      <c r="I311" s="37"/>
      <c r="J311" s="37"/>
      <c r="K311" s="61"/>
      <c r="L311" s="61"/>
      <c r="M311" s="38">
        <f ca="1">IFERROR(SUM(M299:M310),"")</f>
        <v>0.41319444444444453</v>
      </c>
      <c r="N311" s="36" t="s">
        <v>219</v>
      </c>
      <c r="O311" s="39">
        <v>145580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216</v>
      </c>
      <c r="F312" s="27">
        <v>20</v>
      </c>
      <c r="G312" s="28">
        <f t="shared" ref="G312:G323" si="69">IF(F312="","",IF(E312="PC 17",F312*4.2,IF(E312="PC 19",F312*5,"")))</f>
        <v>100</v>
      </c>
      <c r="H312" s="26" t="s">
        <v>20</v>
      </c>
      <c r="I312" s="26" t="s">
        <v>136</v>
      </c>
      <c r="J312" s="26" t="s">
        <v>97</v>
      </c>
      <c r="K312" s="29">
        <v>0.77083333333333337</v>
      </c>
      <c r="L312" s="29">
        <v>0.78819444444444442</v>
      </c>
      <c r="M312" s="30">
        <f t="shared" ref="M312:M323" ca="1" si="70">IFERROR(IF(K312="","",IF(L312="",MOD(NOW()-K312,1),IF(L312&gt;=K312,L312-K312,L312+1-K312))),"")</f>
        <v>1.7361111111111049E-2</v>
      </c>
      <c r="N312" s="27"/>
      <c r="O312" s="60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236</v>
      </c>
      <c r="F313" s="27">
        <v>15</v>
      </c>
      <c r="G313" s="34">
        <f t="shared" si="69"/>
        <v>63</v>
      </c>
      <c r="H313" s="33" t="s">
        <v>20</v>
      </c>
      <c r="I313" s="33" t="s">
        <v>52</v>
      </c>
      <c r="J313" s="33" t="s">
        <v>167</v>
      </c>
      <c r="K313" s="29">
        <v>0.80347222222222225</v>
      </c>
      <c r="L313" s="29">
        <v>0.80555555555555558</v>
      </c>
      <c r="M313" s="35">
        <f t="shared" ca="1" si="70"/>
        <v>2.0833333333333259E-3</v>
      </c>
      <c r="N313" s="27"/>
      <c r="O313" s="60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236</v>
      </c>
      <c r="F314" s="27">
        <v>13</v>
      </c>
      <c r="G314" s="28">
        <f t="shared" si="69"/>
        <v>54.6</v>
      </c>
      <c r="H314" s="26" t="s">
        <v>20</v>
      </c>
      <c r="I314" s="26"/>
      <c r="J314" s="26" t="s">
        <v>112</v>
      </c>
      <c r="K314" s="29">
        <v>0.80833333333333335</v>
      </c>
      <c r="L314" s="29">
        <v>0.81111111111111112</v>
      </c>
      <c r="M314" s="30">
        <f t="shared" ca="1" si="70"/>
        <v>2.7777777777777679E-3</v>
      </c>
      <c r="N314" s="27"/>
      <c r="O314" s="60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236</v>
      </c>
      <c r="F315" s="27">
        <v>9</v>
      </c>
      <c r="G315" s="34">
        <f t="shared" si="69"/>
        <v>37.800000000000004</v>
      </c>
      <c r="H315" s="33" t="s">
        <v>20</v>
      </c>
      <c r="I315" s="33"/>
      <c r="J315" s="33" t="s">
        <v>112</v>
      </c>
      <c r="K315" s="29">
        <v>0.81527777777777777</v>
      </c>
      <c r="L315" s="29">
        <v>0.81944444444444442</v>
      </c>
      <c r="M315" s="35">
        <f t="shared" ca="1" si="70"/>
        <v>4.1666666666666519E-3</v>
      </c>
      <c r="N315" s="27"/>
      <c r="O315" s="60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236</v>
      </c>
      <c r="F316" s="27">
        <v>10</v>
      </c>
      <c r="G316" s="28">
        <f t="shared" si="69"/>
        <v>42</v>
      </c>
      <c r="H316" s="26" t="s">
        <v>20</v>
      </c>
      <c r="I316" s="26"/>
      <c r="J316" s="26" t="s">
        <v>112</v>
      </c>
      <c r="K316" s="29">
        <v>0.82222222222222219</v>
      </c>
      <c r="L316" s="29">
        <v>0.83611111111111114</v>
      </c>
      <c r="M316" s="30">
        <f t="shared" ca="1" si="70"/>
        <v>1.3888888888888951E-2</v>
      </c>
      <c r="N316" s="27"/>
      <c r="O316" s="60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236</v>
      </c>
      <c r="F317" s="27">
        <v>20</v>
      </c>
      <c r="G317" s="34">
        <f t="shared" si="69"/>
        <v>84</v>
      </c>
      <c r="H317" s="33" t="s">
        <v>20</v>
      </c>
      <c r="I317" s="33" t="s">
        <v>128</v>
      </c>
      <c r="J317" s="33" t="s">
        <v>112</v>
      </c>
      <c r="K317" s="29">
        <v>0.89583333333333337</v>
      </c>
      <c r="L317" s="29">
        <v>0.94444444444444442</v>
      </c>
      <c r="M317" s="35">
        <f t="shared" ca="1" si="70"/>
        <v>4.8611111111111049E-2</v>
      </c>
      <c r="N317" s="27"/>
      <c r="O317" s="60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236</v>
      </c>
      <c r="F318" s="27">
        <v>15</v>
      </c>
      <c r="G318" s="28">
        <f t="shared" si="69"/>
        <v>63</v>
      </c>
      <c r="H318" s="26" t="s">
        <v>20</v>
      </c>
      <c r="I318" s="26" t="s">
        <v>52</v>
      </c>
      <c r="J318" s="26" t="s">
        <v>56</v>
      </c>
      <c r="K318" s="29">
        <v>0.96736111111111112</v>
      </c>
      <c r="L318" s="29">
        <v>0.97916666666666663</v>
      </c>
      <c r="M318" s="30">
        <f t="shared" ca="1" si="70"/>
        <v>1.1805555555555514E-2</v>
      </c>
      <c r="N318" s="27" t="s">
        <v>245</v>
      </c>
      <c r="O318" s="60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236</v>
      </c>
      <c r="F319" s="27">
        <v>26</v>
      </c>
      <c r="G319" s="34">
        <f t="shared" si="69"/>
        <v>109.2</v>
      </c>
      <c r="H319" s="33" t="s">
        <v>20</v>
      </c>
      <c r="I319" s="33" t="s">
        <v>153</v>
      </c>
      <c r="J319" s="33" t="s">
        <v>74</v>
      </c>
      <c r="K319" s="29">
        <v>0.12916666666666668</v>
      </c>
      <c r="L319" s="29">
        <v>0.13333333333333333</v>
      </c>
      <c r="M319" s="35">
        <f t="shared" ca="1" si="70"/>
        <v>4.1666666666666519E-3</v>
      </c>
      <c r="N319" s="27"/>
      <c r="O319" s="60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236</v>
      </c>
      <c r="F320" s="27">
        <v>30</v>
      </c>
      <c r="G320" s="28">
        <f t="shared" si="69"/>
        <v>126</v>
      </c>
      <c r="H320" s="26" t="s">
        <v>19</v>
      </c>
      <c r="I320" s="26" t="s">
        <v>158</v>
      </c>
      <c r="J320" s="26" t="s">
        <v>27</v>
      </c>
      <c r="K320" s="29">
        <v>0.24097222222222223</v>
      </c>
      <c r="L320" s="29">
        <v>0.25694444444444442</v>
      </c>
      <c r="M320" s="30">
        <f t="shared" ca="1" si="70"/>
        <v>1.5972222222222193E-2</v>
      </c>
      <c r="N320" s="27"/>
      <c r="O320" s="60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236</v>
      </c>
      <c r="F321" s="27">
        <v>11</v>
      </c>
      <c r="G321" s="34">
        <f t="shared" si="69"/>
        <v>46.2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236</v>
      </c>
      <c r="F322" s="27">
        <v>15</v>
      </c>
      <c r="G322" s="28">
        <f t="shared" si="69"/>
        <v>63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216</v>
      </c>
      <c r="F323" s="27">
        <v>15</v>
      </c>
      <c r="G323" s="34">
        <f t="shared" si="69"/>
        <v>75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101" t="s">
        <v>220</v>
      </c>
      <c r="B324" s="102"/>
      <c r="C324" s="102"/>
      <c r="D324" s="102"/>
      <c r="E324" s="103">
        <f>SUM(E312:E323)</f>
        <v>0</v>
      </c>
      <c r="F324" s="36">
        <f>SUM(F312:F323)</f>
        <v>199</v>
      </c>
      <c r="G324" s="36">
        <f>SUM(G312:G323)</f>
        <v>863.80000000000007</v>
      </c>
      <c r="H324" s="37"/>
      <c r="I324" s="37"/>
      <c r="J324" s="37"/>
      <c r="K324" s="61"/>
      <c r="L324" s="61"/>
      <c r="M324" s="38">
        <f ca="1">IFERROR(SUM(M312:M323),"")</f>
        <v>0.12083333333333315</v>
      </c>
      <c r="N324" s="36" t="s">
        <v>219</v>
      </c>
      <c r="O324" s="39">
        <v>1063720</v>
      </c>
    </row>
    <row r="325" spans="1:15" ht="18" customHeight="1">
      <c r="A325" s="98" t="s">
        <v>221</v>
      </c>
      <c r="B325" s="99"/>
      <c r="C325" s="99"/>
      <c r="D325" s="99"/>
      <c r="E325" s="100">
        <f>E311+E324</f>
        <v>0</v>
      </c>
      <c r="F325" s="40">
        <f>F311+F324</f>
        <v>229</v>
      </c>
      <c r="G325" s="40">
        <f>G311+G324</f>
        <v>989.80000000000007</v>
      </c>
      <c r="H325" s="41"/>
      <c r="I325" s="41"/>
      <c r="J325" s="41"/>
      <c r="K325" s="63"/>
      <c r="L325" s="63"/>
      <c r="M325" s="42">
        <f ca="1">IFERROR(M311+M324,"")</f>
        <v>0.53402777777777766</v>
      </c>
      <c r="N325" s="40" t="s">
        <v>222</v>
      </c>
      <c r="O325" s="48">
        <f>IFERROR(O311+O324,"")</f>
        <v>1209300</v>
      </c>
    </row>
    <row r="326" spans="1:15" ht="15" customHeight="1">
      <c r="A326" s="69">
        <v>46216</v>
      </c>
      <c r="B326" s="25">
        <v>0.33333333333333298</v>
      </c>
      <c r="C326" s="26" t="s">
        <v>45</v>
      </c>
      <c r="D326" s="59" t="s">
        <v>30</v>
      </c>
      <c r="E326" s="57" t="s">
        <v>236</v>
      </c>
      <c r="F326" s="27">
        <v>20</v>
      </c>
      <c r="G326" s="28">
        <f>IF(F326="","",IF(E327="PC 17",F326*4.2,IF(E327="PC 19",F326*5,"")))</f>
        <v>84</v>
      </c>
      <c r="H326" s="26" t="s">
        <v>20</v>
      </c>
      <c r="I326" s="26" t="s">
        <v>39</v>
      </c>
      <c r="J326" s="26" t="s">
        <v>51</v>
      </c>
      <c r="K326" s="29">
        <v>0.39861111111111114</v>
      </c>
      <c r="L326" s="29">
        <v>0.40138888888888891</v>
      </c>
      <c r="M326" s="30">
        <f t="shared" ref="M326:M337" ca="1" si="72">IFERROR(IF(K326="","",IF(L326="",MOD(NOW()-K326,1),IF(L326&gt;=K326,L326-K326,L326+1-K326))),"")</f>
        <v>2.7777777777777679E-3</v>
      </c>
      <c r="N326" s="27"/>
      <c r="O326" s="60"/>
    </row>
    <row r="327" spans="1:15" ht="15" customHeight="1">
      <c r="A327" s="70">
        <v>46216</v>
      </c>
      <c r="B327" s="32">
        <f t="shared" ref="B327:B337" si="73">B326+TIME(0,60,0)</f>
        <v>0.37499999999999967</v>
      </c>
      <c r="C327" s="26" t="s">
        <v>45</v>
      </c>
      <c r="D327" s="59" t="s">
        <v>30</v>
      </c>
      <c r="E327" s="59" t="s">
        <v>236</v>
      </c>
      <c r="F327" s="27">
        <v>20</v>
      </c>
      <c r="G327" s="34">
        <v>84</v>
      </c>
      <c r="H327" s="33" t="s">
        <v>18</v>
      </c>
      <c r="I327" s="33" t="s">
        <v>158</v>
      </c>
      <c r="J327" s="33" t="s">
        <v>117</v>
      </c>
      <c r="K327" s="29">
        <v>0.53333333333333333</v>
      </c>
      <c r="L327" s="29">
        <v>0.57291666666666663</v>
      </c>
      <c r="M327" s="35">
        <f t="shared" ca="1" si="72"/>
        <v>3.9583333333333304E-2</v>
      </c>
      <c r="N327" s="27" t="s">
        <v>271</v>
      </c>
      <c r="O327" s="60"/>
    </row>
    <row r="328" spans="1:15" ht="15" customHeight="1">
      <c r="A328" s="69">
        <v>46216</v>
      </c>
      <c r="B328" s="25">
        <f t="shared" si="73"/>
        <v>0.41666666666666635</v>
      </c>
      <c r="C328" s="26" t="s">
        <v>45</v>
      </c>
      <c r="D328" s="59" t="s">
        <v>30</v>
      </c>
      <c r="E328" s="59" t="s">
        <v>236</v>
      </c>
      <c r="F328" s="27">
        <v>20</v>
      </c>
      <c r="G328" s="28">
        <f t="shared" ref="G328:G337" si="74">IF(F328="","",IF(E328="PC 17",F328*4.2,IF(E328="PC 19",F328*5,"")))</f>
        <v>84</v>
      </c>
      <c r="H328" s="26" t="s">
        <v>20</v>
      </c>
      <c r="I328" s="26" t="s">
        <v>128</v>
      </c>
      <c r="J328" s="26" t="s">
        <v>112</v>
      </c>
      <c r="K328" s="29">
        <v>0.63541666666666663</v>
      </c>
      <c r="L328" s="29">
        <v>0.70208333333333328</v>
      </c>
      <c r="M328" s="30">
        <f t="shared" ca="1" si="72"/>
        <v>6.6666666666666652E-2</v>
      </c>
      <c r="N328" s="27"/>
      <c r="O328" s="60"/>
    </row>
    <row r="329" spans="1:15" ht="15" customHeight="1">
      <c r="A329" s="70">
        <v>46216</v>
      </c>
      <c r="B329" s="32">
        <f t="shared" si="73"/>
        <v>0.45833333333333304</v>
      </c>
      <c r="C329" s="26" t="s">
        <v>45</v>
      </c>
      <c r="D329" s="59" t="s">
        <v>30</v>
      </c>
      <c r="E329" s="59" t="s">
        <v>236</v>
      </c>
      <c r="F329" s="27">
        <v>27</v>
      </c>
      <c r="G329" s="34">
        <f t="shared" si="74"/>
        <v>113.4</v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9">
        <v>46216</v>
      </c>
      <c r="B330" s="25">
        <f t="shared" si="73"/>
        <v>0.49999999999999972</v>
      </c>
      <c r="C330" s="26" t="s">
        <v>45</v>
      </c>
      <c r="D330" s="59" t="s">
        <v>30</v>
      </c>
      <c r="E330" s="59" t="s">
        <v>216</v>
      </c>
      <c r="F330" s="27">
        <v>15</v>
      </c>
      <c r="G330" s="28">
        <f t="shared" si="74"/>
        <v>75</v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70">
        <v>46216</v>
      </c>
      <c r="B331" s="32">
        <f t="shared" si="73"/>
        <v>0.54166666666666641</v>
      </c>
      <c r="C331" s="26" t="s">
        <v>45</v>
      </c>
      <c r="D331" s="59" t="s">
        <v>30</v>
      </c>
      <c r="E331" s="59" t="s">
        <v>236</v>
      </c>
      <c r="F331" s="27">
        <v>9</v>
      </c>
      <c r="G331" s="34">
        <f t="shared" si="74"/>
        <v>37.800000000000004</v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9">
        <v>46216</v>
      </c>
      <c r="B332" s="25">
        <f t="shared" si="73"/>
        <v>0.58333333333333304</v>
      </c>
      <c r="C332" s="26" t="s">
        <v>45</v>
      </c>
      <c r="D332" s="59" t="s">
        <v>30</v>
      </c>
      <c r="E332" s="59" t="s">
        <v>236</v>
      </c>
      <c r="F332" s="27">
        <v>21</v>
      </c>
      <c r="G332" s="28">
        <f t="shared" si="74"/>
        <v>88.2</v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70">
        <v>46216</v>
      </c>
      <c r="B333" s="32">
        <f t="shared" si="73"/>
        <v>0.62499999999999967</v>
      </c>
      <c r="C333" s="26" t="s">
        <v>45</v>
      </c>
      <c r="D333" s="59" t="s">
        <v>30</v>
      </c>
      <c r="E333" s="59" t="s">
        <v>236</v>
      </c>
      <c r="F333" s="27">
        <v>21</v>
      </c>
      <c r="G333" s="34">
        <f t="shared" si="74"/>
        <v>88.2</v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9">
        <v>46216</v>
      </c>
      <c r="B334" s="25">
        <f t="shared" si="73"/>
        <v>0.6666666666666663</v>
      </c>
      <c r="C334" s="26" t="s">
        <v>45</v>
      </c>
      <c r="D334" s="59" t="s">
        <v>30</v>
      </c>
      <c r="E334" s="59" t="s">
        <v>236</v>
      </c>
      <c r="F334" s="27">
        <v>8</v>
      </c>
      <c r="G334" s="28">
        <f t="shared" si="74"/>
        <v>33.6</v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70">
        <v>46216</v>
      </c>
      <c r="B335" s="32">
        <f t="shared" si="73"/>
        <v>0.70833333333333293</v>
      </c>
      <c r="C335" s="26" t="s">
        <v>45</v>
      </c>
      <c r="D335" s="59" t="s">
        <v>30</v>
      </c>
      <c r="E335" s="59" t="s">
        <v>236</v>
      </c>
      <c r="F335" s="27">
        <v>0</v>
      </c>
      <c r="G335" s="34">
        <f t="shared" si="74"/>
        <v>0</v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9">
        <v>46216</v>
      </c>
      <c r="B336" s="25">
        <f t="shared" si="73"/>
        <v>0.74999999999999956</v>
      </c>
      <c r="C336" s="26" t="s">
        <v>45</v>
      </c>
      <c r="D336" s="59" t="s">
        <v>30</v>
      </c>
      <c r="E336" s="59" t="s">
        <v>236</v>
      </c>
      <c r="F336" s="27">
        <v>22</v>
      </c>
      <c r="G336" s="28">
        <f t="shared" si="74"/>
        <v>92.4</v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70">
        <v>46216</v>
      </c>
      <c r="B337" s="32">
        <f t="shared" si="73"/>
        <v>0.79166666666666619</v>
      </c>
      <c r="C337" s="26" t="s">
        <v>45</v>
      </c>
      <c r="D337" s="59" t="s">
        <v>30</v>
      </c>
      <c r="E337" s="59" t="s">
        <v>236</v>
      </c>
      <c r="F337" s="27">
        <v>0</v>
      </c>
      <c r="G337" s="34">
        <f t="shared" si="74"/>
        <v>0</v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101" t="s">
        <v>218</v>
      </c>
      <c r="B338" s="102"/>
      <c r="C338" s="102"/>
      <c r="D338" s="102"/>
      <c r="E338" s="103">
        <f>SUM(E327:E337)</f>
        <v>0</v>
      </c>
      <c r="F338" s="36">
        <f>SUM(F326:F337)</f>
        <v>183</v>
      </c>
      <c r="G338" s="36">
        <f>SUM(G326:G337)</f>
        <v>780.6</v>
      </c>
      <c r="H338" s="37"/>
      <c r="I338" s="37"/>
      <c r="J338" s="37"/>
      <c r="K338" s="61"/>
      <c r="L338" s="61"/>
      <c r="M338" s="38">
        <f ca="1">IFERROR(SUM(M326:M337),"")</f>
        <v>0.10902777777777772</v>
      </c>
      <c r="N338" s="36" t="s">
        <v>219</v>
      </c>
      <c r="O338" s="39">
        <v>780000</v>
      </c>
    </row>
    <row r="339" spans="1:15" ht="15" customHeight="1">
      <c r="A339" s="70">
        <v>46216</v>
      </c>
      <c r="B339" s="32">
        <v>0.83333333333333304</v>
      </c>
      <c r="C339" s="33" t="s">
        <v>29</v>
      </c>
      <c r="D339" s="62" t="s">
        <v>30</v>
      </c>
      <c r="E339" s="62" t="s">
        <v>236</v>
      </c>
      <c r="F339" s="27">
        <v>10</v>
      </c>
      <c r="G339" s="34">
        <f t="shared" ref="G339:G350" si="75">IF(F339="","",IF(E339="PC 17",F339*4.2,IF(E339="PC 19",F339*5,"")))</f>
        <v>42</v>
      </c>
      <c r="H339" s="33" t="s">
        <v>19</v>
      </c>
      <c r="I339" s="33" t="s">
        <v>52</v>
      </c>
      <c r="J339" s="33" t="s">
        <v>27</v>
      </c>
      <c r="K339" s="29">
        <v>0.81180555555555556</v>
      </c>
      <c r="L339" s="29">
        <v>0.82361111111111107</v>
      </c>
      <c r="M339" s="35">
        <f t="shared" ref="M339:M350" ca="1" si="76">IFERROR(IF(K339="","",IF(L339="",MOD(NOW()-K339,1),IF(L339&gt;=K339,L339-K339,L339+1-K339))),"")</f>
        <v>1.1805555555555514E-2</v>
      </c>
      <c r="N339" s="27"/>
      <c r="O339" s="60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236</v>
      </c>
      <c r="F340" s="27">
        <v>15</v>
      </c>
      <c r="G340" s="28">
        <f t="shared" si="75"/>
        <v>63</v>
      </c>
      <c r="H340" s="26" t="s">
        <v>19</v>
      </c>
      <c r="I340" s="26" t="s">
        <v>57</v>
      </c>
      <c r="J340" s="26" t="s">
        <v>27</v>
      </c>
      <c r="K340" s="29">
        <v>0.81180555555555556</v>
      </c>
      <c r="L340" s="29">
        <v>0.82986111111111116</v>
      </c>
      <c r="M340" s="30">
        <f t="shared" ca="1" si="76"/>
        <v>1.8055555555555602E-2</v>
      </c>
      <c r="N340" s="27"/>
      <c r="O340" s="60"/>
    </row>
    <row r="341" spans="1:15" ht="15" customHeight="1">
      <c r="A341" s="70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236</v>
      </c>
      <c r="F341" s="27">
        <v>14</v>
      </c>
      <c r="G341" s="34">
        <f t="shared" si="75"/>
        <v>58.800000000000004</v>
      </c>
      <c r="H341" s="33" t="s">
        <v>20</v>
      </c>
      <c r="I341" s="33" t="s">
        <v>57</v>
      </c>
      <c r="J341" s="33" t="s">
        <v>51</v>
      </c>
      <c r="K341" s="29">
        <v>0.89236111111111116</v>
      </c>
      <c r="L341" s="29">
        <v>0.89652777777777781</v>
      </c>
      <c r="M341" s="35">
        <f t="shared" ca="1" si="76"/>
        <v>4.1666666666666519E-3</v>
      </c>
      <c r="N341" s="27"/>
      <c r="O341" s="60"/>
    </row>
    <row r="342" spans="1:15" ht="15" customHeight="1">
      <c r="A342" s="69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236</v>
      </c>
      <c r="F342" s="27">
        <v>21</v>
      </c>
      <c r="G342" s="28">
        <f t="shared" si="75"/>
        <v>88.2</v>
      </c>
      <c r="H342" s="26" t="s">
        <v>20</v>
      </c>
      <c r="I342" s="26" t="s">
        <v>57</v>
      </c>
      <c r="J342" s="26" t="s">
        <v>51</v>
      </c>
      <c r="K342" s="29">
        <v>0.9</v>
      </c>
      <c r="L342" s="29">
        <v>0.90347222222222223</v>
      </c>
      <c r="M342" s="30">
        <f t="shared" ca="1" si="76"/>
        <v>3.4722222222222099E-3</v>
      </c>
      <c r="N342" s="27"/>
      <c r="O342" s="60"/>
    </row>
    <row r="343" spans="1:15" ht="15" customHeight="1">
      <c r="A343" s="70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236</v>
      </c>
      <c r="F343" s="27">
        <v>10</v>
      </c>
      <c r="G343" s="34">
        <f t="shared" si="75"/>
        <v>42</v>
      </c>
      <c r="H343" s="33" t="s">
        <v>20</v>
      </c>
      <c r="I343" s="33" t="s">
        <v>57</v>
      </c>
      <c r="J343" s="33" t="s">
        <v>51</v>
      </c>
      <c r="K343" s="29">
        <v>0.90902777777777777</v>
      </c>
      <c r="L343" s="29">
        <v>0.91319444444444442</v>
      </c>
      <c r="M343" s="35">
        <f t="shared" ca="1" si="76"/>
        <v>4.1666666666666519E-3</v>
      </c>
      <c r="N343" s="27"/>
      <c r="O343" s="60"/>
    </row>
    <row r="344" spans="1:15" ht="15" customHeight="1">
      <c r="A344" s="69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236</v>
      </c>
      <c r="F344" s="27">
        <v>20</v>
      </c>
      <c r="G344" s="28">
        <f t="shared" si="75"/>
        <v>84</v>
      </c>
      <c r="H344" s="26" t="s">
        <v>20</v>
      </c>
      <c r="I344" s="26" t="s">
        <v>153</v>
      </c>
      <c r="J344" s="26" t="s">
        <v>74</v>
      </c>
      <c r="K344" s="29" t="s">
        <v>312</v>
      </c>
      <c r="L344" s="29">
        <v>0.92222222222222228</v>
      </c>
      <c r="M344" s="30" t="str">
        <f t="shared" ca="1" si="76"/>
        <v/>
      </c>
      <c r="N344" s="27"/>
      <c r="O344" s="60"/>
    </row>
    <row r="345" spans="1:15" ht="15" customHeight="1">
      <c r="A345" s="70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236</v>
      </c>
      <c r="F345" s="27">
        <v>5</v>
      </c>
      <c r="G345" s="34">
        <f t="shared" si="75"/>
        <v>21</v>
      </c>
      <c r="H345" s="33" t="s">
        <v>20</v>
      </c>
      <c r="I345" s="33" t="s">
        <v>153</v>
      </c>
      <c r="J345" s="33" t="s">
        <v>74</v>
      </c>
      <c r="K345" s="29">
        <v>0.97986111111111107</v>
      </c>
      <c r="L345" s="29">
        <v>0.98333333333333328</v>
      </c>
      <c r="M345" s="35">
        <f t="shared" ca="1" si="76"/>
        <v>3.4722222222222099E-3</v>
      </c>
      <c r="N345" s="27"/>
      <c r="O345" s="60"/>
    </row>
    <row r="346" spans="1:15" ht="15" customHeight="1">
      <c r="A346" s="69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236</v>
      </c>
      <c r="F346" s="27">
        <v>25</v>
      </c>
      <c r="G346" s="28">
        <f t="shared" si="75"/>
        <v>105</v>
      </c>
      <c r="H346" s="26" t="s">
        <v>19</v>
      </c>
      <c r="I346" s="26" t="s">
        <v>52</v>
      </c>
      <c r="J346" s="26" t="s">
        <v>96</v>
      </c>
      <c r="K346" s="29">
        <v>0.20277777777777778</v>
      </c>
      <c r="L346" s="29">
        <v>0.23125000000000001</v>
      </c>
      <c r="M346" s="30">
        <f t="shared" ca="1" si="76"/>
        <v>2.8472222222222232E-2</v>
      </c>
      <c r="N346" s="27"/>
      <c r="O346" s="60"/>
    </row>
    <row r="347" spans="1:15" ht="15" customHeight="1">
      <c r="A347" s="70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236</v>
      </c>
      <c r="F347" s="27">
        <v>15</v>
      </c>
      <c r="G347" s="34">
        <f t="shared" si="75"/>
        <v>63</v>
      </c>
      <c r="H347" s="33" t="s">
        <v>19</v>
      </c>
      <c r="I347" s="33" t="s">
        <v>52</v>
      </c>
      <c r="J347" s="33" t="s">
        <v>35</v>
      </c>
      <c r="K347" s="29">
        <v>0.24583333333333332</v>
      </c>
      <c r="L347" s="29">
        <v>0.26319444444444445</v>
      </c>
      <c r="M347" s="35">
        <f t="shared" ca="1" si="76"/>
        <v>1.7361111111111133E-2</v>
      </c>
      <c r="N347" s="27" t="s">
        <v>313</v>
      </c>
      <c r="O347" s="60"/>
    </row>
    <row r="348" spans="1:15" ht="15" customHeight="1">
      <c r="A348" s="69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236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70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236</v>
      </c>
      <c r="F349" s="27">
        <v>0</v>
      </c>
      <c r="G349" s="34">
        <f t="shared" si="75"/>
        <v>0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9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236</v>
      </c>
      <c r="F350" s="27">
        <v>15</v>
      </c>
      <c r="G350" s="28">
        <f t="shared" si="75"/>
        <v>63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101" t="s">
        <v>220</v>
      </c>
      <c r="B351" s="102"/>
      <c r="C351" s="102"/>
      <c r="D351" s="102"/>
      <c r="E351" s="103">
        <f>SUM(E339:E350)</f>
        <v>0</v>
      </c>
      <c r="F351" s="36">
        <f>SUM(F339:F350)</f>
        <v>160</v>
      </c>
      <c r="G351" s="36">
        <f>SUM(G339:G350)</f>
        <v>672</v>
      </c>
      <c r="H351" s="37"/>
      <c r="I351" s="37"/>
      <c r="J351" s="37"/>
      <c r="K351" s="61"/>
      <c r="L351" s="61"/>
      <c r="M351" s="38">
        <f ca="1">IFERROR(SUM(M339:M350),"")</f>
        <v>9.0972222222222204E-2</v>
      </c>
      <c r="N351" s="36" t="s">
        <v>219</v>
      </c>
      <c r="O351" s="39">
        <v>696140</v>
      </c>
    </row>
    <row r="352" spans="1:15" ht="18" customHeight="1">
      <c r="A352" s="98" t="s">
        <v>221</v>
      </c>
      <c r="B352" s="99"/>
      <c r="C352" s="99"/>
      <c r="D352" s="99"/>
      <c r="E352" s="100">
        <f>E338+E351</f>
        <v>0</v>
      </c>
      <c r="F352" s="40">
        <f>F338+F351</f>
        <v>343</v>
      </c>
      <c r="G352" s="40">
        <f>G338+G351</f>
        <v>1452.6</v>
      </c>
      <c r="H352" s="41"/>
      <c r="I352" s="41"/>
      <c r="J352" s="41"/>
      <c r="K352" s="63"/>
      <c r="L352" s="63"/>
      <c r="M352" s="42">
        <f ca="1">IFERROR(M338+M351,"")</f>
        <v>0.19999999999999993</v>
      </c>
      <c r="N352" s="40" t="s">
        <v>222</v>
      </c>
      <c r="O352" s="48">
        <f>IFERROR(O338+O351,"")</f>
        <v>1476140</v>
      </c>
    </row>
    <row r="353" spans="1:15" ht="15" customHeight="1">
      <c r="A353" s="70">
        <v>46217</v>
      </c>
      <c r="B353" s="32">
        <v>0.33333333333333298</v>
      </c>
      <c r="C353" s="33" t="s">
        <v>45</v>
      </c>
      <c r="D353" s="62" t="s">
        <v>30</v>
      </c>
      <c r="E353" s="62" t="s">
        <v>236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57</v>
      </c>
      <c r="J353" s="33" t="s">
        <v>51</v>
      </c>
      <c r="K353" s="29">
        <v>0.39583333333333331</v>
      </c>
      <c r="L353" s="29">
        <v>0.40138888888888891</v>
      </c>
      <c r="M353" s="35">
        <f t="shared" ref="M353:M364" ca="1" si="79">IFERROR(IF(K353="","",IF(L353="",MOD(NOW()-K353,1),IF(L353&gt;=K353,L353-K353,L353+1-K353))),"")</f>
        <v>5.5555555555555913E-3</v>
      </c>
      <c r="N353" s="27"/>
      <c r="O353" s="60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236</v>
      </c>
      <c r="F354" s="27">
        <v>11</v>
      </c>
      <c r="G354" s="28">
        <f t="shared" si="78"/>
        <v>46.2</v>
      </c>
      <c r="H354" s="33" t="s">
        <v>20</v>
      </c>
      <c r="I354" s="26" t="s">
        <v>57</v>
      </c>
      <c r="J354" s="33" t="s">
        <v>51</v>
      </c>
      <c r="K354" s="29">
        <v>0.40902777777777777</v>
      </c>
      <c r="L354" s="29">
        <v>0.41041666666666665</v>
      </c>
      <c r="M354" s="30">
        <f t="shared" ca="1" si="79"/>
        <v>1.388888888888884E-3</v>
      </c>
      <c r="N354" s="27"/>
      <c r="O354" s="60"/>
    </row>
    <row r="355" spans="1:15" ht="15" customHeight="1">
      <c r="A355" s="70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236</v>
      </c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60"/>
    </row>
    <row r="356" spans="1:15" ht="15" customHeight="1">
      <c r="A356" s="69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236</v>
      </c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60"/>
    </row>
    <row r="357" spans="1:15" ht="15" customHeight="1">
      <c r="A357" s="70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236</v>
      </c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60"/>
    </row>
    <row r="358" spans="1:15" ht="15" customHeight="1">
      <c r="A358" s="69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236</v>
      </c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60"/>
    </row>
    <row r="359" spans="1:15" ht="15" customHeight="1">
      <c r="A359" s="70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236</v>
      </c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9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236</v>
      </c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70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236</v>
      </c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9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236</v>
      </c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70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236</v>
      </c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9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236</v>
      </c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8" t="s">
        <v>218</v>
      </c>
      <c r="B365" s="89"/>
      <c r="C365" s="89"/>
      <c r="D365" s="89"/>
      <c r="E365" s="90">
        <f>SUM(E353:E364)</f>
        <v>0</v>
      </c>
      <c r="F365" s="36">
        <f>SUM(F353:F364)</f>
        <v>11</v>
      </c>
      <c r="G365" s="36">
        <f>SUM(G353:G364)</f>
        <v>46.2</v>
      </c>
      <c r="H365" s="37"/>
      <c r="I365" s="37"/>
      <c r="J365" s="37"/>
      <c r="K365" s="61"/>
      <c r="L365" s="61"/>
      <c r="M365" s="38">
        <f ca="1">IFERROR(SUM(M353:M364),"")</f>
        <v>6.9444444444444753E-3</v>
      </c>
      <c r="N365" s="36" t="s">
        <v>219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60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60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60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60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60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60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60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60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60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60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60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60"/>
    </row>
    <row r="378" spans="1:15" ht="15.75" customHeight="1">
      <c r="A378" s="101" t="s">
        <v>220</v>
      </c>
      <c r="B378" s="102"/>
      <c r="C378" s="102"/>
      <c r="D378" s="102"/>
      <c r="E378" s="10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61"/>
      <c r="L378" s="61"/>
      <c r="M378" s="38">
        <f ca="1">IFERROR(SUM(M366:M377),"")</f>
        <v>0</v>
      </c>
      <c r="N378" s="36" t="s">
        <v>219</v>
      </c>
      <c r="O378" s="39"/>
    </row>
    <row r="379" spans="1:15" ht="18" customHeight="1">
      <c r="A379" s="98" t="s">
        <v>221</v>
      </c>
      <c r="B379" s="99"/>
      <c r="C379" s="99"/>
      <c r="D379" s="99"/>
      <c r="E379" s="100">
        <f>E365+E378</f>
        <v>0</v>
      </c>
      <c r="F379" s="40">
        <f>F365+F378</f>
        <v>11</v>
      </c>
      <c r="G379" s="40">
        <f>G365+G378</f>
        <v>46.2</v>
      </c>
      <c r="H379" s="41"/>
      <c r="I379" s="41"/>
      <c r="J379" s="41"/>
      <c r="K379" s="63"/>
      <c r="L379" s="63"/>
      <c r="M379" s="42">
        <f ca="1">IFERROR(M365+M378,"")</f>
        <v>6.9444444444444753E-3</v>
      </c>
      <c r="N379" s="40" t="s">
        <v>222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60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60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60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60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101" t="s">
        <v>218</v>
      </c>
      <c r="B392" s="102"/>
      <c r="C392" s="102"/>
      <c r="D392" s="102"/>
      <c r="E392" s="10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61"/>
      <c r="L392" s="61"/>
      <c r="M392" s="38">
        <f ca="1">IFERROR(SUM(M380:M391),"")</f>
        <v>0</v>
      </c>
      <c r="N392" s="36" t="s">
        <v>219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60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60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9"/>
      <c r="O395" s="60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60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60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60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60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101" t="s">
        <v>220</v>
      </c>
      <c r="B405" s="102"/>
      <c r="C405" s="102"/>
      <c r="D405" s="102"/>
      <c r="E405" s="10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61"/>
      <c r="L405" s="61"/>
      <c r="M405" s="38">
        <f ca="1">IFERROR(SUM(M393:M404),"")</f>
        <v>0</v>
      </c>
      <c r="N405" s="36" t="s">
        <v>219</v>
      </c>
      <c r="O405" s="39"/>
    </row>
    <row r="406" spans="1:15" ht="18" customHeight="1">
      <c r="A406" s="98" t="s">
        <v>221</v>
      </c>
      <c r="B406" s="99"/>
      <c r="C406" s="99"/>
      <c r="D406" s="99"/>
      <c r="E406" s="100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63"/>
      <c r="L406" s="63"/>
      <c r="M406" s="42">
        <f ca="1">IFERROR(M392+M405,"")</f>
        <v>0</v>
      </c>
      <c r="N406" s="40" t="s">
        <v>222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60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60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60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60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60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60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101" t="s">
        <v>218</v>
      </c>
      <c r="B419" s="102"/>
      <c r="C419" s="102"/>
      <c r="D419" s="102"/>
      <c r="E419" s="10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61"/>
      <c r="L419" s="61"/>
      <c r="M419" s="38">
        <f ca="1">IFERROR(SUM(M407:M418),"")</f>
        <v>0</v>
      </c>
      <c r="N419" s="36" t="s">
        <v>219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60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60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60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60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60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60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60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101" t="s">
        <v>220</v>
      </c>
      <c r="B432" s="102"/>
      <c r="C432" s="102"/>
      <c r="D432" s="102"/>
      <c r="E432" s="10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61"/>
      <c r="L432" s="61"/>
      <c r="M432" s="38">
        <f ca="1">IFERROR(SUM(M420:M431),"")</f>
        <v>0</v>
      </c>
      <c r="N432" s="36" t="s">
        <v>219</v>
      </c>
      <c r="O432" s="39"/>
    </row>
    <row r="433" spans="1:17" ht="18" customHeight="1">
      <c r="A433" s="98" t="s">
        <v>221</v>
      </c>
      <c r="B433" s="99"/>
      <c r="C433" s="99"/>
      <c r="D433" s="99"/>
      <c r="E433" s="100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63"/>
      <c r="L433" s="63"/>
      <c r="M433" s="42">
        <f ca="1">IFERROR(M419+M432,"")</f>
        <v>0</v>
      </c>
      <c r="N433" s="40" t="s">
        <v>222</v>
      </c>
      <c r="O433" s="48">
        <f>IFERROR(O419+O432,"")</f>
        <v>0</v>
      </c>
    </row>
    <row r="434" spans="1:17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60"/>
    </row>
    <row r="435" spans="1:17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101" t="s">
        <v>218</v>
      </c>
      <c r="B446" s="102"/>
      <c r="C446" s="102"/>
      <c r="D446" s="102"/>
      <c r="E446" s="10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61"/>
      <c r="L446" s="61"/>
      <c r="M446" s="38">
        <f ca="1">IFERROR(SUM(M434:M445),"")</f>
        <v>0</v>
      </c>
      <c r="N446" s="36" t="s">
        <v>219</v>
      </c>
      <c r="O446" s="39"/>
    </row>
    <row r="447" spans="1:17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101" t="s">
        <v>220</v>
      </c>
      <c r="B459" s="102"/>
      <c r="C459" s="102"/>
      <c r="D459" s="102"/>
      <c r="E459" s="10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219</v>
      </c>
      <c r="O459" s="39"/>
    </row>
    <row r="460" spans="1:15" ht="18" customHeight="1">
      <c r="A460" s="98" t="s">
        <v>221</v>
      </c>
      <c r="B460" s="99"/>
      <c r="C460" s="99"/>
      <c r="D460" s="99"/>
      <c r="E460" s="100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63"/>
      <c r="L460" s="63"/>
      <c r="M460" s="42">
        <f ca="1">IFERROR(M446+M459,"")</f>
        <v>0</v>
      </c>
      <c r="N460" s="40" t="s">
        <v>222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101" t="s">
        <v>218</v>
      </c>
      <c r="B473" s="102"/>
      <c r="C473" s="102"/>
      <c r="D473" s="102"/>
      <c r="E473" s="10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219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101" t="s">
        <v>220</v>
      </c>
      <c r="B486" s="102"/>
      <c r="C486" s="102"/>
      <c r="D486" s="102"/>
      <c r="E486" s="10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219</v>
      </c>
      <c r="O486" s="39"/>
    </row>
    <row r="487" spans="1:15" ht="18" customHeight="1">
      <c r="A487" s="98" t="s">
        <v>221</v>
      </c>
      <c r="B487" s="99"/>
      <c r="C487" s="99"/>
      <c r="D487" s="99"/>
      <c r="E487" s="100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222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70">
        <v>46222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9">
        <v>46222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70">
        <v>46222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9">
        <v>46222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70">
        <v>46222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9">
        <v>46222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70">
        <v>46222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9">
        <v>46222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70">
        <v>46222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9">
        <v>46222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70">
        <v>46222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101" t="s">
        <v>218</v>
      </c>
      <c r="B500" s="102"/>
      <c r="C500" s="102"/>
      <c r="D500" s="102"/>
      <c r="E500" s="10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219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101" t="s">
        <v>220</v>
      </c>
      <c r="B513" s="102"/>
      <c r="C513" s="102"/>
      <c r="D513" s="102"/>
      <c r="E513" s="10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219</v>
      </c>
      <c r="O513" s="39"/>
    </row>
    <row r="514" spans="1:15" ht="18" customHeight="1">
      <c r="A514" s="98" t="s">
        <v>221</v>
      </c>
      <c r="B514" s="99"/>
      <c r="C514" s="99"/>
      <c r="D514" s="99"/>
      <c r="E514" s="100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222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101" t="s">
        <v>218</v>
      </c>
      <c r="B527" s="102"/>
      <c r="C527" s="102"/>
      <c r="D527" s="102"/>
      <c r="E527" s="10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219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101" t="s">
        <v>220</v>
      </c>
      <c r="B540" s="102"/>
      <c r="C540" s="102"/>
      <c r="D540" s="102"/>
      <c r="E540" s="10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219</v>
      </c>
      <c r="O540" s="39"/>
    </row>
    <row r="541" spans="1:15" ht="18" customHeight="1">
      <c r="A541" s="98" t="s">
        <v>221</v>
      </c>
      <c r="B541" s="99"/>
      <c r="C541" s="99"/>
      <c r="D541" s="99"/>
      <c r="E541" s="100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222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101" t="s">
        <v>218</v>
      </c>
      <c r="B554" s="102"/>
      <c r="C554" s="102"/>
      <c r="D554" s="102"/>
      <c r="E554" s="10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219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60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60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60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60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60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60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60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60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60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60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60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60"/>
    </row>
    <row r="567" spans="1:15" ht="15.75" customHeight="1">
      <c r="A567" s="101" t="s">
        <v>220</v>
      </c>
      <c r="B567" s="102"/>
      <c r="C567" s="102"/>
      <c r="D567" s="102"/>
      <c r="E567" s="10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219</v>
      </c>
      <c r="O567" s="39"/>
    </row>
    <row r="568" spans="1:15" ht="18" customHeight="1">
      <c r="A568" s="98" t="s">
        <v>221</v>
      </c>
      <c r="B568" s="99"/>
      <c r="C568" s="99"/>
      <c r="D568" s="99"/>
      <c r="E568" s="100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222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101" t="s">
        <v>218</v>
      </c>
      <c r="B581" s="102"/>
      <c r="C581" s="102"/>
      <c r="D581" s="102"/>
      <c r="E581" s="10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219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101" t="s">
        <v>220</v>
      </c>
      <c r="B594" s="102"/>
      <c r="C594" s="102"/>
      <c r="D594" s="102"/>
      <c r="E594" s="10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219</v>
      </c>
      <c r="O594" s="39"/>
    </row>
    <row r="595" spans="1:15" ht="18" customHeight="1">
      <c r="A595" s="98" t="s">
        <v>221</v>
      </c>
      <c r="B595" s="99"/>
      <c r="C595" s="99"/>
      <c r="D595" s="99"/>
      <c r="E595" s="100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222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101" t="s">
        <v>218</v>
      </c>
      <c r="B608" s="102"/>
      <c r="C608" s="102"/>
      <c r="D608" s="102"/>
      <c r="E608" s="10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219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101" t="s">
        <v>220</v>
      </c>
      <c r="B621" s="102"/>
      <c r="C621" s="102"/>
      <c r="D621" s="102"/>
      <c r="E621" s="10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219</v>
      </c>
      <c r="O621" s="39"/>
    </row>
    <row r="622" spans="1:15" ht="18" customHeight="1">
      <c r="A622" s="98" t="s">
        <v>221</v>
      </c>
      <c r="B622" s="99"/>
      <c r="C622" s="99"/>
      <c r="D622" s="99"/>
      <c r="E622" s="100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222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101" t="s">
        <v>218</v>
      </c>
      <c r="B635" s="102"/>
      <c r="C635" s="102"/>
      <c r="D635" s="102"/>
      <c r="E635" s="10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219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101" t="s">
        <v>220</v>
      </c>
      <c r="B648" s="102"/>
      <c r="C648" s="102"/>
      <c r="D648" s="102"/>
      <c r="E648" s="10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219</v>
      </c>
      <c r="O648" s="39"/>
    </row>
    <row r="649" spans="1:15" ht="18" customHeight="1">
      <c r="A649" s="98" t="s">
        <v>221</v>
      </c>
      <c r="B649" s="99"/>
      <c r="C649" s="99"/>
      <c r="D649" s="99"/>
      <c r="E649" s="100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222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101" t="s">
        <v>218</v>
      </c>
      <c r="B662" s="102"/>
      <c r="C662" s="102"/>
      <c r="D662" s="102"/>
      <c r="E662" s="10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219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101" t="s">
        <v>220</v>
      </c>
      <c r="B675" s="102"/>
      <c r="C675" s="102"/>
      <c r="D675" s="102"/>
      <c r="E675" s="10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219</v>
      </c>
      <c r="O675" s="39"/>
    </row>
    <row r="676" spans="1:15" ht="18" customHeight="1">
      <c r="A676" s="98" t="s">
        <v>221</v>
      </c>
      <c r="B676" s="99"/>
      <c r="C676" s="99"/>
      <c r="D676" s="99"/>
      <c r="E676" s="100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222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101" t="s">
        <v>218</v>
      </c>
      <c r="B689" s="102"/>
      <c r="C689" s="102"/>
      <c r="D689" s="102"/>
      <c r="E689" s="10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219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101" t="s">
        <v>220</v>
      </c>
      <c r="B702" s="102"/>
      <c r="C702" s="102"/>
      <c r="D702" s="102"/>
      <c r="E702" s="10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219</v>
      </c>
      <c r="O702" s="39"/>
    </row>
    <row r="703" spans="1:15" ht="18" customHeight="1">
      <c r="A703" s="98" t="s">
        <v>221</v>
      </c>
      <c r="B703" s="99"/>
      <c r="C703" s="99"/>
      <c r="D703" s="99"/>
      <c r="E703" s="100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222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101" t="s">
        <v>218</v>
      </c>
      <c r="B716" s="102"/>
      <c r="C716" s="102"/>
      <c r="D716" s="102"/>
      <c r="E716" s="10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219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101" t="s">
        <v>220</v>
      </c>
      <c r="B729" s="102"/>
      <c r="C729" s="102"/>
      <c r="D729" s="102"/>
      <c r="E729" s="10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219</v>
      </c>
      <c r="O729" s="39"/>
    </row>
    <row r="730" spans="1:15" ht="18" customHeight="1">
      <c r="A730" s="98" t="s">
        <v>221</v>
      </c>
      <c r="B730" s="99"/>
      <c r="C730" s="99"/>
      <c r="D730" s="99"/>
      <c r="E730" s="100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222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101" t="s">
        <v>218</v>
      </c>
      <c r="B743" s="102"/>
      <c r="C743" s="102"/>
      <c r="D743" s="102"/>
      <c r="E743" s="10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219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101" t="s">
        <v>220</v>
      </c>
      <c r="B756" s="102"/>
      <c r="C756" s="102"/>
      <c r="D756" s="102"/>
      <c r="E756" s="10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219</v>
      </c>
      <c r="O756" s="39"/>
    </row>
    <row r="757" spans="1:15" ht="18" customHeight="1">
      <c r="A757" s="98" t="s">
        <v>221</v>
      </c>
      <c r="B757" s="99"/>
      <c r="C757" s="99"/>
      <c r="D757" s="99"/>
      <c r="E757" s="100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222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101" t="s">
        <v>218</v>
      </c>
      <c r="B770" s="102"/>
      <c r="C770" s="102"/>
      <c r="D770" s="102"/>
      <c r="E770" s="10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219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101" t="s">
        <v>220</v>
      </c>
      <c r="B783" s="102"/>
      <c r="C783" s="102"/>
      <c r="D783" s="102"/>
      <c r="E783" s="10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219</v>
      </c>
      <c r="O783" s="39"/>
    </row>
    <row r="784" spans="1:15" ht="18" customHeight="1">
      <c r="A784" s="98" t="s">
        <v>221</v>
      </c>
      <c r="B784" s="99"/>
      <c r="C784" s="99"/>
      <c r="D784" s="99"/>
      <c r="E784" s="100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222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101" t="s">
        <v>218</v>
      </c>
      <c r="B797" s="102"/>
      <c r="C797" s="102"/>
      <c r="D797" s="102"/>
      <c r="E797" s="10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219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101" t="s">
        <v>220</v>
      </c>
      <c r="B810" s="102"/>
      <c r="C810" s="102"/>
      <c r="D810" s="102"/>
      <c r="E810" s="10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219</v>
      </c>
      <c r="O810" s="39"/>
    </row>
    <row r="811" spans="1:15" ht="18" customHeight="1">
      <c r="A811" s="98" t="s">
        <v>221</v>
      </c>
      <c r="B811" s="99"/>
      <c r="C811" s="99"/>
      <c r="D811" s="99"/>
      <c r="E811" s="100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222</v>
      </c>
      <c r="O811" s="43">
        <f>IFERROR(O797+O810,"")</f>
        <v>0</v>
      </c>
    </row>
  </sheetData>
  <mergeCells count="89"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325 E327:E811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C29:C364 C366:C900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D29:D900 C365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Props1.xml><?xml version="1.0" encoding="utf-8"?>
<ds:datastoreItem xmlns:ds="http://schemas.openxmlformats.org/officeDocument/2006/customXml" ds:itemID="{2878EAE7-5404-4D83-90A8-98DF7BC2EF45}"/>
</file>

<file path=customXml/itemProps2.xml><?xml version="1.0" encoding="utf-8"?>
<ds:datastoreItem xmlns:ds="http://schemas.openxmlformats.org/officeDocument/2006/customXml" ds:itemID="{288F5DF9-2BBC-43A5-A79A-7C7087BA3892}"/>
</file>

<file path=customXml/itemProps3.xml><?xml version="1.0" encoding="utf-8"?>
<ds:datastoreItem xmlns:ds="http://schemas.openxmlformats.org/officeDocument/2006/customXml" ds:itemID="{60A38338-7112-4F45-BCE1-49C5EC8DDAF1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2026-07-14T13:51:07Z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