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7" documentId="13_ncr:1_{A6DBCFB4-28D9-4249-9038-216934055CA6}" xr6:coauthVersionLast="47" xr6:coauthVersionMax="47" xr10:uidLastSave="{B2819A70-CBC6-4B83-A6AB-5C3FF7B48C1A}"/>
  <bookViews>
    <workbookView xWindow="-289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27" i="6" l="1"/>
  <c r="Q14" i="6"/>
  <c r="Q28" i="6" s="1"/>
  <c r="Q527" i="5"/>
  <c r="Q216" i="4"/>
  <c r="Q217" i="4" s="1"/>
  <c r="M203" i="3"/>
  <c r="Q324" i="6"/>
  <c r="Q311" i="4"/>
  <c r="M176" i="3"/>
  <c r="Q473" i="4"/>
  <c r="Q230" i="4"/>
  <c r="Q244" i="4" s="1"/>
  <c r="K527" i="5"/>
  <c r="K541" i="5" s="1"/>
  <c r="M824" i="3"/>
  <c r="M41" i="3"/>
  <c r="Q203" i="6"/>
  <c r="M446" i="3"/>
  <c r="M460" i="3" s="1"/>
  <c r="M500" i="3"/>
  <c r="Q459" i="4"/>
  <c r="Q783" i="5"/>
  <c r="Q784" i="5" s="1"/>
  <c r="Q203" i="5"/>
  <c r="Q176" i="4"/>
  <c r="Q230" i="6"/>
  <c r="Q824" i="4"/>
  <c r="Q405" i="4"/>
  <c r="Q406" i="4" s="1"/>
  <c r="Q41" i="6"/>
  <c r="M554" i="3"/>
  <c r="Q837" i="5"/>
  <c r="Q716" i="5"/>
  <c r="Q419" i="4"/>
  <c r="Q108" i="5"/>
  <c r="Q486" i="6"/>
  <c r="Q487" i="6" s="1"/>
  <c r="Q378" i="5"/>
  <c r="Q379" i="5" s="1"/>
  <c r="Q324" i="5"/>
  <c r="Q729" i="4"/>
  <c r="Q284" i="4"/>
  <c r="Q298" i="4" s="1"/>
  <c r="Q82" i="4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608" i="4"/>
  <c r="Q176" i="6"/>
  <c r="Q190" i="6" s="1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163" i="4" s="1"/>
  <c r="Q797" i="4"/>
  <c r="Q581" i="4"/>
  <c r="Q324" i="4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M810" i="3"/>
  <c r="M14" i="3"/>
  <c r="Q594" i="4"/>
  <c r="M662" i="3"/>
  <c r="M162" i="3"/>
  <c r="M163" i="3" s="1"/>
  <c r="Q635" i="6"/>
  <c r="M311" i="3"/>
  <c r="Q689" i="6"/>
  <c r="Q703" i="6" s="1"/>
  <c r="Q594" i="5"/>
  <c r="Q595" i="5" s="1"/>
  <c r="Q365" i="4"/>
  <c r="M540" i="3"/>
  <c r="Q783" i="6"/>
  <c r="Q797" i="6"/>
  <c r="Q811" i="6" s="1"/>
  <c r="Q95" i="5"/>
  <c r="M284" i="3"/>
  <c r="Q41" i="5"/>
  <c r="Q392" i="5"/>
  <c r="Q648" i="6"/>
  <c r="Q729" i="5"/>
  <c r="Q486" i="5"/>
  <c r="Q487" i="5" s="1"/>
  <c r="Q459" i="5"/>
  <c r="Q460" i="5" s="1"/>
  <c r="Q27" i="5"/>
  <c r="M837" i="3"/>
  <c r="M324" i="3"/>
  <c r="Q662" i="4"/>
  <c r="Q676" i="4" s="1"/>
  <c r="Q513" i="5"/>
  <c r="Q149" i="5"/>
  <c r="Q135" i="5"/>
  <c r="Q136" i="5" s="1"/>
  <c r="M770" i="3"/>
  <c r="Q270" i="4"/>
  <c r="Q446" i="4"/>
  <c r="Q743" i="6"/>
  <c r="Q757" i="6" s="1"/>
  <c r="Q270" i="6"/>
  <c r="Q271" i="6" s="1"/>
  <c r="M729" i="3"/>
  <c r="M730" i="3" s="1"/>
  <c r="M513" i="3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M797" i="3"/>
  <c r="M811" i="3" s="1"/>
  <c r="M594" i="3"/>
  <c r="M595" i="3" s="1"/>
  <c r="Q621" i="5"/>
  <c r="Q270" i="5"/>
  <c r="Q271" i="5" s="1"/>
  <c r="Q216" i="5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432" i="4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824" i="5"/>
  <c r="Q513" i="4"/>
  <c r="Q514" i="4" s="1"/>
  <c r="Q621" i="4"/>
  <c r="Q297" i="6"/>
  <c r="Q298" i="6" s="1"/>
  <c r="Q608" i="5"/>
  <c r="Q837" i="6"/>
  <c r="Q838" i="6" s="1"/>
  <c r="Q837" i="4"/>
  <c r="Q230" i="5"/>
  <c r="Q162" i="5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95" i="6"/>
  <c r="Q109" i="6" s="1"/>
  <c r="Q810" i="5"/>
  <c r="Q811" i="5" s="1"/>
  <c r="Q756" i="5"/>
  <c r="Q743" i="5"/>
  <c r="Q675" i="5"/>
  <c r="Q662" i="5"/>
  <c r="Q500" i="5"/>
  <c r="Q14" i="5"/>
  <c r="M702" i="3"/>
  <c r="M635" i="3"/>
  <c r="M567" i="3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487" i="4" l="1"/>
  <c r="Q541" i="5"/>
  <c r="Q325" i="4"/>
  <c r="Q595" i="4"/>
  <c r="Q622" i="4"/>
  <c r="M838" i="3"/>
  <c r="M514" i="3"/>
  <c r="Q217" i="5"/>
  <c r="Q190" i="4"/>
  <c r="M55" i="3"/>
  <c r="Q244" i="6"/>
  <c r="M541" i="3"/>
  <c r="Q460" i="4"/>
  <c r="Q217" i="6"/>
  <c r="Q838" i="4"/>
  <c r="Q379" i="4"/>
  <c r="Q325" i="5"/>
  <c r="Q730" i="4"/>
  <c r="Q55" i="6"/>
  <c r="Q730" i="5"/>
  <c r="Q838" i="5"/>
  <c r="M568" i="3"/>
  <c r="Q109" i="5"/>
  <c r="Q433" i="4"/>
  <c r="Q757" i="5"/>
  <c r="M298" i="3"/>
  <c r="Q406" i="5"/>
  <c r="Q649" i="6"/>
  <c r="M325" i="3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<sst xmlns="http://schemas.openxmlformats.org/spreadsheetml/2006/main" count="8814" uniqueCount="399">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</sst>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25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 x14ac:dyDescent="0.25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2"/>
      <c r="N59" s="40"/>
      <c r="O59" s="40"/>
      <c r="P59" s="40" t="s">
        <v>222</v>
      </c>
      <c r="Q59" s="40"/>
      <c r="R59" s="40"/>
    </row>
    <row r="60" spans="1:18" ht="15" customHeight="1" x14ac:dyDescent="0.25">
      <c r="M60" s="162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2"/>
      <c r="N61" s="40"/>
      <c r="O61" s="40"/>
      <c r="P61" s="40" t="s">
        <v>223</v>
      </c>
      <c r="Q61" s="40"/>
      <c r="R61" s="40"/>
    </row>
    <row r="62" spans="1:18" ht="15" customHeight="1" x14ac:dyDescent="0.25">
      <c r="M62" s="162"/>
      <c r="N62" s="37"/>
      <c r="O62" s="37"/>
      <c r="P62" s="37" t="s">
        <v>224</v>
      </c>
      <c r="Q62" s="37"/>
      <c r="R62" s="37"/>
    </row>
    <row r="63" spans="1:18" ht="15" customHeight="1" x14ac:dyDescent="0.25">
      <c r="M63" s="162"/>
      <c r="N63" s="40"/>
      <c r="O63" s="40"/>
      <c r="P63" s="40" t="s">
        <v>225</v>
      </c>
      <c r="Q63" s="40"/>
      <c r="R63" s="40"/>
    </row>
    <row r="64" spans="1:18" ht="15" customHeight="1" x14ac:dyDescent="0.25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25">
      <c r="A58" s="164" t="s">
        <v>249</v>
      </c>
      <c r="B58" s="164"/>
      <c r="C58" s="164"/>
      <c r="D58" s="164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25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25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5" sqref="F515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5" t="s">
        <v>260</v>
      </c>
      <c r="B527" s="165"/>
      <c r="C527" s="165"/>
      <c r="D527" s="165"/>
      <c r="E527" s="165"/>
      <c r="F527" s="2">
        <f>SUM(F515:F526)</f>
        <v>22</v>
      </c>
      <c r="G527" s="2">
        <f>SUM(G515:G526)</f>
        <v>110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2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25">
      <c r="A541" s="166" t="s">
        <v>249</v>
      </c>
      <c r="B541" s="166"/>
      <c r="C541" s="166"/>
      <c r="D541" s="166"/>
      <c r="E541" s="166"/>
      <c r="F541" s="1">
        <f>F527+F540</f>
        <v>22</v>
      </c>
      <c r="G541" s="1">
        <f>G527+G540</f>
        <v>110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2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2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25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2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25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25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E534" sqref="E53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0.25054930555052124</v>
      </c>
      <c r="R53" s="80" t="s">
        <v>305</v>
      </c>
      <c r="S53" s="67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0.38943819443940897</v>
      </c>
      <c r="R54" s="2" t="s">
        <v>261</v>
      </c>
      <c r="S54" s="113">
        <v>352430</v>
      </c>
      <c r="T54" s="114"/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0.47416041666163178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12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50.400000000000006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12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50.400000000000006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06" activePane="bottomLeft" state="frozen"/>
      <selection pane="bottomLeft" activeCell="K515" sqref="K515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64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ref="K515:K526" si="130">IF(G516="","",IF(E516="PC 17",G516*4.2,IF(E516="PC 19",G516*5,IF(E516="CB",G516*24,""))))</f>
        <v/>
      </c>
      <c r="L516" s="70"/>
      <c r="M516" s="61"/>
      <c r="N516" s="70"/>
      <c r="O516" s="65"/>
      <c r="P516" s="65"/>
      <c r="Q516" s="66" t="str">
        <f t="shared" ca="1" si="128"/>
        <v/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30"/>
        <v/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25.200000000000003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25.200000000000003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4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5" sqref="G515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13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54.6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13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54.6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2026-08-20T12:56:27Z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