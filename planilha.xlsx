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54" documentId="13_ncr:1_{0A10D8D4-8450-4366-8075-B53B08E6B7EA}" xr6:coauthVersionLast="47" xr6:coauthVersionMax="47" xr10:uidLastSave="{F8D3934C-E229-4722-B0A6-F468DF3AE7F2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5" i="6"/>
  <c r="J475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H474" i="6" s="1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H474" i="4" s="1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J474" i="6" l="1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<sst xmlns="http://schemas.openxmlformats.org/spreadsheetml/2006/main" count="8059" uniqueCount="376">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</sst>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5" sqref="F475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/>
      <c r="F475" s="27"/>
      <c r="G475" s="34" t="str">
        <f t="shared" si="101"/>
        <v/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40</v>
      </c>
      <c r="G486" s="36">
        <f>SUM(G474:G485)</f>
        <v>200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387</v>
      </c>
      <c r="G487" s="40">
        <f>G473+G486</f>
        <v>1935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M474" sqref="M474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0.72857083332928596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0.8674597222181748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0.95218194444039717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/>
      <c r="M474" s="26" t="s">
        <v>38</v>
      </c>
      <c r="N474" s="26"/>
      <c r="O474" s="29">
        <v>0.84930555555555554</v>
      </c>
      <c r="P474" s="29"/>
      <c r="Q474" s="30">
        <f t="shared" ref="Q474:Q485" ca="1" si="120">IFERROR(IF(O474="","",IF(P474="",MOD(NOW()-O474,1),IF(P474&gt;=O474,P474-O474,P474+1-O474))),"")</f>
        <v>7.9305555118480697E-4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/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/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/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/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/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17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71.400000000000006</v>
      </c>
      <c r="L486" s="37"/>
      <c r="M486" s="37"/>
      <c r="N486" s="37"/>
      <c r="O486" s="37"/>
      <c r="P486" s="37"/>
      <c r="Q486" s="38">
        <f ca="1">IFERROR(SUM(Q474:Q485),"")</f>
        <v>7.9305555118480697E-4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210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881.99999999999989</v>
      </c>
      <c r="L487" s="41"/>
      <c r="M487" s="41"/>
      <c r="N487" s="41"/>
      <c r="O487" s="41"/>
      <c r="P487" s="41"/>
      <c r="Q487" s="42">
        <f ca="1">IFERROR(Q473+Q486,"")</f>
        <v>0.12023749999562916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46" activePane="bottomLeft" state="frozen"/>
      <selection pane="bottomLeft" activeCell="E481" sqref="E481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320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321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320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320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322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323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324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325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327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328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329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330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331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332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333</v>
      </c>
      <c r="Q222" s="30" t="str">
        <f t="shared" ca="1" si="49"/>
        <v/>
      </c>
      <c r="R222" s="27" t="s">
        <v>334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335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336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337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338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339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340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340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341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>
        <v>0.79166666666666663</v>
      </c>
      <c r="P474" s="29"/>
      <c r="Q474" s="30">
        <f t="shared" ref="Q474:Q485" ca="1" si="118">IFERROR(IF(O474="","",IF(P474="",MOD(NOW()-O474,1),IF(P474&gt;=O474,P474-O474,P474+1-O474))),"")</f>
        <v>5.843194444605615E-2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5.843194444605615E-2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66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277.2</v>
      </c>
      <c r="L487" s="41"/>
      <c r="M487" s="41"/>
      <c r="N487" s="41"/>
      <c r="O487" s="41"/>
      <c r="P487" s="41"/>
      <c r="Q487" s="42">
        <f ca="1">IFERROR(Q473+Q486,"")</f>
        <v>0.35009861111272278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G475" sqref="G475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342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320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343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344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345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346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347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348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320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320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349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350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320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351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352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353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354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355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356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357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358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359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360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361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362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363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364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365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366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367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368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369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370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371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372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373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374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375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369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/>
      <c r="H475" s="134" t="str">
        <f>IFERROR(IF($G475="","",$G475*$S$486/$G$486/Cadastro!$E$33),"")</f>
        <v/>
      </c>
      <c r="I475" s="135">
        <f>IFERROR(IF($D475="","",VLOOKUP($D475,Cadastro!$C$4:$G$7,5,FALSE)),"")</f>
        <v>0.6</v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14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58.800000000000004</v>
      </c>
      <c r="L486" s="37"/>
      <c r="M486" s="37"/>
      <c r="N486" s="37"/>
      <c r="O486" s="61"/>
      <c r="P486" s="61"/>
      <c r="Q486" s="38">
        <f ca="1">IFERROR(SUM(Q474:Q485),"")</f>
        <v>1.3194444444444398E-2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168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705.6</v>
      </c>
      <c r="L487" s="41"/>
      <c r="M487" s="41"/>
      <c r="N487" s="41"/>
      <c r="O487" s="63"/>
      <c r="P487" s="63"/>
      <c r="Q487" s="42">
        <f ca="1">IFERROR(Q473+Q486,"")</f>
        <v>0.30624999999999974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2026-08-19T00:24:36Z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