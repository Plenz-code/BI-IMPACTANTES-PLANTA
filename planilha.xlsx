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656" documentId="8_{AF585B22-221D-4780-BB9C-493D365A6A02}" xr6:coauthVersionLast="47" xr6:coauthVersionMax="47" xr10:uidLastSave="{90704ABC-8262-48D5-8720-A30670BA08D8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<sst xmlns="http://schemas.openxmlformats.org/spreadsheetml/2006/main" count="9282" uniqueCount="378">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</sst>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9" sqref="N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1" activePane="bottomLeft" state="frozen"/>
      <selection pane="bottomLeft" activeCell="F597" sqref="F59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/>
      <c r="I596" s="26"/>
      <c r="J596" s="33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27</v>
      </c>
      <c r="G608" s="36">
        <f>SUM(G596:G607)</f>
        <v>135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27</v>
      </c>
      <c r="G622" s="40">
        <f>G608+G621</f>
        <v>135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81" activePane="bottomLeft" state="frozen"/>
      <selection pane="bottomLeft" activeCell="I596" sqref="I5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0.12091886573762167</v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0.27855775462651056</v>
      </c>
      <c r="N378" s="36" t="s">
        <v>233</v>
      </c>
      <c r="O378" s="77">
        <v>511980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0.38827997684873272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9.9391087962430902E-2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0.27022442129576429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0.41536331018465317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/>
      <c r="I596" s="26" t="s">
        <v>39</v>
      </c>
      <c r="J596" s="26"/>
      <c r="K596" s="29">
        <v>0.35902777777777778</v>
      </c>
      <c r="L596" s="29"/>
      <c r="M596" s="30">
        <f t="shared" ref="M596:M607" ca="1" si="133">IFERROR(IF(K596="","",IF(L596="",MOD(NOW()-K596,1),IF(L596&gt;=K596,L596-K596,L596+1-K596))),"")</f>
        <v>1.4744212967343628E-3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13</v>
      </c>
      <c r="G608" s="36">
        <f>SUM(G596:G607)</f>
        <v>54.6</v>
      </c>
      <c r="H608" s="37"/>
      <c r="I608" s="37"/>
      <c r="J608" s="37"/>
      <c r="K608" s="37"/>
      <c r="L608" s="37"/>
      <c r="M608" s="38">
        <f ca="1">IFERROR(SUM(M596:M607),"")</f>
        <v>1.4744212967343628E-3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13</v>
      </c>
      <c r="G622" s="40">
        <f>G608+G621</f>
        <v>54.6</v>
      </c>
      <c r="H622" s="41"/>
      <c r="I622" s="41"/>
      <c r="J622" s="41"/>
      <c r="K622" s="41"/>
      <c r="L622" s="41"/>
      <c r="M622" s="42">
        <f ca="1">IFERROR(M608+M621,"")</f>
        <v>1.4744212967343628E-3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68" zoomScale="50" zoomScaleNormal="50" workbookViewId="0">
      <selection activeCell="E607" sqref="E60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315</v>
      </c>
      <c r="N166" s="27" t="s">
        <v>316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17</v>
      </c>
      <c r="G608" s="36">
        <f>SUM(G596:G607)</f>
        <v>71.400000000000006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17</v>
      </c>
      <c r="G622" s="40">
        <f>G608+G621</f>
        <v>71.400000000000006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75" activePane="bottomLeft" state="frozen"/>
      <selection pane="bottomLeft" activeCell="E607" sqref="E60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338</v>
      </c>
      <c r="L58" s="29">
        <v>0.54097222222222219</v>
      </c>
      <c r="M58" s="30" t="str">
        <f t="shared" ca="1" si="13"/>
        <v/>
      </c>
      <c r="N58" s="27" t="s">
        <v>339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0.1111966435200884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0.31050219907564403</v>
      </c>
      <c r="N135" s="36" t="s">
        <v>233</v>
      </c>
      <c r="O135" s="39">
        <v>729290</v>
      </c>
    </row>
    <row r="136" spans="1:18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0.67786331018675505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232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/>
      <c r="G597" s="34" t="str">
        <f t="shared" si="132"/>
        <v/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27</v>
      </c>
      <c r="G608" s="36">
        <f>SUM(G596:G607)</f>
        <v>113.4</v>
      </c>
      <c r="H608" s="37"/>
      <c r="I608" s="37"/>
      <c r="J608" s="37"/>
      <c r="K608" s="61"/>
      <c r="L608" s="61"/>
      <c r="M608" s="38">
        <f ca="1">IFERROR(SUM(M596:M607),"")</f>
        <v>1.8750000000000044E-2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27</v>
      </c>
      <c r="G622" s="40">
        <f>G608+G621</f>
        <v>113.4</v>
      </c>
      <c r="H622" s="41"/>
      <c r="I622" s="41"/>
      <c r="J622" s="41"/>
      <c r="K622" s="63"/>
      <c r="L622" s="63"/>
      <c r="M622" s="42">
        <f ca="1">IFERROR(M608+M621,"")</f>
        <v>1.8750000000000044E-2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2026-07-23T12:39:31Z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