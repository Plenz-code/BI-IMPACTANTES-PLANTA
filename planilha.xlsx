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22" documentId="8_{C51EB6CB-002B-4D6B-B68F-DDEBDB4460C0}" xr6:coauthVersionLast="47" xr6:coauthVersionMax="47" xr10:uidLastSave="{DFDAC536-EDA0-428E-98AD-C1B46D7E28B7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81" i="4" l="1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757" i="4" l="1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<sst xmlns="http://schemas.openxmlformats.org/spreadsheetml/2006/main" count="1618" uniqueCount="253">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</sst>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I33" sqref="I33:I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31</v>
      </c>
      <c r="J30" s="26" t="s">
        <v>27</v>
      </c>
      <c r="K30" s="29">
        <v>0.6381944444444444</v>
      </c>
      <c r="L30" s="29"/>
      <c r="M30" s="30"/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/>
      <c r="M31" s="35">
        <f t="shared" ca="1" si="7"/>
        <v>9.7240740797133185E-3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 t="s">
        <v>19</v>
      </c>
      <c r="I32" s="33" t="s">
        <v>39</v>
      </c>
      <c r="K32" s="29">
        <v>0.64097222222222228</v>
      </c>
      <c r="L32" s="29"/>
      <c r="M32" s="30">
        <f t="shared" ca="1" si="7"/>
        <v>8.3351851862971671E-3</v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26" t="s">
        <v>50</v>
      </c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33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55</v>
      </c>
      <c r="G41" s="36">
        <f>SUM(G29:G40)</f>
        <v>218.39999999999998</v>
      </c>
      <c r="H41" s="37"/>
      <c r="I41" s="37"/>
      <c r="J41" s="37"/>
      <c r="K41" s="37"/>
      <c r="L41" s="37"/>
      <c r="M41" s="38">
        <f ca="1">IFERROR(SUM(M29:M40),"")</f>
        <v>3.1948148154899381E-2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55</v>
      </c>
      <c r="G55" s="40">
        <f>G41+G54</f>
        <v>218.39999999999998</v>
      </c>
      <c r="H55" s="41"/>
      <c r="I55" s="41"/>
      <c r="J55" s="41"/>
      <c r="K55" s="41"/>
      <c r="L55" s="41"/>
      <c r="M55" s="42">
        <f ca="1">IFERROR(M41+M54,"")</f>
        <v>3.1948148154899381E-2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2:E13 E15:E26 E515:E838 E434:E512 E29:E431" xr:uid="{2D781986-EFD0-470D-A058-A94545297F5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564D4EB9-42B5-47CF-9F92-C100C5EB9A1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33:I34" xr:uid="{0DDC8ED4-ACFA-4AB4-8773-DDD5AB46EF33}">
      <formula1>INDIRECT("Desc_"&amp;SUBSTITUTE(SUBSTITUTE(SUBSTITUTE(SUBSTITUTE(SUBSTITUTE(SUBSTITUTE(SUBSTITUTE(SUBSTITUTE(SUBSTITUTE(SUBSTITUTE(H32,"é","e"),"ê","e"),"ã","a"),"ç","c"),"â","a"),"í","i"),"á","a"),"ó","o"),"ú","u"),"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890B3D4-90AA-4686-A8E8-50EB8C4DD3D7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FCBA53E8-0412-41E6-9F81-8201ACEDF3EC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D57C17E6-30EA-49D2-B4CC-C61CEFEE2F54}">
          <x14:formula1>
            <xm:f>Cadastro!$G$4:$G$40</xm:f>
          </x14:formula1>
          <x14:formula2>
            <xm:f>0</xm:f>
          </x14:formula2>
          <xm:sqref>H406 I2:I32 I35:I900</xm:sqref>
        </x14:dataValidation>
        <x14:dataValidation type="list" allowBlank="1" showErrorMessage="1" errorTitle="Valor inválido" error="Selecione da lista." xr:uid="{7DE44C76-4752-49CB-BF06-D58D91B6736E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6" zoomScale="50" zoomScaleNormal="50" workbookViewId="0">
      <selection activeCell="F36" sqref="F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50</v>
      </c>
      <c r="G41" s="36">
        <f>SUM(G29:G40)</f>
        <v>210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50</v>
      </c>
      <c r="G55" s="40">
        <f>G41+G54</f>
        <v>210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91</v>
      </c>
      <c r="G41" s="36">
        <f>SUM(G29:G40)</f>
        <v>382.20000000000005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91</v>
      </c>
      <c r="G55" s="40">
        <f>G41+G54</f>
        <v>382.20000000000005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2026-08-02T19:35:00Z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