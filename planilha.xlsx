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70" documentId="13_ncr:1_{9DFDFEE8-78F7-4C04-B87C-99924EE6CC37}" xr6:coauthVersionLast="47" xr6:coauthVersionMax="47" xr10:uidLastSave="{48659DAD-480D-426E-BDC9-88466178E0B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<sst xmlns="http://schemas.openxmlformats.org/spreadsheetml/2006/main" count="8848" uniqueCount="2873">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</sst>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40</v>
      </c>
      <c r="G81" s="2">
        <f>SUM(G69:G80)</f>
        <v>200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429</v>
      </c>
      <c r="G82" s="1">
        <f>G68+G81</f>
        <v>2121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D76" sqref="D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/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/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/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/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/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/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/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/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/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/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/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63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592.20000000000005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C69" sqref="C69:C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/>
      <c r="E69" s="119" t="s">
        <v>278</v>
      </c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/>
      <c r="E70" s="119"/>
      <c r="F70" s="107" t="str">
        <f>IFERROR(IF($D70="","",VLOOKUP($D70,Cadastro!$C$4:$E$20,3,FALSE())),"")</f>
        <v/>
      </c>
      <c r="G70" s="108">
        <v>7</v>
      </c>
      <c r="H70" s="107">
        <f>IFERROR(IF($G70="","",$G70*$S$81/$G$81/Cadastro!$E$33),"")</f>
        <v>0</v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71.400000000000006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221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898.8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2026-09-04T00:58:54Z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