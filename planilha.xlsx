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0" documentId="8_{C51EB6CB-002B-4D6B-B68F-DDEBDB4460C0}" xr6:coauthVersionLast="47" xr6:coauthVersionMax="47" xr10:uidLastSave="{20BE2088-2ABA-426C-93B2-5D241A5E8DD7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<sst xmlns="http://schemas.openxmlformats.org/spreadsheetml/2006/main" count="1401" uniqueCount="241">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</sst>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L18" sqref="L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1.6666666666666611E-2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0.21736111111111095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I16" sqref="I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/>
      <c r="K16" s="29">
        <v>2.2916666666666665E-2</v>
      </c>
      <c r="L16" s="29"/>
      <c r="M16" s="35">
        <f t="shared" ref="M16:M26" ca="1" si="5">IFERROR(IF(K16="","",IF(L16="",MOD(NOW()-K16,1),IF(L16&gt;=K16,L16-K16,L16+1-K16))),"")</f>
        <v>1.2050925870425999E-3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45</v>
      </c>
      <c r="G27" s="36">
        <f>SUM(G15:G26)</f>
        <v>189</v>
      </c>
      <c r="H27" s="37"/>
      <c r="I27" s="37"/>
      <c r="J27" s="37"/>
      <c r="K27" s="37"/>
      <c r="L27" s="37"/>
      <c r="M27" s="38">
        <f ca="1">IFERROR(SUM(M15:M26),"")</f>
        <v>3.592731480926481E-2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126</v>
      </c>
      <c r="G28" s="40">
        <f>G14+G27</f>
        <v>529.20000000000005</v>
      </c>
      <c r="H28" s="41"/>
      <c r="I28" s="41"/>
      <c r="J28" s="41"/>
      <c r="K28" s="41"/>
      <c r="L28" s="41"/>
      <c r="M28" s="42">
        <f ca="1">IFERROR(M14+M27,"")</f>
        <v>4.9121759253709318E-2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319.20000000000005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206</v>
      </c>
      <c r="G28" s="40">
        <f>G14+G27</f>
        <v>865.20000000000016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2026-08-02T04:34:53Z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