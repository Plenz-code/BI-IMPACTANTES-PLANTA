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20" documentId="8_{AF585B22-221D-4780-BB9C-493D365A6A02}" xr6:coauthVersionLast="47" xr6:coauthVersionMax="47" xr10:uidLastSave="{26BBF7B4-BFBB-4A8B-BF5F-DE4CCCA13EB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2" i="3" l="1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<sst xmlns="http://schemas.openxmlformats.org/spreadsheetml/2006/main" count="1675" uniqueCount="210">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</sst>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5" activePane="bottomLeft" state="frozen"/>
      <selection pane="bottomLeft" activeCell="J43" sqref="J4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/>
      <c r="M43" s="35">
        <f t="shared" ca="1" si="10"/>
        <v>2.9640046268468723E-3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355</v>
      </c>
      <c r="H54" s="37"/>
      <c r="I54" s="37"/>
      <c r="J54" s="37"/>
      <c r="K54" s="37"/>
      <c r="L54" s="37"/>
      <c r="M54" s="38">
        <f ca="1">IFERROR(SUM(M42:M53),"")</f>
        <v>8.6297337960180243E-2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92</v>
      </c>
      <c r="G55" s="40">
        <f>G41+G54</f>
        <v>460</v>
      </c>
      <c r="H55" s="41"/>
      <c r="I55" s="41"/>
      <c r="J55" s="41"/>
      <c r="K55" s="41"/>
      <c r="L55" s="41"/>
      <c r="M55" s="42">
        <f ca="1">IFERROR(M41+M54,"")</f>
        <v>0.5460195601824025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" activePane="bottomLeft" state="frozen"/>
      <selection pane="bottomLeft" activeCell="L43" sqref="L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/>
      <c r="M43" s="35"/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/>
      <c r="I44" s="26"/>
      <c r="J44" s="26"/>
      <c r="K44" s="29"/>
      <c r="L44" s="29"/>
      <c r="M44" s="30" t="str">
        <f t="shared" ref="M43:M53" ca="1" si="11">IFERROR(IF(K44="","",IF(L44="",MOD(NOW()-K44,1),IF(L44&gt;=K44,L44-K44,L44+1-K44))),"")</f>
        <v/>
      </c>
      <c r="N44" s="46"/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31</v>
      </c>
      <c r="G54" s="36">
        <f>SUM(G42:G53)</f>
        <v>130.19999999999999</v>
      </c>
      <c r="H54" s="37"/>
      <c r="I54" s="37"/>
      <c r="J54" s="37"/>
      <c r="K54" s="37"/>
      <c r="L54" s="37"/>
      <c r="M54" s="38">
        <f ca="1">IFERROR(SUM(M42:M53),"")</f>
        <v>4.3749999999999956E-2</v>
      </c>
      <c r="N54" s="36" t="s">
        <v>194</v>
      </c>
      <c r="O54" s="54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119</v>
      </c>
      <c r="G55" s="40">
        <f>G41+G54</f>
        <v>499.8</v>
      </c>
      <c r="H55" s="41"/>
      <c r="I55" s="41"/>
      <c r="J55" s="41"/>
      <c r="K55" s="41"/>
      <c r="L55" s="41"/>
      <c r="M55" s="42">
        <f ca="1">IFERROR(M41+M54,"")</f>
        <v>0.12361111111111106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" activePane="bottomLeft" state="frozen"/>
      <selection pane="bottomLeft" activeCell="F47" sqref="F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15</v>
      </c>
      <c r="G54" s="36">
        <f>SUM(G42:G53)</f>
        <v>63.000000000000007</v>
      </c>
      <c r="H54" s="37"/>
      <c r="I54" s="37"/>
      <c r="J54" s="37"/>
      <c r="K54" s="37"/>
      <c r="L54" s="37"/>
      <c r="M54" s="38">
        <f ca="1">IFERROR(SUM(M42:M53),"")</f>
        <v>8.8888888888888906E-2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86</v>
      </c>
      <c r="G55" s="40">
        <f>G41+G54</f>
        <v>361.20000000000005</v>
      </c>
      <c r="H55" s="41"/>
      <c r="I55" s="41"/>
      <c r="J55" s="41"/>
      <c r="K55" s="41"/>
      <c r="L55" s="41"/>
      <c r="M55" s="42">
        <f ca="1">IFERROR(M41+M54,"")</f>
        <v>0.24374999999999997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4" activePane="bottomLeft" state="frozen"/>
      <selection pane="bottomLeft" activeCell="F47" sqref="F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68</v>
      </c>
      <c r="G54" s="36">
        <f>SUM(G42:G53)</f>
        <v>285.60000000000002</v>
      </c>
      <c r="H54" s="37"/>
      <c r="I54" s="37"/>
      <c r="J54" s="37"/>
      <c r="K54" s="61"/>
      <c r="L54" s="61"/>
      <c r="M54" s="38">
        <f ca="1">IFERROR(SUM(M42:M53),"")</f>
        <v>5.208333333333337E-2</v>
      </c>
      <c r="N54" s="36" t="s">
        <v>194</v>
      </c>
      <c r="O54" s="39"/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153</v>
      </c>
      <c r="G55" s="40">
        <f>G41+G54</f>
        <v>642.6</v>
      </c>
      <c r="H55" s="41"/>
      <c r="I55" s="41"/>
      <c r="J55" s="41"/>
      <c r="K55" s="63"/>
      <c r="L55" s="63"/>
      <c r="M55" s="42">
        <f ca="1">IFERROR(M41+M54,"")</f>
        <v>0.27638888888888902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2026-07-03T04:49:47Z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