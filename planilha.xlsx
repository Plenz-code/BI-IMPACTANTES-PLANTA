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597" documentId="8_{AF585B22-221D-4780-BB9C-493D365A6A02}" xr6:coauthVersionLast="47" xr6:coauthVersionMax="47" xr10:uidLastSave="{61548806-AAA5-4E79-A991-999D18B26B24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<sst xmlns="http://schemas.openxmlformats.org/spreadsheetml/2006/main" count="6716" uniqueCount="329">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</sst>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44921362</v>
      </c>
      <c r="D35" s="13">
        <f>IFERROR(SUM(D4:D34),"")</f>
        <v>16580590</v>
      </c>
      <c r="E35" s="13">
        <f>IFERROR(SUM(E4:E34),"")</f>
        <v>11207280</v>
      </c>
      <c r="F35" s="13">
        <f>IFERROR(SUM(F4:F34),"")</f>
        <v>20941020</v>
      </c>
      <c r="G35" s="13">
        <f>IFERROR(SUM(G4:G34),"")</f>
        <v>48728890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1" activePane="bottomLeft" state="frozen"/>
      <selection pane="bottomLeft" activeCell="F408" sqref="F40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/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260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28</v>
      </c>
      <c r="G419" s="36">
        <f>SUM(G407:G418)</f>
        <v>140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28</v>
      </c>
      <c r="G433" s="40">
        <f>G419+G432</f>
        <v>140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93" activePane="bottomLeft" state="frozen"/>
      <selection pane="bottomLeft" activeCell="F408" sqref="F40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9.9499884257966187E-2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0.25713877314685507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0.36686099536907724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243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243</v>
      </c>
      <c r="F408" s="27"/>
      <c r="G408" s="28" t="str">
        <f t="shared" si="90"/>
        <v/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243</v>
      </c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243</v>
      </c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243</v>
      </c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243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243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243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243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243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243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243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5</v>
      </c>
      <c r="G419" s="36">
        <f>SUM(G407:G418)</f>
        <v>21</v>
      </c>
      <c r="H419" s="37"/>
      <c r="I419" s="37"/>
      <c r="J419" s="37"/>
      <c r="K419" s="37"/>
      <c r="L419" s="37"/>
      <c r="M419" s="38">
        <f ca="1">IFERROR(SUM(M407:M418),"")</f>
        <v>2.2916666666666641E-2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5</v>
      </c>
      <c r="G433" s="40">
        <f>G419+G432</f>
        <v>21</v>
      </c>
      <c r="H433" s="41"/>
      <c r="I433" s="41"/>
      <c r="J433" s="41"/>
      <c r="K433" s="41"/>
      <c r="L433" s="41"/>
      <c r="M433" s="42">
        <f ca="1">IFERROR(M419+M432,"")</f>
        <v>2.2916666666666641E-2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8" zoomScale="50" zoomScaleNormal="50" workbookViewId="0">
      <selection activeCell="F408" sqref="F40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257</v>
      </c>
      <c r="K141" s="29">
        <v>0.71597222222222223</v>
      </c>
      <c r="L141" s="29" t="s">
        <v>284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286</v>
      </c>
      <c r="N166" s="27" t="s">
        <v>287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243</v>
      </c>
      <c r="F407" s="27">
        <v>5</v>
      </c>
      <c r="G407" s="34">
        <f t="shared" ref="G407:G418" si="90">IF(F407="","",IF(E407="PC 17",F407*4.2,IF(E407="PC 19",F407*5,"")))</f>
        <v>21</v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243</v>
      </c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243</v>
      </c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243</v>
      </c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243</v>
      </c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243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243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243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243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243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243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243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5</v>
      </c>
      <c r="G419" s="36">
        <f>SUM(G407:G418)</f>
        <v>21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5</v>
      </c>
      <c r="G433" s="40">
        <f>G419+G432</f>
        <v>21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88" activePane="bottomLeft" state="frozen"/>
      <selection pane="bottomLeft" activeCell="F408" sqref="F40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301</v>
      </c>
      <c r="L58" s="29">
        <v>0.54097222222222219</v>
      </c>
      <c r="M58" s="30" t="str">
        <f t="shared" ca="1" si="13"/>
        <v/>
      </c>
      <c r="N58" s="27" t="s">
        <v>302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8.9777893517748453E-2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0.28908344907330408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0.6564445601844151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326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313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327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328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243</v>
      </c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243</v>
      </c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243</v>
      </c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243</v>
      </c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243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243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243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243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243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243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243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5</v>
      </c>
      <c r="G419" s="36">
        <f>SUM(G407:G418)</f>
        <v>21</v>
      </c>
      <c r="H419" s="37"/>
      <c r="I419" s="37"/>
      <c r="J419" s="37"/>
      <c r="K419" s="61"/>
      <c r="L419" s="61"/>
      <c r="M419" s="38">
        <f ca="1">IFERROR(SUM(M407:M418),"")</f>
        <v>3.125E-2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5</v>
      </c>
      <c r="G433" s="40">
        <f>G419+G432</f>
        <v>21</v>
      </c>
      <c r="H433" s="41"/>
      <c r="I433" s="41"/>
      <c r="J433" s="41"/>
      <c r="K433" s="63"/>
      <c r="L433" s="63"/>
      <c r="M433" s="42">
        <f ca="1">IFERROR(M419+M432,"")</f>
        <v>3.125E-2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2026-07-16T12:10:25Z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