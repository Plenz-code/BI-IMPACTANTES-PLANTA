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89" documentId="13_ncr:1_{A6DBCFB4-28D9-4249-9038-216934055CA6}" xr6:coauthVersionLast="47" xr6:coauthVersionMax="47" xr10:uidLastSave="{12C51438-3D98-42A1-A50A-1C202CEECF0B}"/>
  <bookViews>
    <workbookView xWindow="-110" yWindow="-110" windowWidth="25820" windowHeight="1550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58" i="6" l="1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<sst xmlns="http://schemas.openxmlformats.org/spreadsheetml/2006/main" count="9892" uniqueCount="423">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</sst>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66" activePane="bottomLeft" state="frozen"/>
      <selection pane="bottomLeft" activeCell="F585" sqref="F58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>
        <v>40</v>
      </c>
      <c r="G583" s="69">
        <f t="shared" si="125"/>
        <v>200</v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260</v>
      </c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260</v>
      </c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135</v>
      </c>
      <c r="G594" s="2">
        <f>SUM(G582:G593)</f>
        <v>675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513</v>
      </c>
      <c r="G595" s="1">
        <f>G581+G594</f>
        <v>2565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73" activePane="bottomLeft" state="frozen"/>
      <selection pane="bottomLeft" activeCell="M584" sqref="M58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0.84188032407109858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0.98076921295998631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1.0654914351822091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170</v>
      </c>
      <c r="N584" s="61" t="s">
        <v>36</v>
      </c>
      <c r="O584" s="65">
        <v>0.94236111111111109</v>
      </c>
      <c r="P584" s="65"/>
      <c r="Q584" s="66">
        <f t="shared" ca="1" si="152"/>
        <v>2.1046990739705507E-2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31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130.20000000000002</v>
      </c>
      <c r="L594" s="72"/>
      <c r="M594" s="72"/>
      <c r="N594" s="72"/>
      <c r="O594" s="72"/>
      <c r="P594" s="72"/>
      <c r="Q594" s="73">
        <f ca="1">IFERROR(SUM(Q582:Q593),"")</f>
        <v>9.3269212961927805E-2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80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336</v>
      </c>
      <c r="L595" s="76"/>
      <c r="M595" s="76"/>
      <c r="N595" s="76"/>
      <c r="O595" s="76"/>
      <c r="P595" s="76"/>
      <c r="Q595" s="77">
        <f ca="1">IFERROR(Q581+Q594,"")</f>
        <v>0.49743587962859442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O584" sqref="O58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370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9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37.799999999999997</v>
      </c>
      <c r="L594" s="72"/>
      <c r="M594" s="72"/>
      <c r="N594" s="72"/>
      <c r="O594" s="72"/>
      <c r="P594" s="72"/>
      <c r="Q594" s="73">
        <f ca="1">IFERROR(SUM(Q582:Q593),"")</f>
        <v>9.7916666666666763E-2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172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731.2</v>
      </c>
      <c r="L595" s="76"/>
      <c r="M595" s="76"/>
      <c r="N595" s="76"/>
      <c r="O595" s="76"/>
      <c r="P595" s="76"/>
      <c r="Q595" s="77">
        <f ca="1">IFERROR(Q581+Q594,"")</f>
        <v>0.25416666666666676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74" activePane="bottomLeft" state="frozen"/>
      <selection pane="bottomLeft" activeCell="O585" sqref="O58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421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422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>
        <v>0.92569444444444449</v>
      </c>
      <c r="P585" s="65"/>
      <c r="Q585" s="71">
        <f t="shared" ca="1" si="152"/>
        <v>3.771365740976762E-2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28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117.60000000000001</v>
      </c>
      <c r="L594" s="72"/>
      <c r="M594" s="72"/>
      <c r="N594" s="72"/>
      <c r="O594" s="134"/>
      <c r="P594" s="134"/>
      <c r="Q594" s="73">
        <f ca="1">IFERROR(SUM(Q582:Q593),"")</f>
        <v>8.0074768520878692E-2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230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982.00000000000011</v>
      </c>
      <c r="L595" s="76"/>
      <c r="M595" s="76"/>
      <c r="N595" s="76"/>
      <c r="O595" s="135"/>
      <c r="P595" s="135"/>
      <c r="Q595" s="77">
        <f ca="1">IFERROR(Q581+Q594,"")</f>
        <v>0.21410254629865655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2026-08-23T03:07:52Z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