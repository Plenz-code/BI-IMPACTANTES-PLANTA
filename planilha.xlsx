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59" documentId="13_ncr:1_{A6DBCFB4-28D9-4249-9038-216934055CA6}" xr6:coauthVersionLast="47" xr6:coauthVersionMax="47" xr10:uidLastSave="{1090E706-84BC-41D0-B5A0-B93674A60325}"/>
  <bookViews>
    <workbookView xWindow="-110" yWindow="-110" windowWidth="25820" windowHeight="1550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<sst xmlns="http://schemas.openxmlformats.org/spreadsheetml/2006/main" count="9507" uniqueCount="419">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</sst>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40" activePane="bottomLeft" state="frozen"/>
      <selection pane="bottomLeft" activeCell="N562" sqref="N56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/>
      <c r="M561" s="71">
        <f t="shared" ca="1" si="120"/>
        <v>1.128981481451774E-2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118</v>
      </c>
      <c r="G567" s="2">
        <f>SUM(G555:G566)</f>
        <v>590</v>
      </c>
      <c r="H567" s="72"/>
      <c r="I567" s="72"/>
      <c r="J567" s="72"/>
      <c r="K567" s="72"/>
      <c r="L567" s="72"/>
      <c r="M567" s="73">
        <f ca="1">IFERROR(SUM(M555:M566),"")</f>
        <v>0.25434537037007338</v>
      </c>
      <c r="N567" s="2" t="s">
        <v>262</v>
      </c>
      <c r="O567" s="74"/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118</v>
      </c>
      <c r="G568" s="1">
        <f>G554+G567</f>
        <v>590</v>
      </c>
      <c r="H568" s="76"/>
      <c r="I568" s="76"/>
      <c r="J568" s="76"/>
      <c r="K568" s="76"/>
      <c r="L568" s="76"/>
      <c r="M568" s="77">
        <f ca="1">IFERROR(M554+M567,"")</f>
        <v>0.75434537037007332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1" activePane="bottomLeft" state="frozen"/>
      <selection pane="bottomLeft" activeCell="L564" sqref="L56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0.1217064814773039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0.26059537036619163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0.34531759258841443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0.45156759259407409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0.45156759259407409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0.77309537037185172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2" activePane="bottomLeft" state="frozen"/>
      <selection pane="bottomLeft" activeCell="N566" sqref="N56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39"/>
        <v>0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39"/>
        <v>0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39"/>
        <v>0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0</v>
      </c>
      <c r="I563" s="90">
        <f>IFERROR(IF($D563="","",VLOOKUP($D563,Cadastro!$C$4:$G$7,5,FALSE())),"")</f>
        <v>0.6</v>
      </c>
      <c r="J563" s="91">
        <f t="shared" si="139"/>
        <v>0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0</v>
      </c>
      <c r="I564" s="90">
        <f>IFERROR(IF($D564="","",VLOOKUP($D564,Cadastro!$C$4:$G$7,5,FALSE())),"")</f>
        <v>0.6</v>
      </c>
      <c r="J564" s="91">
        <f t="shared" si="139"/>
        <v>0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/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39"/>
        <v/>
      </c>
      <c r="K565" s="69" t="str">
        <f t="shared" si="140"/>
        <v/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/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39"/>
        <v/>
      </c>
      <c r="K566" s="64" t="str">
        <f t="shared" si="140"/>
        <v/>
      </c>
      <c r="L566" s="61" t="s">
        <v>29</v>
      </c>
      <c r="M566" s="61" t="s">
        <v>56</v>
      </c>
      <c r="N566" s="61"/>
      <c r="O566" s="65">
        <v>0.23749999999999999</v>
      </c>
      <c r="P566" s="65"/>
      <c r="Q566" s="66">
        <f t="shared" ca="1" si="141"/>
        <v>5.7342592554050498E-3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460.4</v>
      </c>
      <c r="L567" s="72"/>
      <c r="M567" s="72"/>
      <c r="N567" s="72"/>
      <c r="O567" s="72"/>
      <c r="P567" s="72"/>
      <c r="Q567" s="73">
        <f ca="1">IFERROR(SUM(Q555:Q566),"")</f>
        <v>8.4900925922071879E-2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115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498.2</v>
      </c>
      <c r="L568" s="76"/>
      <c r="M568" s="76"/>
      <c r="N568" s="76"/>
      <c r="O568" s="76"/>
      <c r="P568" s="76"/>
      <c r="Q568" s="77">
        <f ca="1">IFERROR(Q554+Q567,"")</f>
        <v>0.49531759258873859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3" activePane="bottomLeft" state="frozen"/>
      <selection pane="bottomLeft" activeCell="L566" sqref="L56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42"/>
        <v>0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42"/>
        <v>0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0</v>
      </c>
      <c r="I563" s="90">
        <f>IFERROR(IF($D563="","",VLOOKUP($D563,Cadastro!$C$4:$G$7,5,FALSE())),"")</f>
        <v>0.6</v>
      </c>
      <c r="J563" s="91">
        <f t="shared" si="142"/>
        <v>0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0</v>
      </c>
      <c r="I564" s="90">
        <f>IFERROR(IF($D564="","",VLOOKUP($D564,Cadastro!$C$4:$G$7,5,FALSE())),"")</f>
        <v>0.6</v>
      </c>
      <c r="J564" s="91">
        <f t="shared" si="142"/>
        <v>0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/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 t="str">
        <f t="shared" si="143"/>
        <v/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/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 t="str">
        <f t="shared" si="143"/>
        <v/>
      </c>
      <c r="L566" s="61" t="s">
        <v>29</v>
      </c>
      <c r="M566" s="61" t="s">
        <v>61</v>
      </c>
      <c r="N566" s="61"/>
      <c r="O566" s="65">
        <v>0.2388888888888889</v>
      </c>
      <c r="P566" s="65"/>
      <c r="Q566" s="66">
        <f t="shared" ca="1" si="145"/>
        <v>4.345370369264856E-3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99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418.20000000000005</v>
      </c>
      <c r="L567" s="72"/>
      <c r="M567" s="72"/>
      <c r="N567" s="72"/>
      <c r="O567" s="134"/>
      <c r="P567" s="134"/>
      <c r="Q567" s="73">
        <f ca="1">IFERROR(SUM(Q555:Q566),"")</f>
        <v>0.18073425925815362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230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968.40000000000009</v>
      </c>
      <c r="L568" s="76"/>
      <c r="M568" s="76"/>
      <c r="N568" s="76"/>
      <c r="O568" s="135"/>
      <c r="P568" s="135"/>
      <c r="Q568" s="77">
        <f ca="1">IFERROR(Q554+Q567,"")</f>
        <v>0.33698425925815367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2026-08-22T09:50:47Z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