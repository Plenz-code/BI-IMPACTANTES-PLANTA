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267" documentId="8_{AF585B22-221D-4780-BB9C-493D365A6A02}" xr6:coauthVersionLast="47" xr6:coauthVersionMax="47" xr10:uidLastSave="{442D4017-E5CC-4732-B879-1E49996EB1D8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<sst xmlns="http://schemas.openxmlformats.org/spreadsheetml/2006/main" count="2488" uniqueCount="233">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</sst>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K55" sqref="K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9" activePane="bottomLeft" state="frozen"/>
      <selection pane="bottomLeft" activeCell="F112" sqref="F1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195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199</v>
      </c>
      <c r="O27" s="39">
        <v>1183060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199</v>
      </c>
      <c r="O54" s="39">
        <v>959290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199</v>
      </c>
      <c r="O81" s="39">
        <v>878050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199</v>
      </c>
      <c r="O108" s="39">
        <v>1700000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84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50</v>
      </c>
      <c r="G122" s="36">
        <f>SUM(G110:G121)</f>
        <v>210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50</v>
      </c>
      <c r="G136" s="40">
        <f>G122+G135</f>
        <v>210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4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90" activePane="bottomLeft" state="frozen"/>
      <selection pane="bottomLeft" activeCell="E115" sqref="E1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199</v>
      </c>
      <c r="O27" s="78">
        <v>393200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207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85">
        <v>276360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199</v>
      </c>
      <c r="O81" s="54">
        <v>787860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199</v>
      </c>
      <c r="O108" s="54">
        <v>1087080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/>
      <c r="M110" s="35">
        <f t="shared" ref="M110:M121" ca="1" si="25">IFERROR(IF(K110="","",IF(L110="",MOD(NOW()-K110,1),IF(L110&gt;=K110,L110-K110,L110+1-K110))),"")</f>
        <v>1.6045023148762994E-2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20</v>
      </c>
      <c r="G111" s="34">
        <f t="shared" si="24"/>
        <v>84</v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42</v>
      </c>
      <c r="G122" s="36">
        <f>SUM(G110:G121)</f>
        <v>176.4</v>
      </c>
      <c r="H122" s="37"/>
      <c r="I122" s="37"/>
      <c r="J122" s="37"/>
      <c r="K122" s="37"/>
      <c r="L122" s="37"/>
      <c r="M122" s="38">
        <f ca="1">IFERROR(SUM(M110:M121),"")</f>
        <v>1.6045023148762994E-2</v>
      </c>
      <c r="N122" s="36" t="s">
        <v>199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54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42</v>
      </c>
      <c r="G136" s="40">
        <f>G122+G135</f>
        <v>176.4</v>
      </c>
      <c r="H136" s="41"/>
      <c r="I136" s="41"/>
      <c r="J136" s="41"/>
      <c r="K136" s="41"/>
      <c r="L136" s="41"/>
      <c r="M136" s="42">
        <f ca="1">IFERROR(M122+M135,"")</f>
        <v>1.6045023148762994E-2</v>
      </c>
      <c r="N136" s="40" t="s">
        <v>202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5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78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78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78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78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78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78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78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78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78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78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78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78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78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78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78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78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78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78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78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78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78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117" sqref="F1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199</v>
      </c>
      <c r="O27" s="39">
        <v>308500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39">
        <v>124290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199</v>
      </c>
      <c r="O81" s="39">
        <v>396340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199</v>
      </c>
      <c r="O108" s="39">
        <v>41230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0.10354502315021819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0.10354502315021819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0.10354502315021819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39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H117" sqref="H117:H1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199</v>
      </c>
      <c r="O27" s="39">
        <v>202230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199</v>
      </c>
      <c r="O54" s="39">
        <v>473910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226</v>
      </c>
      <c r="L58" s="29">
        <v>0.54097222222222219</v>
      </c>
      <c r="M58" s="30" t="str">
        <f t="shared" ca="1" si="13"/>
        <v/>
      </c>
      <c r="N58" s="27" t="s">
        <v>227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199</v>
      </c>
      <c r="O81" s="39">
        <v>565120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199</v>
      </c>
      <c r="O108" s="39">
        <v>558590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0.10354502315021819</v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0.10354502315021819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0.10354502315021819</v>
      </c>
      <c r="N136" s="40" t="s">
        <v>202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199</v>
      </c>
      <c r="O432" s="39"/>
    </row>
    <row r="433" spans="1:17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2026-07-05T13:29:14Z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