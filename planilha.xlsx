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3859" documentId="8_{AF585B22-221D-4780-BB9C-493D365A6A02}" xr6:coauthVersionLast="47" xr6:coauthVersionMax="47" xr10:uidLastSave="{8FD5AA78-F7B4-4A80-ADCD-53FD68499A51}"/>
  <bookViews>
    <workbookView xWindow="-110" yWindow="-110" windowWidth="25820" windowHeight="15500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741" i="5" l="1"/>
  <c r="G742" i="5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32" i="1" l="1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<sst xmlns="http://schemas.openxmlformats.org/spreadsheetml/2006/main" count="11751" uniqueCount="426">
  <si>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</si>
  <si>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</si>
  <si>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</si>
  <si>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</si>
  <si>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</si>
  <si>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</si>
  <si>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</si>
  <si>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</si>
  <si>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</si>
  <si>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</si>
  <si>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</si>
  <si>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</si>
  <si>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</si>
  <si>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</si>
  <si>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</si>
  <si>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</si>
  <si>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</si>
  <si>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</si>
  <si>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</si>
  <si>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</si>
  <si>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</si>
  <si>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</si>
  <si>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</si>
  <si>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</si>
  <si>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</si>
  <si>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</si>
  <si>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</si>
  <si>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</si>
  <si>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</si>
  <si>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</si>
  <si>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</si>
  <si>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</si>
  <si>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</si>
  <si>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</si>
  <si>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</si>
  <si>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</si>
  <si>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</si>
  <si>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</si>
  <si>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</si>
  <si>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</si>
  <si>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</si>
  <si>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</si>
  <si>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</si>
  <si>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</si>
  <si>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</si>
  <si>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</si>
  <si>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</si>
  <si>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</si>
  <si>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</si>
  <si>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</si>
  <si>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</si>
  <si>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</si>
  <si>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</si>
  <si>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</si>
  <si>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</si>
  <si>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</si>
  <si>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</si>
  <si>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</si>
  <si>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</si>
  <si>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</si>
  <si>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</si>
  <si>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</si>
  <si>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</si>
  <si>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</si>
  <si>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</si>
  <si>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</si>
  <si>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</si>
  <si>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</si>
  <si>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</si>
  <si>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</si>
  <si>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</si>
  <si>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</si>
  <si>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</si>
  <si>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</si>
  <si>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</si>
  <si>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</si>
  <si>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</si>
  <si>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</si>
  <si>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</si>
  <si>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</si>
  <si>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</si>
  <si>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</si>
  <si>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</si>
  <si>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</si>
  <si>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</si>
  <si>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</si>
  <si>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</si>
  <si>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</si>
  <si>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</si>
  <si>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</si>
  <si>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</si>
  <si>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</si>
  <si>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</si>
  <si>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</si>
  <si>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</si>
  <si>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</si>
  <si>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</si>
  <si>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</si>
  <si>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</si>
  <si>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</si>
  <si>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</si>
  <si>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</si>
  <si>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</si>
  <si>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</si>
  <si>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</si>
  <si>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</si>
  <si>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</si>
  <si>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</si>
  <si>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</si>
  <si>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</si>
  <si>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</si>
  <si>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</si>
  <si>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</si>
  <si>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</si>
  <si>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</si>
  <si>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</si>
  <si>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</si>
  <si>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</si>
  <si>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</si>
  <si>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</si>
  <si>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</si>
  <si>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</si>
  <si>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</si>
  <si>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</si>
  <si>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</si>
  <si>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</si>
  <si>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</si>
  <si>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</si>
  <si>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</si>
  <si>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</si>
  <si>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</si>
  <si>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</si>
  <si>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</si>
  <si>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</si>
  <si>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</si>
  <si>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</si>
  <si>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</si>
  <si>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</si>
  <si>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</si>
  <si>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</si>
  <si>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</si>
  <si>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</si>
  <si>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</si>
  <si>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</si>
  <si>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</si>
  <si>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</si>
  <si>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</si>
  <si>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</si>
  <si>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</si>
  <si>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</si>
  <si>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</si>
  <si>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</si>
  <si>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</si>
  <si>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</si>
  <si>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</si>
  <si>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</si>
  <si>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</si>
  <si>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</si>
  <si>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</si>
  <si>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</si>
  <si>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</si>
  <si>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</si>
  <si>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</si>
  <si>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</si>
  <si>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</si>
  <si>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</si>
  <si>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</si>
  <si>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</si>
  <si>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</si>
  <si>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</si>
  <si>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</si>
  <si>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</si>
  <si>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</si>
  <si>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</si>
  <si>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</si>
  <si>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</si>
  <si>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</si>
  <si>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</si>
  <si>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</si>
  <si>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</si>
  <si>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</si>
  <si>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</si>
  <si>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</si>
  <si>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</si>
  <si>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</si>
  <si>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</si>
  <si>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</si>
  <si>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</si>
  <si>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</si>
  <si>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</si>
  <si>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</si>
  <si>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</si>
  <si>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</si>
  <si>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</si>
  <si>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</si>
  <si>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</si>
  <si>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</si>
  <si>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</si>
  <si>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</si>
  <si>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</si>
  <si>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</si>
  <si>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</si>
  <si>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</si>
  <si>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</si>
  <si>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</si>
  <si>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</si>
  <si>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</si>
  <si>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</si>
  <si>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</si>
  <si>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</si>
  <si>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</si>
  <si>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</si>
  <si>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</si>
  <si>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</si>
  <si>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</si>
  <si>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</si>
  <si>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</si>
  <si>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</si>
  <si>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</si>
  <si>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</si>
  <si>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</si>
  <si>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</si>
  <si>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</si>
  <si>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</si>
  <si>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</si>
  <si>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</si>
  <si>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</si>
  <si>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</si>
  <si>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</si>
  <si>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</si>
  <si>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</si>
  <si>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</si>
  <si>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</si>
  <si>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</si>
  <si>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</si>
  <si>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</si>
  <si>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</si>
  <si>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</si>
  <si>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</si>
  <si>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</si>
  <si>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</si>
  <si>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</si>
  <si>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</si>
  <si>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</si>
  <si>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</si>
  <si>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</si>
  <si>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</si>
  <si>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</si>
  <si>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</si>
  <si>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</si>
  <si>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</si>
  <si>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</si>
  <si>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</si>
  <si>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</si>
  <si>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</si>
  <si>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</si>
  <si>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</si>
  <si>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</si>
  <si>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</si>
  <si>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</si>
  <si>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</si>
  <si>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</si>
  <si>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</si>
  <si>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</si>
  <si>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</si>
  <si>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</si>
  <si>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</si>
  <si>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</si>
  <si>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</si>
  <si>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</si>
  <si>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</si>
  <si>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</si>
  <si>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</si>
  <si>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apertar parafuso mancal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</si>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</sst>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N20" sqref="N2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1751285</v>
      </c>
      <c r="D32" s="8">
        <f>IFERROR('Linha 1'!O784,"")</f>
        <v>610890</v>
      </c>
      <c r="E32" s="8">
        <f>IFERROR('Linha 2'!O784,"")</f>
        <v>172140</v>
      </c>
      <c r="F32" s="8">
        <f>IFERROR('Linha 3'!O784,"")</f>
        <v>39360</v>
      </c>
      <c r="G32" s="9">
        <f>IFERROR(D32+E32+F32,"")</f>
        <v>822390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87532313</v>
      </c>
      <c r="D35" s="13">
        <f>IFERROR(SUM(D4:D34),"")</f>
        <v>35210690</v>
      </c>
      <c r="E35" s="13">
        <f>IFERROR(SUM(E4:E34),"")</f>
        <v>19876800</v>
      </c>
      <c r="F35" s="13">
        <f>IFERROR(SUM(F4:F34),"")</f>
        <v>36042620</v>
      </c>
      <c r="G35" s="13">
        <f>IFERROR(SUM(G4:G34),"")</f>
        <v>91130110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M58" sqref="M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13"/>
      <c r="I58" s="16"/>
      <c r="J58" s="16"/>
      <c r="K58" s="16" t="s">
        <v>206</v>
      </c>
      <c r="L58" s="16"/>
      <c r="M58" s="16"/>
    </row>
    <row r="59" spans="1:13" ht="15" customHeight="1">
      <c r="H59" s="113"/>
      <c r="I59" s="17"/>
      <c r="J59" s="17"/>
      <c r="K59" s="17" t="s">
        <v>207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208</v>
      </c>
      <c r="L61" s="17"/>
      <c r="M61" s="17"/>
    </row>
    <row r="62" spans="1:13" ht="15" customHeight="1">
      <c r="H62" s="113"/>
      <c r="I62" s="16"/>
      <c r="J62" s="16"/>
      <c r="K62" s="16" t="s">
        <v>209</v>
      </c>
      <c r="L62" s="16"/>
      <c r="M62" s="16"/>
    </row>
    <row r="63" spans="1:13" ht="15" customHeight="1">
      <c r="H63" s="113"/>
      <c r="I63" s="17"/>
      <c r="J63" s="17"/>
      <c r="K63" s="17" t="s">
        <v>210</v>
      </c>
      <c r="L63" s="17"/>
      <c r="M63" s="17"/>
    </row>
    <row r="64" spans="1:13" ht="15" customHeight="1">
      <c r="H64" s="113"/>
      <c r="I64" s="16"/>
      <c r="J64" s="16"/>
      <c r="K64" s="16" t="s">
        <v>211</v>
      </c>
      <c r="L64" s="16"/>
      <c r="M64" s="16"/>
    </row>
    <row r="65" spans="8:13" ht="15" customHeight="1">
      <c r="H65" s="113"/>
      <c r="I65" s="17"/>
      <c r="J65" s="17"/>
      <c r="K65" s="17" t="s">
        <v>212</v>
      </c>
      <c r="L65" s="17"/>
      <c r="M65" s="17"/>
    </row>
    <row r="66" spans="8:13" ht="15" customHeight="1">
      <c r="H66" s="113"/>
      <c r="I66" s="16"/>
      <c r="J66" s="16"/>
      <c r="K66" s="16" t="s">
        <v>213</v>
      </c>
      <c r="L66" s="16"/>
      <c r="M66" s="16"/>
    </row>
    <row r="67" spans="8:13" ht="15" customHeight="1">
      <c r="H67" s="113"/>
      <c r="I67" s="17"/>
      <c r="J67" s="17"/>
      <c r="K67" s="17" t="s">
        <v>214</v>
      </c>
      <c r="L67" s="17"/>
      <c r="M67" s="17"/>
    </row>
    <row r="68" spans="8:13" ht="15" customHeight="1">
      <c r="H68" s="113"/>
      <c r="I68" s="16"/>
      <c r="J68" s="16"/>
      <c r="K68" s="16" t="s">
        <v>215</v>
      </c>
      <c r="L68" s="16"/>
      <c r="M68" s="16"/>
    </row>
    <row r="69" spans="8:13" ht="15" customHeight="1">
      <c r="H69" s="113"/>
      <c r="I69" s="17"/>
      <c r="J69" s="17"/>
      <c r="K69" s="17" t="s">
        <v>216</v>
      </c>
      <c r="L69" s="17"/>
      <c r="M69" s="17"/>
    </row>
    <row r="70" spans="8:13" ht="15" customHeight="1">
      <c r="H70" s="113"/>
      <c r="I70" s="16"/>
      <c r="J70" s="16"/>
      <c r="K70" s="16" t="s">
        <v>217</v>
      </c>
      <c r="L70" s="16"/>
      <c r="M70" s="16"/>
    </row>
    <row r="71" spans="8:13" ht="15" customHeight="1">
      <c r="H71" s="113"/>
      <c r="I71" s="17"/>
      <c r="J71" s="17"/>
      <c r="K71" s="17" t="s">
        <v>218</v>
      </c>
      <c r="L71" s="17"/>
      <c r="M71" s="17"/>
    </row>
    <row r="72" spans="8:13" ht="15" customHeight="1">
      <c r="H72" s="113"/>
      <c r="I72" s="16"/>
      <c r="J72" s="16"/>
      <c r="K72" s="16" t="s">
        <v>219</v>
      </c>
      <c r="L72" s="16"/>
      <c r="M72" s="16"/>
    </row>
    <row r="73" spans="8:13" ht="15" customHeight="1">
      <c r="H73" s="113"/>
      <c r="I73" s="17"/>
      <c r="J73" s="17"/>
      <c r="K73" s="17" t="s">
        <v>220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752" activePane="bottomLeft" state="frozen"/>
      <selection pane="bottomLeft" activeCell="F774" sqref="F774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231</v>
      </c>
      <c r="E2" s="59" t="s">
        <v>232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233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232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232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232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232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232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232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232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232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232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232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232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235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232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232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232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232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232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232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232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232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232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232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232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235</v>
      </c>
      <c r="O27" s="39">
        <v>1183060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238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232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232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239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232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232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232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232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232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232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235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232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232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232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232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232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232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232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232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232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232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235</v>
      </c>
      <c r="O54" s="39">
        <v>959290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238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232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232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232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232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232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232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232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232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232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232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232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232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235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232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232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240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232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232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232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232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232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232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232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235</v>
      </c>
      <c r="O81" s="39">
        <v>878050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238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232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232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235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1700000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238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232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232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232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232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232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232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232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232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232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232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232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235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235</v>
      </c>
      <c r="O135" s="39">
        <v>862330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238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235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232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232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232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232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232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232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232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232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232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232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235</v>
      </c>
      <c r="O162" s="44">
        <v>1546080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238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232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232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232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232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232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232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232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232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232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232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235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232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232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232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232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232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232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232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232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232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232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232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232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235</v>
      </c>
      <c r="O189" s="39">
        <v>2355810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238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232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232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232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232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232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232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232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232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232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232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232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232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235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232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232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232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232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232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232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232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232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232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232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232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235</v>
      </c>
      <c r="O216" s="45">
        <v>2013260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238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232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243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232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232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232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232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232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232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232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232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232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232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235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232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232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232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232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232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232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232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232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232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235</v>
      </c>
      <c r="O243" s="39">
        <v>1545480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238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232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244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232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232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232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232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232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232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232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232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232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232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232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235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232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232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232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232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232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232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232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232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232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232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232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>
        <v>1182690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238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232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232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232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232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232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232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232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232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232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232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232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232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235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232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245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232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232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232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246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232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246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232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246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232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246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232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246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232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246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232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246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232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246</v>
      </c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235</v>
      </c>
      <c r="O297" s="39">
        <v>1843460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238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247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232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232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248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232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232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232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232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232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232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232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235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249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232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249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249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249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232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249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>
        <v>1940000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238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232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250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232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232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232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232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232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232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232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232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232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232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235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232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232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232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232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232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232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232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232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232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232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232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232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235</v>
      </c>
      <c r="O351" s="39">
        <v>701874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238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251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232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232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232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232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232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232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232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232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232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232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232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235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232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232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232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232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232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232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232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232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232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232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232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232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235</v>
      </c>
      <c r="O378" s="39">
        <v>1088710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238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232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212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232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252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232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253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232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232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232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232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232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232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232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232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232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235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232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232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254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232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232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232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232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232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232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232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232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232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235</v>
      </c>
      <c r="O405" s="39">
        <v>1202270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238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232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255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232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232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256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232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232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232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232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232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257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257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232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235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232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232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232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232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232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232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232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232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232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232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232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>
        <v>1801910</v>
      </c>
    </row>
    <row r="433" spans="1:15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238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232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216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232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232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232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232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232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232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232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232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232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232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232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235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259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217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259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259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259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259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259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259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259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259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259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259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259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235</v>
      </c>
      <c r="O459" s="39">
        <v>2675000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238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>
        <v>2310070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232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232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232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232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232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235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232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232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232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232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232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232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232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232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232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232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232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>
        <v>1298429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238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232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260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232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232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232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232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232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232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232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232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232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232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232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235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232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232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261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232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232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232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232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232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232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232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232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232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232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235</v>
      </c>
      <c r="O540" s="39">
        <v>1240140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238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232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209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262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232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232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232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232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232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232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232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232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232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232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232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235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232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232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232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232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232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232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232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232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232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232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232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232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235</v>
      </c>
      <c r="O567" s="39">
        <v>1482110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238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232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232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232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232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232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232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235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232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232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232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232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232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232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232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232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232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232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235</v>
      </c>
      <c r="O594" s="39">
        <v>1036800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238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232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232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232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232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232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232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232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232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232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232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232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232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235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263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232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232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232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232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232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232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232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232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232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235</v>
      </c>
      <c r="O621" s="39">
        <v>1295785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238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232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232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232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232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232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232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232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232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232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232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232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232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232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264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232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232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232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232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232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232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232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232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232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232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232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235</v>
      </c>
      <c r="O648" s="39">
        <v>1954490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238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232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232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232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232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232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232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232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232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232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232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232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235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232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265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232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232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232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232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232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232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232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232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232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232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232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235</v>
      </c>
      <c r="O675" s="39">
        <v>471180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238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232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266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232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267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232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232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232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232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232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232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232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232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232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232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235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232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268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232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232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232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232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232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232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232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232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232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235</v>
      </c>
      <c r="O702" s="39">
        <v>1620480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238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232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232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232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232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232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232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232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232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232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232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232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232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235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232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269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232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232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232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232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232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232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259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259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259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235</v>
      </c>
      <c r="O729" s="39">
        <v>1145450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238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270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232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232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232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232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232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232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232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232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232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232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232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232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271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232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232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232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232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232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232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232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232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232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232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232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235</v>
      </c>
      <c r="O756" s="39">
        <v>1649510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238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232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272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232</v>
      </c>
      <c r="F759" s="27">
        <v>40</v>
      </c>
      <c r="G759" s="34">
        <f t="shared" si="168"/>
        <v>200</v>
      </c>
      <c r="H759" s="33" t="s">
        <v>20</v>
      </c>
      <c r="I759" s="33" t="s">
        <v>23</v>
      </c>
      <c r="J759" s="33" t="s">
        <v>200</v>
      </c>
      <c r="K759" s="29">
        <v>0.75138888888888888</v>
      </c>
      <c r="L759" s="29">
        <v>0.79166666666666663</v>
      </c>
      <c r="M759" s="35">
        <f t="shared" ca="1" si="169"/>
        <v>4.0277777777777746E-2</v>
      </c>
      <c r="N759" s="46" t="s">
        <v>273</v>
      </c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232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232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232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232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232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232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232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232</v>
      </c>
      <c r="F768" s="27">
        <v>45</v>
      </c>
      <c r="G768" s="28">
        <f t="shared" si="168"/>
        <v>225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232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350</v>
      </c>
      <c r="G770" s="36">
        <f>SUM(G758:G769)</f>
        <v>1750</v>
      </c>
      <c r="H770" s="37"/>
      <c r="I770" s="37"/>
      <c r="J770" s="37"/>
      <c r="K770" s="37"/>
      <c r="L770" s="37"/>
      <c r="M770" s="38">
        <f ca="1">IFERROR(SUM(M758:M769),"")</f>
        <v>7.1527777777777746E-2</v>
      </c>
      <c r="N770" s="36" t="s">
        <v>235</v>
      </c>
      <c r="O770" s="39">
        <v>1751285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232</v>
      </c>
      <c r="F771" s="27">
        <v>30</v>
      </c>
      <c r="G771" s="34">
        <f t="shared" ref="G771:G782" si="171">IF(F771="","",IF(E771="PC 17",F771*4.2,IF(E771="PC 19",F771*5,"")))</f>
        <v>150</v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232</v>
      </c>
      <c r="F772" s="27">
        <v>45</v>
      </c>
      <c r="G772" s="28">
        <f t="shared" si="171"/>
        <v>225</v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232</v>
      </c>
      <c r="F773" s="27">
        <v>5</v>
      </c>
      <c r="G773" s="34">
        <f t="shared" si="171"/>
        <v>25</v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232</v>
      </c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232</v>
      </c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232</v>
      </c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232</v>
      </c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232</v>
      </c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232</v>
      </c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232</v>
      </c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232</v>
      </c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232</v>
      </c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80</v>
      </c>
      <c r="G783" s="36">
        <f>SUM(G771:G782)</f>
        <v>400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430</v>
      </c>
      <c r="G784" s="40">
        <f>G770+G783</f>
        <v>2150</v>
      </c>
      <c r="H784" s="41"/>
      <c r="I784" s="41"/>
      <c r="J784" s="41"/>
      <c r="K784" s="41"/>
      <c r="L784" s="41"/>
      <c r="M784" s="42">
        <f ca="1">IFERROR(M770+M783,"")</f>
        <v>7.1527777777777746E-2</v>
      </c>
      <c r="N784" s="40" t="s">
        <v>238</v>
      </c>
      <c r="O784" s="48">
        <f>IFERROR(O770+O783,"")</f>
        <v>1751285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59" t="s">
        <v>232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750" activePane="bottomLeft" state="frozen"/>
      <selection pane="bottomLeft" activeCell="F775" sqref="F77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235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235</v>
      </c>
      <c r="O27" s="77">
        <v>393200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238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274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235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259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275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259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259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259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259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259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259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259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259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259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84">
        <v>276360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238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276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277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235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235</v>
      </c>
      <c r="O81" s="54">
        <v>787860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238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259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278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235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279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280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281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235</v>
      </c>
      <c r="O108" s="54">
        <v>1087080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238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282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235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283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250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284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285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235</v>
      </c>
      <c r="O135" s="54">
        <v>794480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238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286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235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288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207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235</v>
      </c>
      <c r="O162" s="54">
        <v>882280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238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259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235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235</v>
      </c>
      <c r="O189" s="77"/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238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235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290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291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235</v>
      </c>
      <c r="O216" s="77">
        <v>648410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238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292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293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234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235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207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294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288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259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235</v>
      </c>
      <c r="O243" s="77">
        <v>849060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238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295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235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235</v>
      </c>
      <c r="O270" s="77">
        <v>625070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238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296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297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235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298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235</v>
      </c>
      <c r="O297" s="77">
        <v>761660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238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299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299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235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300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301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235</v>
      </c>
      <c r="O324" s="77">
        <v>524410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238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259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302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259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259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259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259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259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259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259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235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303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304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235</v>
      </c>
      <c r="O351" s="77">
        <v>598420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238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235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0.68437673610605998</v>
      </c>
      <c r="N377" s="46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0.84201562499494886</v>
      </c>
      <c r="N378" s="36" t="s">
        <v>235</v>
      </c>
      <c r="O378" s="77">
        <v>511980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0.95173784721717103</v>
      </c>
      <c r="N379" s="40" t="s">
        <v>238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213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288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305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235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259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306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250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235</v>
      </c>
      <c r="O405" s="77">
        <v>552440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238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259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235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307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0.66284895833086921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236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0.8336822916642026</v>
      </c>
      <c r="N432" s="36" t="s">
        <v>235</v>
      </c>
      <c r="O432" s="77">
        <v>484540</v>
      </c>
    </row>
    <row r="433" spans="1:15" ht="18" customHeight="1">
      <c r="A433" s="93" t="s">
        <v>237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0.97882118055309153</v>
      </c>
      <c r="N433" s="40" t="s">
        <v>238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309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235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310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235</v>
      </c>
      <c r="O459" s="77">
        <v>631190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238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311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312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313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235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314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235</v>
      </c>
      <c r="O486" s="77">
        <v>969510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238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315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235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236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235</v>
      </c>
      <c r="O513" s="77">
        <v>556040</v>
      </c>
    </row>
    <row r="514" spans="1:15" ht="18" customHeight="1">
      <c r="A514" s="93" t="s">
        <v>237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238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316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235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235</v>
      </c>
      <c r="O540" s="77">
        <v>548610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238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317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235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318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235</v>
      </c>
      <c r="O567" s="77">
        <v>722660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238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319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235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235</v>
      </c>
      <c r="O594" s="77">
        <v>644900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238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320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235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321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235</v>
      </c>
      <c r="O621" s="77">
        <v>348050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238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259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259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259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259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259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259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259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235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235</v>
      </c>
      <c r="O648" s="77">
        <v>757160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238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322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323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324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325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235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235</v>
      </c>
      <c r="O675" s="77">
        <v>681950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238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208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326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259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327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234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235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328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329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235</v>
      </c>
      <c r="O702" s="77">
        <v>813880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238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330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331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332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235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259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333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232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259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259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259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334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259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259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259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232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232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259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235</v>
      </c>
      <c r="O729" s="77">
        <v>766420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238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335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336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235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235</v>
      </c>
      <c r="O756" s="39">
        <v>605420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238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259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337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259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259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259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338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259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>
        <v>0.76041666666666663</v>
      </c>
      <c r="M763" s="35">
        <f t="shared" ca="1" si="169"/>
        <v>2.4999999999999911E-2</v>
      </c>
      <c r="N763" s="46" t="s">
        <v>339</v>
      </c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259</v>
      </c>
      <c r="F764" s="27">
        <v>9</v>
      </c>
      <c r="G764" s="28">
        <f t="shared" si="168"/>
        <v>37.800000000000004</v>
      </c>
      <c r="H764" s="26" t="s">
        <v>17</v>
      </c>
      <c r="I764" s="26"/>
      <c r="J764" s="26" t="s">
        <v>25</v>
      </c>
      <c r="K764" s="29">
        <v>0.76458333333333328</v>
      </c>
      <c r="L764" s="29">
        <v>0.76666666666666672</v>
      </c>
      <c r="M764" s="30">
        <f t="shared" ca="1" si="169"/>
        <v>2.083333333333437E-3</v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259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259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259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259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259</v>
      </c>
      <c r="F769" s="27">
        <v>1</v>
      </c>
      <c r="G769" s="34">
        <f t="shared" si="168"/>
        <v>4.2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134</v>
      </c>
      <c r="G770" s="36">
        <f>SUM(G758:G769)</f>
        <v>570.80000000000007</v>
      </c>
      <c r="H770" s="37"/>
      <c r="I770" s="37"/>
      <c r="J770" s="37"/>
      <c r="K770" s="37"/>
      <c r="L770" s="37"/>
      <c r="M770" s="38">
        <f ca="1">IFERROR(SUM(M758:M769),"")</f>
        <v>9.5138888888888828E-2</v>
      </c>
      <c r="N770" s="36" t="s">
        <v>235</v>
      </c>
      <c r="O770" s="77">
        <v>610890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259</v>
      </c>
      <c r="F771" s="27">
        <v>23</v>
      </c>
      <c r="G771" s="34">
        <f t="shared" ref="G771:G782" si="171">IF(F771="","",IF(E771="PC 17",F771*4.2,IF(E771="PC 19",F771*5,"")))</f>
        <v>96.600000000000009</v>
      </c>
      <c r="H771" s="33" t="s">
        <v>20</v>
      </c>
      <c r="I771" s="33" t="s">
        <v>39</v>
      </c>
      <c r="J771" s="33" t="s">
        <v>36</v>
      </c>
      <c r="K771" s="29">
        <v>0.84027777777777779</v>
      </c>
      <c r="L771" s="29">
        <v>0.85416666666666663</v>
      </c>
      <c r="M771" s="35">
        <f t="shared" ref="M771:M782" ca="1" si="172">IFERROR(IF(K771="","",IF(L771="",MOD(NOW()-K771,1),IF(L771&gt;=K771,L771-K771,L771+1-K771))),"")</f>
        <v>1.388888888888884E-2</v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232</v>
      </c>
      <c r="F772" s="27">
        <v>11</v>
      </c>
      <c r="G772" s="28">
        <f t="shared" si="171"/>
        <v>55</v>
      </c>
      <c r="H772" s="26" t="s">
        <v>20</v>
      </c>
      <c r="I772" s="26" t="s">
        <v>121</v>
      </c>
      <c r="J772" s="26" t="s">
        <v>113</v>
      </c>
      <c r="K772" s="29">
        <v>0.91874999999999996</v>
      </c>
      <c r="L772" s="29"/>
      <c r="M772" s="30">
        <f t="shared" ca="1" si="172"/>
        <v>5.2100694447290152E-3</v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232</v>
      </c>
      <c r="F773" s="27">
        <v>14</v>
      </c>
      <c r="G773" s="34">
        <f t="shared" si="171"/>
        <v>70</v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259</v>
      </c>
      <c r="F774" s="27">
        <v>12</v>
      </c>
      <c r="G774" s="28">
        <f t="shared" si="171"/>
        <v>50.400000000000006</v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259</v>
      </c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259</v>
      </c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259</v>
      </c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259</v>
      </c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259</v>
      </c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259</v>
      </c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259</v>
      </c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259</v>
      </c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60</v>
      </c>
      <c r="G783" s="36">
        <f>SUM(G771:G782)</f>
        <v>272</v>
      </c>
      <c r="H783" s="37"/>
      <c r="I783" s="37"/>
      <c r="J783" s="37"/>
      <c r="K783" s="37"/>
      <c r="L783" s="37"/>
      <c r="M783" s="38">
        <f ca="1">IFERROR(SUM(M771:M782),"")</f>
        <v>1.9098958333617855E-2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194</v>
      </c>
      <c r="G784" s="40">
        <f>G770+G783</f>
        <v>842.80000000000007</v>
      </c>
      <c r="H784" s="41"/>
      <c r="I784" s="41"/>
      <c r="J784" s="41"/>
      <c r="K784" s="41"/>
      <c r="L784" s="41"/>
      <c r="M784" s="42">
        <f ca="1">IFERROR(M770+M783,"")</f>
        <v>0.11423784722250668</v>
      </c>
      <c r="N784" s="40" t="s">
        <v>238</v>
      </c>
      <c r="O784" s="83">
        <f>IFERROR(O770+O783,"")</f>
        <v>610890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754" zoomScale="50" zoomScaleNormal="50" workbookViewId="0">
      <selection activeCell="F775" sqref="F77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324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340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235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235</v>
      </c>
      <c r="O27" s="39">
        <v>308500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238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341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235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259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259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259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259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259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259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259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259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39">
        <v>124290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238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342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259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259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259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259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259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259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259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259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235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310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235</v>
      </c>
      <c r="O81" s="39">
        <v>396340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238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343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235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235</v>
      </c>
      <c r="O108" s="39">
        <v>41230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238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235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285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235</v>
      </c>
      <c r="O135" s="39">
        <v>381250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238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344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287</v>
      </c>
      <c r="K141" s="29">
        <v>0.71597222222222223</v>
      </c>
      <c r="L141" s="29" t="s">
        <v>345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232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232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235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346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235</v>
      </c>
      <c r="O162" s="39">
        <v>337120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238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259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347</v>
      </c>
      <c r="N166" s="27" t="s">
        <v>348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259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259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259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259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259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259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259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235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235</v>
      </c>
      <c r="O189" s="39">
        <v>747210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238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349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235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235</v>
      </c>
      <c r="O216" s="39">
        <v>468430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238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259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259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259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259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259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235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235</v>
      </c>
      <c r="O243" s="39">
        <v>575930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238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209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259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259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259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235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350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351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235</v>
      </c>
      <c r="O270" s="39">
        <v>483510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238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235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352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259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353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235</v>
      </c>
      <c r="O297" s="39">
        <v>487980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238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354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235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355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356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235</v>
      </c>
      <c r="O324" s="39">
        <v>609460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238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259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357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259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310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232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259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344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259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259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259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259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259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259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235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235</v>
      </c>
      <c r="O351" s="39">
        <v>437940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238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259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259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235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235</v>
      </c>
      <c r="O378" s="39">
        <v>473310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238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259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259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259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259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259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259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259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259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259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235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235</v>
      </c>
      <c r="O405" s="39">
        <v>507450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238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259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259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259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259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259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259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259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232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232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259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259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235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307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235</v>
      </c>
      <c r="O432" s="39">
        <v>229150</v>
      </c>
    </row>
    <row r="433" spans="1:15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238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358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235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235</v>
      </c>
      <c r="O459" s="39">
        <v>409980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238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232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232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232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232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235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235</v>
      </c>
      <c r="O486" s="39">
        <v>341550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238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359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232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235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235</v>
      </c>
      <c r="O513" s="39">
        <v>276610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238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235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360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361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362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235</v>
      </c>
      <c r="O540" s="39">
        <v>194990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238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363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235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364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235</v>
      </c>
      <c r="O567" s="39">
        <v>315860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238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365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235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235</v>
      </c>
      <c r="O594" s="39">
        <v>424930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238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366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326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235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235</v>
      </c>
      <c r="O621" s="39">
        <v>377360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238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235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235</v>
      </c>
      <c r="O648" s="39">
        <v>319500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238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367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326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235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368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235</v>
      </c>
      <c r="O675" s="39">
        <v>323580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238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235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235</v>
      </c>
      <c r="O702" s="39">
        <v>349730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238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310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235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235</v>
      </c>
      <c r="O729" s="39">
        <v>175420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238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259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259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324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259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259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259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324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259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259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259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259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259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259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235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369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370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235</v>
      </c>
      <c r="O756" s="39">
        <v>154160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238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259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371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259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259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259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324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259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259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259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259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259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>
        <v>0.76041666666666663</v>
      </c>
      <c r="M767" s="35">
        <f t="shared" ca="1" si="169"/>
        <v>2.4999999999999911E-2</v>
      </c>
      <c r="N767" s="27" t="s">
        <v>372</v>
      </c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259</v>
      </c>
      <c r="F768" s="27">
        <v>5</v>
      </c>
      <c r="G768" s="28">
        <f t="shared" si="168"/>
        <v>21</v>
      </c>
      <c r="H768" s="26" t="s">
        <v>17</v>
      </c>
      <c r="I768" s="26"/>
      <c r="J768" s="26" t="s">
        <v>25</v>
      </c>
      <c r="K768" s="29">
        <v>0.76458333333333328</v>
      </c>
      <c r="L768" s="29">
        <v>0.76597222222222228</v>
      </c>
      <c r="M768" s="30">
        <f t="shared" ca="1" si="169"/>
        <v>1.388888888888995E-3</v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259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0.11388888888888893</v>
      </c>
      <c r="N770" s="36" t="s">
        <v>235</v>
      </c>
      <c r="O770" s="39">
        <v>172140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259</v>
      </c>
      <c r="F771" s="27">
        <v>10</v>
      </c>
      <c r="G771" s="34">
        <f t="shared" ref="G771:G782" si="171">IF(F771="","",IF(E771="PC 17",F771*4.2,IF(E771="PC 19",F771*5,"")))</f>
        <v>42</v>
      </c>
      <c r="H771" s="33" t="s">
        <v>20</v>
      </c>
      <c r="I771" s="33" t="s">
        <v>47</v>
      </c>
      <c r="J771" s="33" t="s">
        <v>51</v>
      </c>
      <c r="K771" s="29">
        <v>0.81666666666666665</v>
      </c>
      <c r="L771" s="29">
        <v>0.82291666666666663</v>
      </c>
      <c r="M771" s="35">
        <f t="shared" ref="M771:M782" ca="1" si="172">IFERROR(IF(K771="","",IF(L771="",MOD(NOW()-K771,1),IF(L771&gt;=K771,L771-K771,L771+1-K771))),"")</f>
        <v>6.2499999999999778E-3</v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232</v>
      </c>
      <c r="F772" s="27">
        <v>5</v>
      </c>
      <c r="G772" s="28">
        <f t="shared" si="171"/>
        <v>25</v>
      </c>
      <c r="H772" s="26" t="s">
        <v>20</v>
      </c>
      <c r="I772" s="26" t="s">
        <v>47</v>
      </c>
      <c r="J772" s="26" t="s">
        <v>36</v>
      </c>
      <c r="K772" s="29">
        <v>0.89027777777777772</v>
      </c>
      <c r="L772" s="29">
        <v>0.91249999999999998</v>
      </c>
      <c r="M772" s="30">
        <f t="shared" ca="1" si="172"/>
        <v>2.2222222222222254E-2</v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259</v>
      </c>
      <c r="F773" s="27">
        <v>2</v>
      </c>
      <c r="G773" s="34">
        <f t="shared" si="171"/>
        <v>8.4</v>
      </c>
      <c r="H773" s="33" t="s">
        <v>20</v>
      </c>
      <c r="I773" s="33" t="s">
        <v>121</v>
      </c>
      <c r="J773" s="33" t="s">
        <v>113</v>
      </c>
      <c r="K773" s="29">
        <v>0.91874999999999996</v>
      </c>
      <c r="L773" s="29"/>
      <c r="M773" s="35">
        <f t="shared" ca="1" si="172"/>
        <v>5.2100694447290152E-3</v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259</v>
      </c>
      <c r="F774" s="27">
        <v>2</v>
      </c>
      <c r="G774" s="28">
        <f t="shared" si="171"/>
        <v>8.4</v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259</v>
      </c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259</v>
      </c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259</v>
      </c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259</v>
      </c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259</v>
      </c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259</v>
      </c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259</v>
      </c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259</v>
      </c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19</v>
      </c>
      <c r="G783" s="36">
        <f>SUM(G771:G782)</f>
        <v>83.800000000000011</v>
      </c>
      <c r="H783" s="37"/>
      <c r="I783" s="37"/>
      <c r="J783" s="37"/>
      <c r="K783" s="37"/>
      <c r="L783" s="37"/>
      <c r="M783" s="38">
        <f ca="1">IFERROR(SUM(M771:M782),"")</f>
        <v>3.3682291666951247E-2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60</v>
      </c>
      <c r="G784" s="40">
        <f>G770+G783</f>
        <v>260</v>
      </c>
      <c r="H784" s="41"/>
      <c r="I784" s="41"/>
      <c r="J784" s="41"/>
      <c r="K784" s="41"/>
      <c r="L784" s="41"/>
      <c r="M784" s="42">
        <f ca="1">IFERROR(M770+M783,"")</f>
        <v>0.14757118055584018</v>
      </c>
      <c r="N784" s="40" t="s">
        <v>238</v>
      </c>
      <c r="O784" s="48">
        <f>IFERROR(O770+O783,"")</f>
        <v>172140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751" activePane="bottomLeft" state="frozen"/>
      <selection pane="bottomLeft" activeCell="F773" sqref="F773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373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310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235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374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235</v>
      </c>
      <c r="O27" s="39">
        <v>202230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238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375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376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235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259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259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259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259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259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259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259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259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235</v>
      </c>
      <c r="O54" s="39">
        <v>473910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238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377</v>
      </c>
      <c r="L58" s="29">
        <v>0.54097222222222219</v>
      </c>
      <c r="M58" s="30" t="str">
        <f t="shared" ca="1" si="13"/>
        <v/>
      </c>
      <c r="N58" s="27" t="s">
        <v>378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259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259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259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259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259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259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259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235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324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379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380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381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382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235</v>
      </c>
      <c r="O81" s="39">
        <v>565120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238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383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232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235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235</v>
      </c>
      <c r="O108" s="39">
        <v>558590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238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384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235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385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386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0.67465451388852671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285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0.87396006944408233</v>
      </c>
      <c r="N135" s="36" t="s">
        <v>235</v>
      </c>
      <c r="O135" s="39">
        <v>729290</v>
      </c>
    </row>
    <row r="136" spans="1:18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1.2413211805551934</v>
      </c>
      <c r="N136" s="40" t="s">
        <v>238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387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235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344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388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235</v>
      </c>
      <c r="O162" s="39">
        <v>697320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238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259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389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235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235</v>
      </c>
      <c r="O189" s="39">
        <v>973580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238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390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391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235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392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235</v>
      </c>
      <c r="O216" s="45">
        <v>1060630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238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393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394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395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235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396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235</v>
      </c>
      <c r="O243" s="39">
        <v>982340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238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397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208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235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235</v>
      </c>
      <c r="O270" s="39">
        <v>1208450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238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235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235</v>
      </c>
      <c r="O297" s="39">
        <v>1049090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238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398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210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211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235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282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235</v>
      </c>
      <c r="O324" s="39">
        <v>1063720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238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259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310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259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259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259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259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259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259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259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259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259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234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235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399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400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235</v>
      </c>
      <c r="O351" s="39">
        <v>696140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238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344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235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259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259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259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401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235</v>
      </c>
      <c r="O378" s="39">
        <v>704750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238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402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389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235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403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404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235</v>
      </c>
      <c r="O405" s="39">
        <v>958130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238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259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235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405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235</v>
      </c>
      <c r="O432" s="39">
        <v>605220</v>
      </c>
    </row>
    <row r="433" spans="1:17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238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215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235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321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218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235</v>
      </c>
      <c r="O459" s="39">
        <v>615330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238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406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407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382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235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235</v>
      </c>
      <c r="O486" s="39">
        <v>1120830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238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382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232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232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232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259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259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259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259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259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235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408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235</v>
      </c>
      <c r="O513" s="39">
        <v>416720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238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219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409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410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235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235</v>
      </c>
      <c r="O540" s="39">
        <v>404370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238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411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412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413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235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259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414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259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259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259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259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259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235</v>
      </c>
      <c r="O567" s="39">
        <v>499820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238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415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235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259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259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259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259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259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259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259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259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235</v>
      </c>
      <c r="O594" s="39">
        <v>572580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238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220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416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235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259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259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235</v>
      </c>
      <c r="O621" s="39">
        <v>414860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238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210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220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417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220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235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418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235</v>
      </c>
      <c r="O648" s="39">
        <v>284850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238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220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419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235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220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420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235</v>
      </c>
      <c r="O675" s="39">
        <v>486620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238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259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235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421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422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235</v>
      </c>
      <c r="O702" s="39">
        <v>988790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238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282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324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235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423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235</v>
      </c>
      <c r="O729" s="39">
        <v>852470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238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424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425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235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235</v>
      </c>
      <c r="O756" s="39">
        <v>545970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238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>
        <v>0.76041666666666663</v>
      </c>
      <c r="M759" s="35">
        <f t="shared" ca="1" si="169"/>
        <v>2.4999999999999911E-2</v>
      </c>
      <c r="N759" s="27" t="s">
        <v>339</v>
      </c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 t="s">
        <v>17</v>
      </c>
      <c r="I760" s="26"/>
      <c r="J760" s="26" t="s">
        <v>25</v>
      </c>
      <c r="K760" s="29">
        <v>0.76458333333333328</v>
      </c>
      <c r="L760" s="29">
        <v>0.76597222222222228</v>
      </c>
      <c r="M760" s="30">
        <f t="shared" ca="1" si="169"/>
        <v>1.388888888888995E-3</v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259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259</v>
      </c>
      <c r="F769" s="27">
        <v>3</v>
      </c>
      <c r="G769" s="34">
        <f t="shared" si="168"/>
        <v>12.600000000000001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8</v>
      </c>
      <c r="G770" s="36">
        <f>SUM(G758:G769)</f>
        <v>33.6</v>
      </c>
      <c r="H770" s="37"/>
      <c r="I770" s="37"/>
      <c r="J770" s="37"/>
      <c r="K770" s="61"/>
      <c r="L770" s="61"/>
      <c r="M770" s="38">
        <f ca="1">IFERROR(SUM(M758:M769),"")</f>
        <v>0.46388888888888885</v>
      </c>
      <c r="N770" s="36" t="s">
        <v>235</v>
      </c>
      <c r="O770" s="39">
        <v>39360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259</v>
      </c>
      <c r="F771" s="27">
        <v>30</v>
      </c>
      <c r="G771" s="34">
        <f t="shared" ref="G771:G782" si="171">IF(F771="","",IF(E771="PC 17",F771*4.2,IF(E771="PC 19",F771*5,"")))</f>
        <v>126</v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232</v>
      </c>
      <c r="F772" s="27">
        <v>12</v>
      </c>
      <c r="G772" s="28">
        <f t="shared" si="171"/>
        <v>60</v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259</v>
      </c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259</v>
      </c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259</v>
      </c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259</v>
      </c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259</v>
      </c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259</v>
      </c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259</v>
      </c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259</v>
      </c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259</v>
      </c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259</v>
      </c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42</v>
      </c>
      <c r="G783" s="36">
        <f>SUM(G771:G782)</f>
        <v>186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50</v>
      </c>
      <c r="G784" s="40">
        <f>G770+G783</f>
        <v>219.6</v>
      </c>
      <c r="H784" s="41"/>
      <c r="I784" s="41"/>
      <c r="J784" s="41"/>
      <c r="K784" s="63"/>
      <c r="L784" s="63"/>
      <c r="M784" s="42">
        <f ca="1">IFERROR(M770+M783,"")</f>
        <v>0.46388888888888885</v>
      </c>
      <c r="N784" s="40" t="s">
        <v>238</v>
      </c>
      <c r="O784" s="48">
        <f>IFERROR(O770+O783,"")</f>
        <v>39360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2026-07-30T02:10:39Z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