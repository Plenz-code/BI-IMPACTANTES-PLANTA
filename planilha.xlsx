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87" documentId="8_{AF585B22-221D-4780-BB9C-493D365A6A02}" xr6:coauthVersionLast="47" xr6:coauthVersionMax="47" xr10:uidLastSave="{EBA92E83-4A6B-4B8D-86A4-3F1D6885889A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80" i="4" l="1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<sst xmlns="http://schemas.openxmlformats.org/spreadsheetml/2006/main" count="10301" uniqueCount="394">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</sst>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G683" sqref="G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9" activePane="bottomLeft" state="frozen"/>
      <selection pane="bottomLeft" activeCell="H677" sqref="H6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7.9103819443844259E-2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0.23674270833273314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0.34646493055495531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5.7576041668653488E-2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0.22840937500198685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0.3735482638908757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0.58743715278251329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0.72007604167140227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0.83188159722695798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/>
      <c r="G677" s="34" t="str">
        <f t="shared" ref="G677:G688" si="150">IF(F677="","",IF(E677="PC 17",F677*4.2,IF(E677="PC 19",F677*5,"")))</f>
        <v/>
      </c>
      <c r="H677" s="33" t="s">
        <v>18</v>
      </c>
      <c r="I677" s="33"/>
      <c r="J677" s="33"/>
      <c r="K677" s="29">
        <v>0.31319444444444444</v>
      </c>
      <c r="L677" s="29"/>
      <c r="M677" s="35">
        <f t="shared" ref="M677:M688" ca="1" si="151">IFERROR(IF(K677="","",IF(L677="",MOD(NOW()-K677,1),IF(L677&gt;=K677,L677-K677,L677+1-K677))),"")</f>
        <v>5.4927083328948356E-3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5.4927083328948356E-3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5.4927083328948356E-3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E681:E811 I680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 G680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 H680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D677" sqref="D677:D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L677" sqref="L6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6.9381597226310987E-2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0.26868715278186661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0.63604826389297764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/>
      <c r="F677" s="27"/>
      <c r="G677" s="34" t="str">
        <f t="shared" ref="G677:G688" si="150">IF(F677="","",IF(E677="PC 17",F677*4.2,IF(E677="PC 19",F677*5,"")))</f>
        <v/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/>
      <c r="M677" s="35">
        <f t="shared" ref="M677:M688" ca="1" si="151">IFERROR(IF(K677="","",IF(L677="",MOD(NOW()-K677,1),IF(L677&gt;=K677,L677-K677,L677+1-K677))),"")</f>
        <v>1.3260416671982966E-3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1.3260416671982966E-3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1.3260416671982966E-3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2026-07-26T11:40:54Z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