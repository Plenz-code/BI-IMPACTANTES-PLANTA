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10" documentId="13_ncr:1_{A6DBCFB4-28D9-4249-9038-216934055CA6}" xr6:coauthVersionLast="47" xr6:coauthVersionMax="47" xr10:uidLastSave="{7C4240CB-1778-431B-B430-DEA9186E3B8F}"/>
  <bookViews>
    <workbookView xWindow="-110" yWindow="-110" windowWidth="25820" windowHeight="15500" tabRatio="500" firstSheet="6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2" i="5" l="1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<sst xmlns="http://schemas.openxmlformats.org/spreadsheetml/2006/main" count="9702" uniqueCount="420">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</sst>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75100940</v>
      </c>
      <c r="D35" s="30">
        <f t="shared" si="2"/>
        <v>24659450</v>
      </c>
      <c r="E35" s="30">
        <f t="shared" si="2"/>
        <v>13495620</v>
      </c>
      <c r="F35" s="30">
        <f t="shared" si="2"/>
        <v>32668850</v>
      </c>
      <c r="G35" s="30">
        <f t="shared" si="2"/>
        <v>70823920</v>
      </c>
      <c r="H35" s="31">
        <f t="shared" si="2"/>
        <v>6458.4576326915121</v>
      </c>
      <c r="I35" s="31">
        <f t="shared" si="2"/>
        <v>4967.05</v>
      </c>
      <c r="J35" s="32">
        <f>I35/H35</f>
        <v>0.76907681098002656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3" activePane="bottomLeft" state="frozen"/>
      <selection pane="bottomLeft" activeCell="F575" sqref="F575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227</v>
      </c>
      <c r="G581" s="2">
        <f>SUM(G569:G580)</f>
        <v>1135</v>
      </c>
      <c r="H581" s="72"/>
      <c r="I581" s="72"/>
      <c r="J581" s="72"/>
      <c r="K581" s="72"/>
      <c r="L581" s="72"/>
      <c r="M581" s="73">
        <f ca="1">IFERROR(SUM(M569:M580),"")</f>
        <v>1.041666666666663E-2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227</v>
      </c>
      <c r="G595" s="1">
        <f>G581+G594</f>
        <v>1135</v>
      </c>
      <c r="H595" s="76"/>
      <c r="I595" s="76"/>
      <c r="J595" s="76"/>
      <c r="K595" s="76"/>
      <c r="L595" s="76"/>
      <c r="M595" s="77">
        <f ca="1">IFERROR(M581+M594,"")</f>
        <v>1.041666666666663E-2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7" activePane="bottomLeft" state="frozen"/>
      <selection pane="bottomLeft" activeCell="N569" sqref="N56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303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304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305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307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308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309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310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0.46343425925442716</v>
      </c>
      <c r="R53" s="80" t="s">
        <v>311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0.60232314814331489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0.6870453703655377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303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312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313</v>
      </c>
      <c r="Q96" s="66" t="str">
        <f t="shared" ref="Q96:Q107" ca="1" si="22">IFERROR(IF(O96="","",IF(P96="",MOD(NOW()-O96,1),IF(P96&gt;=O96,P96-O96,P96+1-O96))),"")</f>
        <v/>
      </c>
      <c r="R96" s="80" t="s">
        <v>314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315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316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317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318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319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320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322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323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324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317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312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326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327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328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329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330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331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332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324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319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312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333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334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335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336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337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338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339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340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341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342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319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343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344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345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/>
      <c r="H569" s="101" t="str">
        <f>IFERROR(IF($G569="","",$G569*$S$581/$G$581/Cadastro!$E$33),"")</f>
        <v/>
      </c>
      <c r="I569" s="102">
        <f>IFERROR(IF($D569="","",VLOOKUP($D569,Cadastro!$C$4:$G$7,5,FALSE())),"")</f>
        <v>0.6</v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/>
      <c r="Q569" s="71">
        <f t="shared" ref="Q569:Q580" ca="1" si="148">IFERROR(IF(O569="","",IF(P569="",MOD(NOW()-O569,1),IF(P569&gt;=O569,P569-O569,P569+1-O569))),"")</f>
        <v>0.29329537037119735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/>
      <c r="H570" s="88" t="str">
        <f>IFERROR(IF($G570="","",$G570*$S$581/$G$581/Cadastro!$E$33),"")</f>
        <v/>
      </c>
      <c r="I570" s="90">
        <f>IFERROR(IF($D570="","",VLOOKUP($D570,Cadastro!$C$4:$G$7,5,FALSE())),"")</f>
        <v>0.6</v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0.29329537037119735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0.29329537037119735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48" activePane="bottomLeft" state="frozen"/>
      <selection pane="bottomLeft" activeCell="G576" sqref="G576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306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312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320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312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323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359</v>
      </c>
      <c r="Q222" s="66" t="str">
        <f t="shared" ca="1" si="49"/>
        <v/>
      </c>
      <c r="R222" s="63" t="s">
        <v>360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330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331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312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334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312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353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369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370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371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312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372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373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312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374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346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0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312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3"/>
        <v>0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3"/>
        <v>0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3"/>
        <v>0</v>
      </c>
      <c r="K572" s="69">
        <f t="shared" si="144"/>
        <v>67.2</v>
      </c>
      <c r="L572" s="61" t="s">
        <v>29</v>
      </c>
      <c r="M572" s="61" t="s">
        <v>159</v>
      </c>
      <c r="N572" s="61" t="s">
        <v>60</v>
      </c>
      <c r="O572" s="65">
        <v>0.5625</v>
      </c>
      <c r="P572" s="65"/>
      <c r="Q572" s="66">
        <f t="shared" ca="1" si="145"/>
        <v>2.2462037035438698E-2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3"/>
        <v>0</v>
      </c>
      <c r="K573" s="69">
        <f t="shared" si="144"/>
        <v>55</v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3"/>
        <v>0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3"/>
        <v>0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91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391</v>
      </c>
      <c r="L581" s="72"/>
      <c r="M581" s="72"/>
      <c r="N581" s="72"/>
      <c r="O581" s="72"/>
      <c r="P581" s="72"/>
      <c r="Q581" s="73">
        <f ca="1">IFERROR(SUM(Q569:Q580),"")</f>
        <v>7.871203703543872E-2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91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391</v>
      </c>
      <c r="L595" s="76"/>
      <c r="M595" s="76"/>
      <c r="N595" s="76"/>
      <c r="O595" s="76"/>
      <c r="P595" s="76"/>
      <c r="Q595" s="77">
        <f ca="1">IFERROR(Q581+Q594,"")</f>
        <v>7.871203703543872E-2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50" activePane="bottomLeft" state="frozen"/>
      <selection pane="bottomLeft" activeCell="G576" sqref="G576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309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312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320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334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411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412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413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414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415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416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417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418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401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402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419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/>
      <c r="Q574" s="66">
        <f t="shared" ca="1" si="148"/>
        <v>9.9620370383490808E-3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58.800000000000004</v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130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562</v>
      </c>
      <c r="L581" s="72"/>
      <c r="M581" s="72"/>
      <c r="N581" s="72"/>
      <c r="O581" s="134"/>
      <c r="P581" s="134"/>
      <c r="Q581" s="73">
        <f ca="1">IFERROR(SUM(Q569:Q580),"")</f>
        <v>8.0100925927238054E-2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130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562</v>
      </c>
      <c r="L595" s="76"/>
      <c r="M595" s="76"/>
      <c r="N595" s="76"/>
      <c r="O595" s="135"/>
      <c r="P595" s="135"/>
      <c r="Q595" s="77">
        <f ca="1">IFERROR(Q581+Q594,"")</f>
        <v>8.0100925927238054E-2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2026-08-22T18:02:46Z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