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38" documentId="13_ncr:1_{0A10D8D4-8450-4366-8075-B53B08E6B7EA}" xr6:coauthVersionLast="47" xr6:coauthVersionMax="47" xr10:uidLastSave="{B44785EF-06E2-4094-BAE4-51F2CC8B7760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401" i="6" s="1"/>
  <c r="J401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401" i="5" s="1"/>
  <c r="J401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401" i="4" s="1"/>
  <c r="J401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9" i="4" l="1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<sst xmlns="http://schemas.openxmlformats.org/spreadsheetml/2006/main" count="6937" uniqueCount="353">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</sst>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77" activePane="bottomLeft" state="frozen"/>
      <selection pane="bottomLeft" activeCell="F403" sqref="F40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355</v>
      </c>
      <c r="G405" s="36">
        <f>SUM(G393:G404)</f>
        <v>1775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635</v>
      </c>
      <c r="G406" s="40">
        <f>G392+G405</f>
        <v>3190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O400" sqref="O40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9.1194328699202742E-2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0.23008321758809164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0.31480543981031395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 t="s">
        <v>27</v>
      </c>
      <c r="M398" s="26"/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>
        <v>0.20624999999999999</v>
      </c>
      <c r="P399" s="29"/>
      <c r="Q399" s="35">
        <f t="shared" ca="1" si="96"/>
        <v>6.4721064773038961E-3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160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672</v>
      </c>
      <c r="L405" s="37"/>
      <c r="M405" s="37"/>
      <c r="N405" s="37"/>
      <c r="O405" s="37"/>
      <c r="P405" s="37"/>
      <c r="Q405" s="38">
        <f ca="1">IFERROR(SUM(Q393:Q404),"")</f>
        <v>0.10508321758841509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326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1369.2000000000003</v>
      </c>
      <c r="L406" s="41"/>
      <c r="M406" s="41"/>
      <c r="N406" s="41"/>
      <c r="O406" s="41"/>
      <c r="P406" s="41"/>
      <c r="Q406" s="42">
        <f ca="1">IFERROR(Q392+Q405,"")</f>
        <v>0.17730543981063729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P396" sqref="P39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 t="s">
        <v>27</v>
      </c>
      <c r="M395" s="33"/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2"/>
        <v>0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420.00000000000006</v>
      </c>
      <c r="L405" s="37"/>
      <c r="M405" s="37"/>
      <c r="N405" s="37"/>
      <c r="O405" s="37"/>
      <c r="P405" s="37"/>
      <c r="Q405" s="38">
        <f ca="1">IFERROR(SUM(Q393:Q404),"")</f>
        <v>3.2638888888888828E-2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192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777</v>
      </c>
      <c r="L406" s="41"/>
      <c r="M406" s="41"/>
      <c r="N406" s="41"/>
      <c r="O406" s="41"/>
      <c r="P406" s="41"/>
      <c r="Q406" s="42">
        <f ca="1">IFERROR(Q392+Q405,"")</f>
        <v>0.10625000000000001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2" activePane="bottomLeft" state="frozen"/>
      <selection pane="bottomLeft" activeCell="L400" sqref="L40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0.58494432870065793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0.64952766203399115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0</v>
      </c>
      <c r="I401" s="135">
        <f>IFERROR(IF($D401="","",VLOOKUP($D401,Cadastro!$C$4:$G$7,5,FALSE)),"")</f>
        <v>0.6</v>
      </c>
      <c r="J401" s="136">
        <f t="shared" si="94"/>
        <v>0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760.2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321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1348.2</v>
      </c>
      <c r="L406" s="41"/>
      <c r="M406" s="41"/>
      <c r="N406" s="41"/>
      <c r="O406" s="63"/>
      <c r="P406" s="63"/>
      <c r="Q406" s="42">
        <f ca="1">IFERROR(Q392+Q405,"")</f>
        <v>0.70924988425621338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2026-08-16T09:06:51Z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