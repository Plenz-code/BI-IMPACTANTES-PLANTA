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4" documentId="13_ncr:1_{A6DBCFB4-28D9-4249-9038-216934055CA6}" xr6:coauthVersionLast="47" xr6:coauthVersionMax="47" xr10:uidLastSave="{BCC1E01C-E808-444E-A7B6-50B352A7135A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<sst xmlns="http://schemas.openxmlformats.org/spreadsheetml/2006/main" count="8450" uniqueCount="395">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</sst>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3" fillId="12" borderId="3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0</v>
      </c>
      <c r="F22" s="19">
        <f>IFERROR('Linha 3'!S514,"")</f>
        <v>0</v>
      </c>
      <c r="G22" s="20">
        <f t="shared" si="0"/>
        <v>598340</v>
      </c>
      <c r="H22" s="21">
        <f>IFERROR('Linha 1'!T514+'Linha 2'!T514+'Linha 3'!T514,0)</f>
        <v>86.160960000000003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11538670</v>
      </c>
      <c r="F35" s="30">
        <f t="shared" si="2"/>
        <v>28115430</v>
      </c>
      <c r="G35" s="30">
        <f t="shared" si="2"/>
        <v>62419840</v>
      </c>
      <c r="H35" s="31">
        <f t="shared" si="2"/>
        <v>5031.6551250601888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O501" sqref="O50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64" t="s">
        <v>28</v>
      </c>
      <c r="I489" s="164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64"/>
      <c r="I491" s="164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282</v>
      </c>
      <c r="G514" s="1">
        <f>G500+G513</f>
        <v>1410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68" activePane="bottomLeft" state="frozen"/>
      <selection pane="bottomLeft" activeCell="S501" sqref="S501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0.66314918981515802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0.80203807870404575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0.88676030092626856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142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605.20000000000005</v>
      </c>
      <c r="L514" s="76"/>
      <c r="M514" s="76"/>
      <c r="N514" s="76"/>
      <c r="O514" s="76"/>
      <c r="P514" s="76"/>
      <c r="Q514" s="77">
        <f ca="1">IFERROR(Q500+Q513,"")</f>
        <v>9.1666666666666619E-2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G500" sqref="G50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0"/>
        <v>0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0"/>
        <v>0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0"/>
        <v>0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0"/>
        <v>0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0"/>
        <v>0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0</v>
      </c>
      <c r="I498" s="90">
        <f>IFERROR(IF($D498="","",VLOOKUP($D498,Cadastro!$C$4:$G$7,5,FALSE())),"")</f>
        <v>0.6</v>
      </c>
      <c r="J498" s="91">
        <f t="shared" si="120"/>
        <v>0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0</v>
      </c>
      <c r="I499" s="93">
        <f>IFERROR(IF($D499="","",VLOOKUP($D499,Cadastro!$C$4:$G$7,5,FALSE())),"")</f>
        <v>0.6</v>
      </c>
      <c r="J499" s="94">
        <f t="shared" si="120"/>
        <v>0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72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306.39999999999998</v>
      </c>
      <c r="L514" s="76"/>
      <c r="M514" s="76"/>
      <c r="N514" s="76"/>
      <c r="O514" s="76"/>
      <c r="P514" s="76"/>
      <c r="Q514" s="77">
        <f ca="1">IFERROR(Q500+Q513,"")</f>
        <v>9.5833333333333437E-2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G500" sqref="G500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2"/>
        <v>0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0</v>
      </c>
      <c r="I497" s="90">
        <f>IFERROR(IF($D497="","",VLOOKUP($D497,Cadastro!$C$4:$G$7,5,FALSE())),"")</f>
        <v>0.6</v>
      </c>
      <c r="J497" s="91">
        <f t="shared" si="122"/>
        <v>0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0</v>
      </c>
      <c r="I498" s="90">
        <f>IFERROR(IF($D498="","",VLOOKUP($D498,Cadastro!$C$4:$G$7,5,FALSE())),"")</f>
        <v>0.6</v>
      </c>
      <c r="J498" s="91">
        <f t="shared" si="122"/>
        <v>0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0</v>
      </c>
      <c r="I499" s="93">
        <f>IFERROR(IF($D499="","",VLOOKUP($D499,Cadastro!$C$4:$G$7,5,FALSE())),"")</f>
        <v>0.6</v>
      </c>
      <c r="J499" s="94">
        <f t="shared" si="122"/>
        <v>0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202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854</v>
      </c>
      <c r="L514" s="76"/>
      <c r="M514" s="76"/>
      <c r="N514" s="76"/>
      <c r="O514" s="135"/>
      <c r="P514" s="135"/>
      <c r="Q514" s="77">
        <f ca="1">IFERROR(Q500+Q513,"")</f>
        <v>8.4722222222221533E-2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2026-08-19T22:50:27Z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