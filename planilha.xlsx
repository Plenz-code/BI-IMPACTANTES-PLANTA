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665" documentId="13_ncr:1_{0A10D8D4-8450-4366-8075-B53B08E6B7EA}" xr6:coauthVersionLast="47" xr6:coauthVersionMax="47" xr10:uidLastSave="{5C6B1285-F1DD-4CEB-85B3-45DE7E47B02F}"/>
  <bookViews>
    <workbookView xWindow="-28920" yWindow="-6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H386" i="5" s="1"/>
  <c r="J386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H386" i="4" s="1"/>
  <c r="J38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5" i="6" l="1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<sst xmlns="http://schemas.openxmlformats.org/spreadsheetml/2006/main" count="6746" uniqueCount="349">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</sst>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16.285156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2353.6180215403101</v>
      </c>
      <c r="I35" s="97">
        <f>IFERROR(SUM(I4:I34),"")</f>
        <v>1557.8</v>
      </c>
      <c r="J35" s="130">
        <f>IFERROR(AVERAGE(J4:J34),"-")</f>
        <v>0.63436078708106625</v>
      </c>
      <c r="K35" s="157">
        <f>SUM(K4:K34)</f>
        <v>450.78</v>
      </c>
    </row>
  </sheetData>
  <sheetProtection algorithmName="SHA-512" hashValue="DtnU+LQrGD+BPOoeLpOmpXFPEIbdLh7ekyVkpmLJDrgyn+lbNSI9LzZ5/MFrI0390WqDhlu/mGfH5+hTx5yFzw==" saltValue="LYIs+5X94fEYBJVMCU/i9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F387" sqref="F38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111</v>
      </c>
      <c r="G392" s="36">
        <f>SUM(G380:G391)</f>
        <v>570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111</v>
      </c>
      <c r="G406" s="40">
        <f>G392+G405</f>
        <v>570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N385" sqref="N38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0.46811608796269866</v>
      </c>
      <c r="R53" s="46" t="s">
        <v>278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0.6070049768515875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0.69172719907380986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/>
      <c r="Q385" s="35">
        <f t="shared" ca="1" si="92"/>
        <v>6.3105324079515412E-3</v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100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420.00000000000006</v>
      </c>
      <c r="L392" s="37"/>
      <c r="M392" s="37"/>
      <c r="N392" s="37"/>
      <c r="O392" s="37"/>
      <c r="P392" s="37"/>
      <c r="Q392" s="38">
        <f ca="1">IFERROR(SUM(Q380:Q391),"")</f>
        <v>5.2143865741284823E-2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100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420.00000000000006</v>
      </c>
      <c r="L406" s="41"/>
      <c r="M406" s="41"/>
      <c r="N406" s="41"/>
      <c r="O406" s="41"/>
      <c r="P406" s="41"/>
      <c r="Q406" s="42">
        <f ca="1">IFERROR(Q392+Q405,"")</f>
        <v>5.2143865741284823E-2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O384" sqref="O38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88"/>
        <v>0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318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/>
      <c r="Q384" s="30">
        <f t="shared" ca="1" si="90"/>
        <v>6.3105324079515412E-3</v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88"/>
        <v>0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88"/>
        <v>0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53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193.2</v>
      </c>
      <c r="L392" s="37"/>
      <c r="M392" s="37"/>
      <c r="N392" s="37"/>
      <c r="O392" s="37"/>
      <c r="P392" s="37"/>
      <c r="Q392" s="38">
        <f ca="1">IFERROR(SUM(Q380:Q391),"")</f>
        <v>5.3532754630173818E-2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53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193.2</v>
      </c>
      <c r="L406" s="41"/>
      <c r="M406" s="41"/>
      <c r="N406" s="41"/>
      <c r="O406" s="41"/>
      <c r="P406" s="41"/>
      <c r="Q406" s="42">
        <f ca="1">IFERROR(Q392+Q405,"")</f>
        <v>5.3532754630173818E-2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53" activePane="bottomLeft" state="frozen"/>
      <selection pane="bottomLeft" activeCell="N384" sqref="N38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/>
      <c r="Q384" s="30">
        <f t="shared" ca="1" si="92"/>
        <v>6.3105324079515412E-3</v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71.400000000000006</v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100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420</v>
      </c>
      <c r="L392" s="37"/>
      <c r="M392" s="37"/>
      <c r="N392" s="37"/>
      <c r="O392" s="61"/>
      <c r="P392" s="61"/>
      <c r="Q392" s="38">
        <f ca="1">IFERROR(SUM(Q380:Q391),"")</f>
        <v>4.4504976852395906E-2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100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420</v>
      </c>
      <c r="L406" s="41"/>
      <c r="M406" s="41"/>
      <c r="N406" s="41"/>
      <c r="O406" s="63"/>
      <c r="P406" s="63"/>
      <c r="Q406" s="42">
        <f ca="1">IFERROR(Q392+Q405,"")</f>
        <v>4.4504976852395906E-2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2026-08-15T18:09:23Z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