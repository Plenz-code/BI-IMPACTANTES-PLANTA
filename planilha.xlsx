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75" documentId="8_{C51EB6CB-002B-4D6B-B68F-DDEBDB4460C0}" xr6:coauthVersionLast="47" xr6:coauthVersionMax="47" xr10:uidLastSave="{422A8A03-9424-4F0E-AE51-2E45DDD8B616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303" i="5" l="1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G28" i="6"/>
  <c r="M648" i="6"/>
  <c r="G27" i="6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487" i="3" l="1"/>
  <c r="M838" i="4"/>
  <c r="M703" i="6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<sst xmlns="http://schemas.openxmlformats.org/spreadsheetml/2006/main" count="1209" uniqueCount="237">
  <si>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</si>
  <si>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</si>
  <si>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</si>
  <si>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</si>
  <si>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</si>
  <si>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</si>
  <si>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</si>
  <si>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</si>
  <si>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</si>
  <si>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</si>
  <si>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</si>
  <si>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</si>
  <si>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</si>
  <si>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</si>
  <si>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</si>
  <si>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</si>
  <si>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</si>
  <si>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</si>
  <si>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</si>
  <si>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</si>
  <si>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</si>
  <si>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</si>
  <si>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</si>
  <si>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</si>
  <si>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</si>
  <si>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</si>
  <si>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</si>
  <si>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</si>
  <si>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</si>
  <si>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</si>
  <si>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</si>
  <si>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</si>
  <si>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</si>
  <si>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</si>
  <si>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</si>
  <si>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</si>
  <si>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</si>
  <si>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</si>
  <si>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</si>
  <si>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</si>
  <si>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</si>
  <si>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</si>
  <si>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</si>
  <si>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</si>
  <si>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</si>
  <si>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</si>
  <si>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</si>
  <si>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</si>
  <si>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</si>
  <si>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</si>
  <si>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</si>
  <si>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</si>
  <si>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</si>
  <si>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</si>
  <si>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</si>
  <si>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</si>
  <si>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</si>
  <si>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</si>
  <si>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</si>
  <si>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</si>
  <si>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</si>
  <si>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</si>
  <si>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</si>
  <si>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</si>
  <si>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</si>
  <si>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</si>
  <si>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</si>
  <si>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</si>
  <si>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</si>
  <si>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</si>
  <si>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</si>
  <si>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</si>
  <si>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</si>
  <si>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</si>
  <si>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</si>
  <si>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</si>
  <si>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</si>
  <si>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</si>
  <si>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</si>
  <si>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</si>
  <si>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</si>
  <si>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</si>
  <si>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</si>
  <si>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</si>
  <si>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</si>
  <si>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</si>
  <si>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</si>
  <si>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</si>
  <si>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</si>
  <si>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</si>
  <si>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</si>
  <si>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</si>
  <si>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</si>
  <si>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</si>
  <si>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</si>
  <si>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</si>
  <si>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</si>
  <si>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</si>
  <si>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</si>
  <si>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</si>
  <si>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</si>
  <si>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</si>
  <si>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</si>
  <si>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</si>
  <si>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</si>
  <si>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</si>
  <si>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</si>
  <si>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</si>
  <si>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</si>
  <si>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</si>
  <si>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</si>
  <si>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</si>
  <si>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</si>
  <si>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</si>
  <si>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</si>
  <si>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</si>
  <si>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</si>
  <si>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</si>
  <si>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</si>
  <si>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</si>
  <si>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</si>
  <si>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</si>
  <si>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</si>
  <si>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</si>
  <si>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</si>
  <si>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</si>
  <si>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</si>
  <si>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</si>
  <si>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</si>
  <si>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</si>
  <si>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</si>
  <si>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</si>
  <si>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</si>
  <si>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</si>
  <si>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</si>
  <si>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</si>
  <si>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</si>
  <si>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</si>
  <si>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</si>
  <si>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</si>
  <si>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</si>
  <si>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</si>
  <si>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</si>
  <si>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</si>
  <si>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</si>
  <si>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</si>
  <si>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</si>
  <si>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</si>
  <si>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</si>
  <si>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</si>
  <si>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</si>
  <si>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</si>
  <si>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</si>
  <si>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</si>
  <si>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</si>
  <si>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</si>
  <si>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</si>
  <si>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</si>
  <si>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</si>
  <si>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</si>
  <si>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</si>
  <si>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</si>
  <si>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</si>
  <si>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</si>
  <si>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</si>
  <si>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</si>
  <si>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</si>
  <si>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</si>
  <si>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</si>
  <si>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</si>
  <si>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</si>
  <si>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</si>
  <si>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</si>
  <si>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</si>
  <si>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</si>
  <si>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</si>
  <si>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</si>
  <si>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</si>
  <si>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</si>
  <si>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</si>
  <si>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</si>
  <si>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</si>
  <si>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</si>
  <si>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</si>
  <si>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</si>
  <si>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</si>
  <si>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</si>
  <si>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</si>
  <si>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</si>
  <si>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</si>
  <si>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</si>
  <si>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</si>
  <si>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</si>
  <si>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</si>
  <si>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</si>
  <si>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</si>
  <si>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</si>
  <si>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</si>
  <si>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</si>
  <si>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</si>
  <si>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</si>
  <si>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</si>
  <si>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</si>
  <si>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</si>
  <si>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</si>
  <si>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</si>
  <si>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</si>
  <si>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</si>
  <si>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</si>
  <si>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</si>
  <si>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</si>
  <si>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</si>
  <si>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</si>
  <si>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</si>
  <si>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</si>
  <si>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</si>
  <si>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</si>
  <si>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</si>
  <si>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</si>
  <si>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</si>
  <si>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</si>
  <si>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</si>
  <si>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</si>
  <si>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</si>
  <si>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</si>
  <si>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</si>
  <si>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</si>
  <si>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</si>
  <si>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</si>
  <si>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</si>
  <si>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</si>
  <si>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</si>
  <si>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</si>
  <si>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</si>
  <si>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</si>
  <si>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</si>
  <si>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00:020:00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</si>
</sst>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 x14ac:dyDescent="0.25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0" t="s">
        <v>9</v>
      </c>
      <c r="B35" s="110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3" sqref="K73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 x14ac:dyDescent="0.25">
      <c r="H2" s="112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 x14ac:dyDescent="0.25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 x14ac:dyDescent="0.25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 x14ac:dyDescent="0.25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 x14ac:dyDescent="0.25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 x14ac:dyDescent="0.25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 x14ac:dyDescent="0.25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 x14ac:dyDescent="0.25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 x14ac:dyDescent="0.25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 x14ac:dyDescent="0.25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 x14ac:dyDescent="0.25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 x14ac:dyDescent="0.25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 x14ac:dyDescent="0.25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 x14ac:dyDescent="0.25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 x14ac:dyDescent="0.25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 x14ac:dyDescent="0.25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 x14ac:dyDescent="0.25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 x14ac:dyDescent="0.25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 x14ac:dyDescent="0.25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 x14ac:dyDescent="0.25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 x14ac:dyDescent="0.25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 x14ac:dyDescent="0.25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 x14ac:dyDescent="0.25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 x14ac:dyDescent="0.25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 x14ac:dyDescent="0.25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 x14ac:dyDescent="0.25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 x14ac:dyDescent="0.25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 x14ac:dyDescent="0.25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 x14ac:dyDescent="0.25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 x14ac:dyDescent="0.25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 x14ac:dyDescent="0.25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 x14ac:dyDescent="0.25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 x14ac:dyDescent="0.25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 x14ac:dyDescent="0.25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 x14ac:dyDescent="0.25">
      <c r="H56" s="112"/>
      <c r="I56" s="16"/>
      <c r="J56" s="16"/>
      <c r="K56" s="16" t="s">
        <v>202</v>
      </c>
      <c r="L56" s="16"/>
      <c r="M56" s="16"/>
    </row>
    <row r="57" spans="1:13" ht="15" customHeight="1" x14ac:dyDescent="0.25">
      <c r="H57" s="112"/>
      <c r="I57" s="17"/>
      <c r="J57" s="17"/>
      <c r="K57" s="17" t="s">
        <v>50</v>
      </c>
      <c r="L57" s="17"/>
      <c r="M57" s="17"/>
    </row>
    <row r="58" spans="1:13" ht="15" customHeight="1" x14ac:dyDescent="0.25">
      <c r="H58" s="112"/>
      <c r="I58" s="16"/>
      <c r="J58" s="16"/>
      <c r="K58" s="16" t="s">
        <v>203</v>
      </c>
      <c r="L58" s="16"/>
      <c r="M58" s="16"/>
    </row>
    <row r="59" spans="1:13" ht="15" customHeight="1" x14ac:dyDescent="0.25">
      <c r="H59" s="112"/>
      <c r="I59" s="17"/>
      <c r="J59" s="17"/>
      <c r="K59" s="17" t="s">
        <v>204</v>
      </c>
      <c r="L59" s="17"/>
      <c r="M59" s="17"/>
    </row>
    <row r="60" spans="1:13" ht="15" customHeight="1" x14ac:dyDescent="0.25">
      <c r="H60" s="112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2"/>
      <c r="I61" s="17"/>
      <c r="J61" s="17"/>
      <c r="K61" s="17" t="s">
        <v>205</v>
      </c>
      <c r="L61" s="17"/>
      <c r="M61" s="17"/>
    </row>
    <row r="62" spans="1:13" ht="15" customHeight="1" x14ac:dyDescent="0.25">
      <c r="H62" s="112"/>
      <c r="I62" s="16"/>
      <c r="J62" s="16"/>
      <c r="K62" s="16" t="s">
        <v>206</v>
      </c>
      <c r="L62" s="16"/>
      <c r="M62" s="16"/>
    </row>
    <row r="63" spans="1:13" ht="15" customHeight="1" x14ac:dyDescent="0.25">
      <c r="H63" s="112"/>
      <c r="I63" s="17"/>
      <c r="J63" s="17"/>
      <c r="K63" s="17" t="s">
        <v>207</v>
      </c>
      <c r="L63" s="17"/>
      <c r="M63" s="17"/>
    </row>
    <row r="64" spans="1:13" ht="15" customHeight="1" x14ac:dyDescent="0.25">
      <c r="H64" s="112"/>
      <c r="I64" s="16"/>
      <c r="J64" s="16"/>
      <c r="K64" s="16" t="s">
        <v>208</v>
      </c>
      <c r="L64" s="16"/>
      <c r="M64" s="16"/>
    </row>
    <row r="65" spans="8:13" ht="15" customHeight="1" x14ac:dyDescent="0.25">
      <c r="H65" s="112"/>
      <c r="I65" s="17"/>
      <c r="J65" s="17"/>
      <c r="K65" s="17" t="s">
        <v>209</v>
      </c>
      <c r="L65" s="17"/>
      <c r="M65" s="17"/>
    </row>
    <row r="66" spans="8:13" ht="15" customHeight="1" x14ac:dyDescent="0.25">
      <c r="H66" s="112"/>
      <c r="I66" s="16"/>
      <c r="J66" s="16"/>
      <c r="K66" s="16" t="s">
        <v>210</v>
      </c>
      <c r="L66" s="16"/>
      <c r="M66" s="16"/>
    </row>
    <row r="67" spans="8:13" ht="15" customHeight="1" x14ac:dyDescent="0.25">
      <c r="H67" s="112"/>
      <c r="I67" s="17"/>
      <c r="J67" s="17"/>
      <c r="K67" s="17" t="s">
        <v>211</v>
      </c>
      <c r="L67" s="17"/>
      <c r="M67" s="17"/>
    </row>
    <row r="68" spans="8:13" ht="15" customHeight="1" x14ac:dyDescent="0.25">
      <c r="H68" s="112"/>
      <c r="I68" s="16"/>
      <c r="J68" s="16"/>
      <c r="K68" s="16" t="s">
        <v>212</v>
      </c>
      <c r="L68" s="16"/>
      <c r="M68" s="16"/>
    </row>
    <row r="69" spans="8:13" ht="15" customHeight="1" x14ac:dyDescent="0.25">
      <c r="H69" s="112"/>
      <c r="I69" s="17"/>
      <c r="J69" s="17"/>
      <c r="K69" s="17" t="s">
        <v>213</v>
      </c>
      <c r="L69" s="17"/>
      <c r="M69" s="17"/>
    </row>
    <row r="70" spans="8:13" ht="15" customHeight="1" x14ac:dyDescent="0.25">
      <c r="H70" s="112"/>
      <c r="I70" s="16"/>
      <c r="J70" s="16"/>
      <c r="K70" s="16" t="s">
        <v>214</v>
      </c>
      <c r="L70" s="16"/>
      <c r="M70" s="16"/>
    </row>
    <row r="71" spans="8:13" ht="15" customHeight="1" x14ac:dyDescent="0.25">
      <c r="H71" s="112"/>
      <c r="I71" s="17"/>
      <c r="J71" s="17"/>
      <c r="K71" s="17" t="s">
        <v>215</v>
      </c>
      <c r="L71" s="17"/>
      <c r="M71" s="17"/>
    </row>
    <row r="72" spans="8:13" ht="15" customHeight="1" x14ac:dyDescent="0.25">
      <c r="H72" s="112"/>
      <c r="I72" s="16"/>
      <c r="J72" s="16"/>
      <c r="K72" s="16" t="s">
        <v>216</v>
      </c>
      <c r="L72" s="16"/>
      <c r="M72" s="16"/>
    </row>
    <row r="73" spans="8:13" ht="15" customHeight="1" x14ac:dyDescent="0.25">
      <c r="H73" s="112"/>
      <c r="I73" s="17"/>
      <c r="J73" s="17"/>
      <c r="K73" s="17"/>
      <c r="L73" s="17"/>
      <c r="M73" s="17"/>
    </row>
    <row r="74" spans="8:13" ht="15" customHeight="1" x14ac:dyDescent="0.25">
      <c r="H74" s="112"/>
      <c r="I74" s="16"/>
      <c r="J74" s="16"/>
      <c r="K74" s="16"/>
      <c r="L74" s="16"/>
      <c r="M74" s="16"/>
    </row>
    <row r="75" spans="8:13" ht="15" customHeight="1" x14ac:dyDescent="0.25">
      <c r="H75" s="112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77" activePane="bottomLeft" state="frozen"/>
      <selection pane="bottomLeft" activeCell="M528" sqref="M528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/>
      <c r="I2" s="26"/>
      <c r="J2" s="26"/>
      <c r="K2" s="29"/>
      <c r="L2" s="29"/>
      <c r="M2" s="30" t="str">
        <f ca="1">IFERROR(IF(K2="","",IF(L2="",MOD(NOW()-K2,1),IF(L2&gt;=K2,L2-K2,L2+1-K2))),"")</f>
        <v/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116</v>
      </c>
      <c r="G14" s="36">
        <f>SUM(G2:G13)</f>
        <v>580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116</v>
      </c>
      <c r="G28" s="40">
        <f>G14+G27</f>
        <v>580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232</v>
      </c>
      <c r="O28" s="43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5" t="s">
        <v>231</v>
      </c>
      <c r="B811" s="106"/>
      <c r="C811" s="106"/>
      <c r="D811" s="106"/>
      <c r="E811" s="10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90" zoomScaleNormal="90" workbookViewId="0">
      <pane ySplit="1" topLeftCell="A295" activePane="bottomLeft" state="frozen"/>
      <selection pane="bottomLeft" activeCell="G306" sqref="G306:H306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31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79</v>
      </c>
      <c r="G14" s="36">
        <f>SUM(G2:G13)</f>
        <v>331.8</v>
      </c>
      <c r="H14" s="37"/>
      <c r="I14" s="37"/>
      <c r="J14" s="37"/>
      <c r="K14" s="37"/>
      <c r="L14" s="37"/>
      <c r="M14" s="38">
        <f ca="1">IFERROR(SUM(M2:M13),"")</f>
        <v>0.14930555555555552</v>
      </c>
      <c r="N14" s="36" t="s">
        <v>229</v>
      </c>
      <c r="O14" s="77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79</v>
      </c>
      <c r="G28" s="40">
        <f>G14+G27</f>
        <v>331.8</v>
      </c>
      <c r="H28" s="41"/>
      <c r="I28" s="41"/>
      <c r="J28" s="41"/>
      <c r="K28" s="41"/>
      <c r="L28" s="41"/>
      <c r="M28" s="42">
        <f ca="1">IFERROR(M14+M27,"")</f>
        <v>0.14930555555555552</v>
      </c>
      <c r="N28" s="40" t="s">
        <v>232</v>
      </c>
      <c r="O28" s="82">
        <f>O14+O27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 x14ac:dyDescent="0.25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 x14ac:dyDescent="0.25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4" zoomScale="70" zoomScaleNormal="70" workbookViewId="0">
      <selection activeCell="M305" sqref="M305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48</v>
      </c>
      <c r="G14" s="36">
        <f>SUM(G2:G13)</f>
        <v>201.6</v>
      </c>
      <c r="H14" s="37"/>
      <c r="I14" s="37"/>
      <c r="J14" s="37"/>
      <c r="K14" s="37"/>
      <c r="L14" s="37"/>
      <c r="M14" s="38">
        <f ca="1">IFERROR(SUM(M2:M13),"")</f>
        <v>3.4722222222222099E-3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48</v>
      </c>
      <c r="G28" s="40">
        <f>G14+G27</f>
        <v>201.6</v>
      </c>
      <c r="H28" s="41"/>
      <c r="I28" s="41"/>
      <c r="J28" s="41"/>
      <c r="K28" s="41"/>
      <c r="L28" s="41"/>
      <c r="M28" s="42">
        <f ca="1">IFERROR(M14+M27,"")</f>
        <v>3.4722222222222099E-3</v>
      </c>
      <c r="N28" s="40" t="s">
        <v>232</v>
      </c>
      <c r="O28" s="43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">
        <v>236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0" t="str">
        <f t="shared" ca="1" si="67"/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C29:C900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D296:D900 D29:D294 D2:D13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70" zoomScaleNormal="70" workbookViewId="0">
      <pane ySplit="1" topLeftCell="A295" activePane="bottomLeft" state="frozen"/>
      <selection pane="bottomLeft" activeCell="H571" sqref="H571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99" t="s">
        <v>228</v>
      </c>
      <c r="B14" s="100"/>
      <c r="C14" s="100"/>
      <c r="D14" s="100"/>
      <c r="E14" s="101"/>
      <c r="F14" s="36">
        <f>SUM(F2:F13)</f>
        <v>100</v>
      </c>
      <c r="G14" s="36">
        <f>SUM(G2:G13)</f>
        <v>420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/>
    </row>
    <row r="15" spans="1:15" ht="15" customHeight="1" x14ac:dyDescent="0.25">
      <c r="A15" s="69">
        <v>46235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99" t="s">
        <v>230</v>
      </c>
      <c r="B27" s="100"/>
      <c r="C27" s="100"/>
      <c r="D27" s="100"/>
      <c r="E27" s="101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229</v>
      </c>
      <c r="O27" s="39"/>
    </row>
    <row r="28" spans="1:15" ht="18" customHeight="1" x14ac:dyDescent="0.25">
      <c r="A28" s="102" t="s">
        <v>231</v>
      </c>
      <c r="B28" s="103"/>
      <c r="C28" s="103"/>
      <c r="D28" s="103"/>
      <c r="E28" s="104"/>
      <c r="F28" s="40">
        <f>F14+F27</f>
        <v>100</v>
      </c>
      <c r="G28" s="40">
        <f>G14+G27</f>
        <v>420</v>
      </c>
      <c r="H28" s="41"/>
      <c r="I28" s="41"/>
      <c r="J28" s="41"/>
      <c r="K28" s="63"/>
      <c r="L28" s="63"/>
      <c r="M28" s="42">
        <f ca="1">IFERROR(M14+M27,"")</f>
        <v>3.8888888888888917E-2</v>
      </c>
      <c r="N28" s="40" t="s">
        <v>232</v>
      </c>
      <c r="O28" s="48">
        <f>IFERROR(O14+O27,"")</f>
        <v>0</v>
      </c>
    </row>
    <row r="29" spans="1:15" ht="15" customHeight="1" x14ac:dyDescent="0.25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 x14ac:dyDescent="0.25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 x14ac:dyDescent="0.25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 x14ac:dyDescent="0.25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 x14ac:dyDescent="0.25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 x14ac:dyDescent="0.25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 x14ac:dyDescent="0.25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 x14ac:dyDescent="0.25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 x14ac:dyDescent="0.25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 x14ac:dyDescent="0.25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 x14ac:dyDescent="0.25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 x14ac:dyDescent="0.25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 x14ac:dyDescent="0.25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 x14ac:dyDescent="0.25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 x14ac:dyDescent="0.25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 x14ac:dyDescent="0.25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 x14ac:dyDescent="0.25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 x14ac:dyDescent="0.25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 x14ac:dyDescent="0.25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 x14ac:dyDescent="0.25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 x14ac:dyDescent="0.25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 x14ac:dyDescent="0.25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>
        <v>6.9444444444444441E-3</v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6.9444444444444441E-3</v>
      </c>
      <c r="N230" s="36" t="s">
        <v>229</v>
      </c>
      <c r="O230" s="39"/>
    </row>
    <row r="231" spans="1:15" ht="15" customHeight="1" x14ac:dyDescent="0.25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 x14ac:dyDescent="0.25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6.9444444444444441E-3</v>
      </c>
      <c r="N244" s="40" t="s">
        <v>232</v>
      </c>
      <c r="O244" s="48">
        <f>IFERROR(O230+O243,"")</f>
        <v>0</v>
      </c>
    </row>
    <row r="245" spans="1:15" ht="15" customHeight="1" x14ac:dyDescent="0.25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 x14ac:dyDescent="0.25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 x14ac:dyDescent="0.25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 x14ac:dyDescent="0.25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 x14ac:dyDescent="0.25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 x14ac:dyDescent="0.25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 x14ac:dyDescent="0.25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 x14ac:dyDescent="0.25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 x14ac:dyDescent="0.25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 x14ac:dyDescent="0.25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 x14ac:dyDescent="0.25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 x14ac:dyDescent="0.25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 x14ac:dyDescent="0.25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 x14ac:dyDescent="0.25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 x14ac:dyDescent="0.25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 x14ac:dyDescent="0.25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 x14ac:dyDescent="0.25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 x14ac:dyDescent="0.25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 x14ac:dyDescent="0.25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 x14ac:dyDescent="0.25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 x14ac:dyDescent="0.25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 x14ac:dyDescent="0.25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 x14ac:dyDescent="0.25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 x14ac:dyDescent="0.25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99" t="s">
        <v>230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 x14ac:dyDescent="0.25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C366:C900 C29:C364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D29:D900 C365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2026-08-01T19:20:38Z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