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353" documentId="13_ncr:1_{9DFDFEE8-78F7-4C04-B87C-99924EE6CC37}" xr6:coauthVersionLast="47" xr6:coauthVersionMax="47" xr10:uidLastSave="{C8DE2EDB-BCAF-4B05-82D5-2D99C86D0AAB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<sst xmlns="http://schemas.openxmlformats.org/spreadsheetml/2006/main" count="4782" uniqueCount="1313">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</sst>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56" sqref="F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34" activePane="bottomLeft" state="frozen"/>
      <selection pane="bottomLeft" activeCell="G56" sqref="G5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/>
      <c r="H56" s="120" t="str">
        <f>IFERROR(IF($G56="","",$G56*$S$68/$G$68/Cadastro!$E$33),"")</f>
        <v/>
      </c>
      <c r="I56" s="121">
        <f>IFERROR(IF($D56="","",VLOOKUP($D56,Cadastro!$C$4:$G$20,5,FALSE())),"")</f>
        <v>0.6</v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34" activePane="bottomLeft" state="frozen"/>
      <selection pane="bottomLeft" activeCell="P57" sqref="P5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/>
      <c r="H56" s="120" t="str">
        <f>IFERROR(IF($G56="","",$G56*$S$68/$G$68/Cadastro!$E$33),"")</f>
        <v/>
      </c>
      <c r="I56" s="121">
        <f>IFERROR(IF($D56="","",VLOOKUP($D56,Cadastro!$C$4:$G$20,5,FALSE())),"")</f>
        <v>0.6</v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5.5555555555555913E-3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5.5555555555555913E-3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4" activePane="bottomLeft" state="frozen"/>
      <selection pane="bottomLeft" activeCell="G56" sqref="G5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/>
      <c r="H56" s="120" t="str">
        <f>IFERROR(IF($G56="","",$G56*$S$68/$G$68/Cadastro!$E$33),"")</f>
        <v/>
      </c>
      <c r="I56" s="121">
        <f>IFERROR(IF($D56="","",VLOOKUP($D56,Cadastro!$C$4:$G$20,5,FALSE())),"")</f>
        <v>0.6</v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2026-09-03T11:50:37Z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