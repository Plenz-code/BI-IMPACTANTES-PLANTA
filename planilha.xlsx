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254" documentId="13_ncr:1_{0A10D8D4-8450-4366-8075-B53B08E6B7EA}" xr6:coauthVersionLast="47" xr6:coauthVersionMax="47" xr10:uidLastSave="{A63E0958-4827-437F-B40C-D0FEAC68C5AA}"/>
  <bookViews>
    <workbookView xWindow="-28920" yWindow="-60" windowWidth="29040" windowHeight="1572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7" i="6"/>
  <c r="J367" i="6" s="1"/>
  <c r="H368" i="6"/>
  <c r="J368" i="6" s="1"/>
  <c r="H369" i="6"/>
  <c r="J369" i="6" s="1"/>
  <c r="H370" i="6"/>
  <c r="J370" i="6" s="1"/>
  <c r="H371" i="6"/>
  <c r="J371" i="6" s="1"/>
  <c r="H372" i="6"/>
  <c r="J372" i="6" s="1"/>
  <c r="H373" i="6"/>
  <c r="J373" i="6" s="1"/>
  <c r="H374" i="6"/>
  <c r="J374" i="6" s="1"/>
  <c r="H375" i="6"/>
  <c r="J375" i="6" s="1"/>
  <c r="H376" i="6"/>
  <c r="J376" i="6" s="1"/>
  <c r="H377" i="6"/>
  <c r="J377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7" i="5"/>
  <c r="J367" i="5" s="1"/>
  <c r="H368" i="5"/>
  <c r="J368" i="5" s="1"/>
  <c r="H369" i="5"/>
  <c r="J369" i="5" s="1"/>
  <c r="H370" i="5"/>
  <c r="J370" i="5" s="1"/>
  <c r="H371" i="5"/>
  <c r="J371" i="5" s="1"/>
  <c r="H372" i="5"/>
  <c r="J372" i="5" s="1"/>
  <c r="H373" i="5"/>
  <c r="J373" i="5" s="1"/>
  <c r="H374" i="5"/>
  <c r="J374" i="5" s="1"/>
  <c r="H375" i="5"/>
  <c r="J375" i="5" s="1"/>
  <c r="H376" i="5"/>
  <c r="J376" i="5" s="1"/>
  <c r="H377" i="5"/>
  <c r="J377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7" i="4"/>
  <c r="J367" i="4" s="1"/>
  <c r="H368" i="4"/>
  <c r="J368" i="4" s="1"/>
  <c r="H369" i="4"/>
  <c r="J369" i="4" s="1"/>
  <c r="H370" i="4"/>
  <c r="J370" i="4" s="1"/>
  <c r="H371" i="4"/>
  <c r="J371" i="4" s="1"/>
  <c r="H372" i="4"/>
  <c r="J372" i="4" s="1"/>
  <c r="H373" i="4"/>
  <c r="J373" i="4" s="1"/>
  <c r="H374" i="4"/>
  <c r="J374" i="4" s="1"/>
  <c r="H375" i="4"/>
  <c r="J375" i="4" s="1"/>
  <c r="H376" i="4"/>
  <c r="J376" i="4" s="1"/>
  <c r="H377" i="4"/>
  <c r="J377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405" i="5"/>
  <c r="T405" i="5" s="1"/>
  <c r="J756" i="5"/>
  <c r="T756" i="5" s="1"/>
  <c r="J405" i="4"/>
  <c r="T405" i="4" s="1"/>
  <c r="J729" i="6"/>
  <c r="T729" i="6" s="1"/>
  <c r="J405" i="6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H366" i="6" s="1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H366" i="5" s="1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H366" i="4" s="1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J366" i="6" l="1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<sst xmlns="http://schemas.openxmlformats.org/spreadsheetml/2006/main" count="6519" uniqueCount="347">
  <si>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</si>
  <si>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</si>
  <si>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</si>
  <si>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</si>
  <si>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</si>
  <si>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</si>
  <si>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</si>
  <si>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</si>
  <si>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</si>
  <si>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</si>
  <si>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</si>
  <si>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</si>
  <si>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</si>
  <si>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</si>
  <si>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</si>
  <si>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</si>
  <si>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</si>
  <si>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</si>
  <si>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</si>
  <si>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</si>
  <si>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</si>
  <si>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</si>
  <si>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</si>
  <si>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</si>
  <si>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</si>
  <si>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</si>
  <si>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</si>
  <si>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</si>
  <si>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</si>
  <si>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</si>
  <si>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</si>
  <si>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</si>
  <si>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</si>
  <si>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</si>
  <si>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</si>
  <si>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</si>
  <si>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</si>
  <si>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</si>
  <si>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b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</si>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</sst>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G17" sqref="G17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186.62356853735207</v>
      </c>
      <c r="I15" s="96">
        <v>702</v>
      </c>
      <c r="J15" s="129">
        <f t="shared" si="1"/>
        <v>-1.7615827706107607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2315280</v>
      </c>
      <c r="D17" s="11">
        <f>IFERROR('Linha 1'!S379,"")</f>
        <v>622270</v>
      </c>
      <c r="E17" s="11">
        <f>IFERROR('Linha 2'!S379,"")</f>
        <v>332130</v>
      </c>
      <c r="F17" s="11">
        <f>IFERROR('Linha 3'!S379,"")</f>
        <v>885120</v>
      </c>
      <c r="G17" s="12">
        <f t="shared" si="0"/>
        <v>1839520</v>
      </c>
      <c r="H17" s="96">
        <f>IFERROR('Linha 1'!T379+'Linha 2'!T379+'Linha 3'!T379,0)</f>
        <v>386.29919999999993</v>
      </c>
      <c r="I17" s="96"/>
      <c r="J17" s="129">
        <f t="shared" si="1"/>
        <v>0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48674070</v>
      </c>
      <c r="D35" s="13">
        <f t="shared" si="2"/>
        <v>15846860</v>
      </c>
      <c r="E35" s="13">
        <f t="shared" si="2"/>
        <v>8105130</v>
      </c>
      <c r="F35" s="13">
        <f t="shared" si="2"/>
        <v>20706730</v>
      </c>
      <c r="G35" s="13">
        <f t="shared" si="2"/>
        <v>44658720</v>
      </c>
      <c r="H35" s="97">
        <f t="shared" si="2"/>
        <v>1373.4490685373516</v>
      </c>
      <c r="I35" s="97">
        <f>IFERROR(SUM(I4:I34),"")</f>
        <v>702</v>
      </c>
      <c r="J35" s="130">
        <f>IFERROR(AVERAGE(J4:J34),"-")</f>
        <v>-0.58719425687025362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 t="s">
        <v>38</v>
      </c>
      <c r="G5" s="95">
        <v>0.6</v>
      </c>
      <c r="J5" s="17" t="s">
        <v>24</v>
      </c>
      <c r="L5" s="17" t="s">
        <v>39</v>
      </c>
      <c r="M5" s="167"/>
      <c r="N5" s="17" t="s">
        <v>40</v>
      </c>
      <c r="O5" s="17" t="s">
        <v>41</v>
      </c>
      <c r="P5" s="17" t="s">
        <v>42</v>
      </c>
      <c r="Q5" s="17" t="s">
        <v>43</v>
      </c>
      <c r="R5" s="17" t="s">
        <v>44</v>
      </c>
    </row>
    <row r="6" spans="1:18" ht="15.75" customHeight="1">
      <c r="A6" s="16" t="s">
        <v>45</v>
      </c>
      <c r="C6" s="16" t="s">
        <v>46</v>
      </c>
      <c r="E6" s="92">
        <v>0.21</v>
      </c>
      <c r="G6" s="94">
        <v>0.55000000000000004</v>
      </c>
      <c r="J6" s="16" t="s">
        <v>25</v>
      </c>
      <c r="L6" s="16" t="s">
        <v>47</v>
      </c>
      <c r="M6" s="167"/>
      <c r="N6" s="16" t="s">
        <v>48</v>
      </c>
      <c r="O6" s="16" t="s">
        <v>49</v>
      </c>
      <c r="P6" s="16" t="s">
        <v>50</v>
      </c>
      <c r="Q6" s="16" t="s">
        <v>51</v>
      </c>
      <c r="R6" s="16" t="s">
        <v>52</v>
      </c>
    </row>
    <row r="7" spans="1:18" ht="15.75" customHeight="1">
      <c r="A7" s="17" t="s">
        <v>53</v>
      </c>
      <c r="C7" s="17" t="s">
        <v>54</v>
      </c>
      <c r="E7" s="93">
        <v>0.13</v>
      </c>
      <c r="G7" s="95">
        <v>0.55000000000000004</v>
      </c>
      <c r="J7" s="16" t="s">
        <v>26</v>
      </c>
      <c r="L7" s="17" t="s">
        <v>55</v>
      </c>
      <c r="M7" s="167"/>
      <c r="N7" s="17" t="s">
        <v>56</v>
      </c>
      <c r="O7" s="17" t="s">
        <v>57</v>
      </c>
      <c r="P7" s="17" t="s">
        <v>42</v>
      </c>
      <c r="Q7" s="17" t="s">
        <v>58</v>
      </c>
      <c r="R7" s="17" t="s">
        <v>59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60</v>
      </c>
      <c r="M8" s="167"/>
      <c r="N8" s="16" t="s">
        <v>61</v>
      </c>
      <c r="O8" s="16" t="s">
        <v>62</v>
      </c>
      <c r="P8" s="16" t="s">
        <v>50</v>
      </c>
      <c r="Q8" s="16" t="s">
        <v>63</v>
      </c>
      <c r="R8" s="16" t="s">
        <v>64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65</v>
      </c>
      <c r="M9" s="167"/>
      <c r="N9" s="17" t="s">
        <v>66</v>
      </c>
      <c r="O9" s="17" t="s">
        <v>67</v>
      </c>
      <c r="P9" s="17" t="s">
        <v>68</v>
      </c>
      <c r="Q9" s="17" t="s">
        <v>69</v>
      </c>
      <c r="R9" s="17" t="s">
        <v>70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71</v>
      </c>
      <c r="M10" s="167"/>
      <c r="N10" s="16" t="s">
        <v>72</v>
      </c>
      <c r="O10" s="16" t="s">
        <v>73</v>
      </c>
      <c r="P10" s="16" t="s">
        <v>74</v>
      </c>
      <c r="Q10" s="16" t="s">
        <v>75</v>
      </c>
      <c r="R10" s="16" t="s">
        <v>76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77</v>
      </c>
      <c r="M11" s="167"/>
      <c r="N11" s="17" t="s">
        <v>78</v>
      </c>
      <c r="O11" s="17" t="s">
        <v>79</v>
      </c>
      <c r="P11" s="17" t="s">
        <v>80</v>
      </c>
      <c r="Q11" s="17" t="s">
        <v>81</v>
      </c>
      <c r="R11" s="17" t="s">
        <v>82</v>
      </c>
    </row>
    <row r="12" spans="1:18" ht="15.75" customHeight="1">
      <c r="A12" s="16"/>
      <c r="C12" s="16"/>
      <c r="J12" s="16"/>
      <c r="L12" s="16" t="s">
        <v>83</v>
      </c>
      <c r="M12" s="167"/>
      <c r="N12" s="16" t="s">
        <v>84</v>
      </c>
      <c r="O12" s="16" t="s">
        <v>85</v>
      </c>
      <c r="P12" s="16" t="s">
        <v>69</v>
      </c>
      <c r="Q12" s="16" t="s">
        <v>86</v>
      </c>
      <c r="R12" s="16" t="s">
        <v>87</v>
      </c>
    </row>
    <row r="13" spans="1:18" ht="15.75" customHeight="1">
      <c r="A13" s="17"/>
      <c r="C13" s="17"/>
      <c r="J13" s="17"/>
      <c r="L13" s="17" t="s">
        <v>88</v>
      </c>
      <c r="M13" s="167"/>
      <c r="N13" s="17"/>
      <c r="O13" s="17" t="s">
        <v>89</v>
      </c>
      <c r="P13" s="17" t="s">
        <v>90</v>
      </c>
      <c r="Q13" s="17" t="s">
        <v>91</v>
      </c>
      <c r="R13" s="17" t="s">
        <v>92</v>
      </c>
    </row>
    <row r="14" spans="1:18" ht="15.75" customHeight="1">
      <c r="A14" s="16"/>
      <c r="C14" s="16"/>
      <c r="J14" s="16"/>
      <c r="L14" s="16" t="s">
        <v>93</v>
      </c>
      <c r="M14" s="167"/>
      <c r="N14" s="16" t="s">
        <v>94</v>
      </c>
      <c r="O14" s="16" t="s">
        <v>95</v>
      </c>
      <c r="P14" s="16" t="s">
        <v>96</v>
      </c>
      <c r="Q14" s="16" t="s">
        <v>97</v>
      </c>
      <c r="R14" s="16" t="s">
        <v>98</v>
      </c>
    </row>
    <row r="15" spans="1:18" ht="15.75" customHeight="1">
      <c r="A15" s="17"/>
      <c r="C15" s="17"/>
      <c r="J15" s="17"/>
      <c r="L15" s="17" t="s">
        <v>99</v>
      </c>
      <c r="M15" s="167"/>
      <c r="N15" s="17" t="s">
        <v>100</v>
      </c>
      <c r="O15" s="17" t="s">
        <v>101</v>
      </c>
      <c r="P15" s="17" t="s">
        <v>102</v>
      </c>
      <c r="Q15" s="17" t="s">
        <v>103</v>
      </c>
      <c r="R15" s="17" t="s">
        <v>104</v>
      </c>
    </row>
    <row r="16" spans="1:18" ht="15.75" customHeight="1">
      <c r="A16" s="16"/>
      <c r="C16" s="16"/>
      <c r="J16" s="16"/>
      <c r="L16" s="16" t="s">
        <v>105</v>
      </c>
      <c r="M16" s="167"/>
      <c r="N16" s="16" t="s">
        <v>106</v>
      </c>
      <c r="O16" s="16" t="s">
        <v>107</v>
      </c>
      <c r="P16" s="16" t="s">
        <v>108</v>
      </c>
      <c r="Q16" s="16" t="s">
        <v>109</v>
      </c>
      <c r="R16" s="16" t="s">
        <v>110</v>
      </c>
    </row>
    <row r="17" spans="1:18" ht="15.75" customHeight="1">
      <c r="A17" s="17"/>
      <c r="C17" s="17"/>
      <c r="J17" s="17"/>
      <c r="L17" s="17" t="s">
        <v>111</v>
      </c>
      <c r="M17" s="167"/>
      <c r="N17" s="17" t="s">
        <v>112</v>
      </c>
      <c r="O17" s="17" t="s">
        <v>113</v>
      </c>
      <c r="P17" s="17" t="s">
        <v>114</v>
      </c>
      <c r="Q17" s="17" t="s">
        <v>115</v>
      </c>
      <c r="R17" s="17" t="s">
        <v>116</v>
      </c>
    </row>
    <row r="18" spans="1:18" ht="15.75" customHeight="1">
      <c r="A18" s="16"/>
      <c r="C18" s="16"/>
      <c r="J18" s="16"/>
      <c r="L18" s="16" t="s">
        <v>117</v>
      </c>
      <c r="M18" s="167"/>
      <c r="N18" s="16" t="s">
        <v>118</v>
      </c>
      <c r="O18" s="16" t="s">
        <v>119</v>
      </c>
      <c r="P18" s="16" t="s">
        <v>120</v>
      </c>
      <c r="Q18" s="16" t="s">
        <v>121</v>
      </c>
      <c r="R18" s="16" t="s">
        <v>122</v>
      </c>
    </row>
    <row r="19" spans="1:18" ht="15.75" customHeight="1">
      <c r="A19" s="17"/>
      <c r="C19" s="17"/>
      <c r="J19" s="17"/>
      <c r="L19" s="17" t="s">
        <v>123</v>
      </c>
      <c r="M19" s="167"/>
      <c r="N19" s="17" t="s">
        <v>124</v>
      </c>
      <c r="O19" s="17" t="s">
        <v>125</v>
      </c>
      <c r="P19" s="17" t="s">
        <v>126</v>
      </c>
      <c r="Q19" s="17"/>
      <c r="R19" s="17" t="s">
        <v>127</v>
      </c>
    </row>
    <row r="20" spans="1:18" ht="15.75" customHeight="1">
      <c r="A20" s="16"/>
      <c r="C20" s="16"/>
      <c r="J20" s="16"/>
      <c r="L20" s="16" t="s">
        <v>128</v>
      </c>
      <c r="M20" s="167"/>
      <c r="N20" s="16"/>
      <c r="O20" s="16"/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7"/>
      <c r="N27" s="17"/>
      <c r="O27" s="17"/>
      <c r="P27" s="17" t="s">
        <v>139</v>
      </c>
      <c r="Q27" s="17"/>
      <c r="R27" s="17" t="s">
        <v>70</v>
      </c>
    </row>
    <row r="28" spans="1:18" ht="15.75" customHeight="1">
      <c r="A28" s="16"/>
      <c r="C28" s="16"/>
      <c r="J28" s="16"/>
      <c r="L28" s="16" t="s">
        <v>149</v>
      </c>
      <c r="M28" s="16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7"/>
      <c r="N34" s="16"/>
      <c r="O34" s="16"/>
      <c r="P34" s="16" t="s">
        <v>87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7"/>
      <c r="N57" s="17"/>
      <c r="O57" s="17"/>
      <c r="P57" s="17" t="s">
        <v>58</v>
      </c>
      <c r="Q57" s="17"/>
      <c r="R57" s="17" t="s">
        <v>216</v>
      </c>
    </row>
    <row r="58" spans="1:18" ht="15" customHeight="1">
      <c r="M58" s="167"/>
      <c r="N58" s="16"/>
      <c r="O58" s="16"/>
      <c r="P58" s="16" t="s">
        <v>217</v>
      </c>
      <c r="Q58" s="16"/>
      <c r="R58" s="16"/>
    </row>
    <row r="59" spans="1:18" ht="15" customHeight="1">
      <c r="M59" s="167"/>
      <c r="N59" s="17"/>
      <c r="O59" s="17"/>
      <c r="P59" s="17" t="s">
        <v>218</v>
      </c>
      <c r="Q59" s="17"/>
      <c r="R59" s="17"/>
    </row>
    <row r="60" spans="1:18" ht="15" customHeight="1">
      <c r="M60" s="167"/>
      <c r="N60" s="16"/>
      <c r="O60" s="16"/>
      <c r="P60" s="77" t="s">
        <v>113</v>
      </c>
      <c r="Q60" s="16"/>
      <c r="R60" s="16"/>
    </row>
    <row r="61" spans="1:18" ht="15" customHeight="1">
      <c r="M61" s="167"/>
      <c r="N61" s="17"/>
      <c r="O61" s="17"/>
      <c r="P61" s="17" t="s">
        <v>219</v>
      </c>
      <c r="Q61" s="17"/>
      <c r="R61" s="17"/>
    </row>
    <row r="62" spans="1:18" ht="15" customHeight="1">
      <c r="M62" s="167"/>
      <c r="N62" s="16"/>
      <c r="O62" s="16"/>
      <c r="P62" s="16" t="s">
        <v>220</v>
      </c>
      <c r="Q62" s="16"/>
      <c r="R62" s="16"/>
    </row>
    <row r="63" spans="1:18" ht="15" customHeight="1">
      <c r="M63" s="167"/>
      <c r="N63" s="17"/>
      <c r="O63" s="17"/>
      <c r="P63" s="17" t="s">
        <v>221</v>
      </c>
      <c r="Q63" s="17"/>
      <c r="R63" s="17"/>
    </row>
    <row r="64" spans="1:18" ht="15" customHeight="1">
      <c r="M64" s="167"/>
      <c r="N64" s="16"/>
      <c r="O64" s="16"/>
      <c r="P64" s="16" t="s">
        <v>222</v>
      </c>
      <c r="Q64" s="16"/>
      <c r="R64" s="16"/>
    </row>
    <row r="65" spans="13:18" ht="15" customHeight="1">
      <c r="M65" s="167"/>
      <c r="N65" s="17"/>
      <c r="O65" s="17"/>
      <c r="P65" s="17" t="s">
        <v>223</v>
      </c>
      <c r="Q65" s="17"/>
      <c r="R65" s="17"/>
    </row>
    <row r="66" spans="13:18" ht="15" customHeight="1">
      <c r="M66" s="167"/>
      <c r="N66" s="16"/>
      <c r="O66" s="16"/>
      <c r="P66" s="16" t="s">
        <v>224</v>
      </c>
      <c r="Q66" s="16"/>
      <c r="R66" s="16"/>
    </row>
    <row r="67" spans="13:18" ht="15" customHeight="1">
      <c r="M67" s="167"/>
      <c r="N67" s="17"/>
      <c r="O67" s="17"/>
      <c r="P67" s="17" t="s">
        <v>225</v>
      </c>
      <c r="Q67" s="17"/>
      <c r="R67" s="17"/>
    </row>
    <row r="68" spans="13:18" ht="15" customHeight="1">
      <c r="M68" s="167"/>
      <c r="N68" s="16"/>
      <c r="O68" s="16"/>
      <c r="P68" s="16" t="s">
        <v>226</v>
      </c>
      <c r="Q68" s="16"/>
      <c r="R68" s="16"/>
    </row>
    <row r="69" spans="13:18" ht="15" customHeight="1">
      <c r="M69" s="167"/>
      <c r="N69" s="17"/>
      <c r="O69" s="17"/>
      <c r="P69" s="17" t="s">
        <v>227</v>
      </c>
      <c r="Q69" s="17"/>
      <c r="R69" s="17"/>
    </row>
    <row r="70" spans="13:18" ht="15" customHeight="1">
      <c r="M70" s="167"/>
      <c r="N70" s="16"/>
      <c r="O70" s="16"/>
      <c r="P70" s="16" t="s">
        <v>228</v>
      </c>
      <c r="Q70" s="16"/>
      <c r="R70" s="16"/>
    </row>
    <row r="71" spans="13:18" ht="15" customHeight="1">
      <c r="M71" s="167"/>
      <c r="N71" s="17"/>
      <c r="O71" s="17"/>
      <c r="P71" s="17" t="s">
        <v>229</v>
      </c>
      <c r="Q71" s="17"/>
      <c r="R71" s="17"/>
    </row>
    <row r="72" spans="13:18" ht="15" customHeight="1">
      <c r="M72" s="167"/>
      <c r="N72" s="16"/>
      <c r="O72" s="16"/>
      <c r="P72" s="16" t="s">
        <v>230</v>
      </c>
      <c r="Q72" s="16"/>
      <c r="R72" s="16"/>
    </row>
    <row r="73" spans="13:18" ht="15" customHeight="1">
      <c r="M73" s="167"/>
      <c r="N73" s="17"/>
      <c r="O73" s="17"/>
      <c r="P73" s="17" t="s">
        <v>231</v>
      </c>
      <c r="Q73" s="17"/>
      <c r="R73" s="17"/>
    </row>
    <row r="74" spans="13:18" ht="15" customHeight="1">
      <c r="M74" s="167"/>
      <c r="N74" s="16"/>
      <c r="O74" s="16"/>
      <c r="P74" s="16" t="s">
        <v>232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47" activePane="bottomLeft" state="frozen"/>
      <selection pane="bottomLeft" activeCell="F368" sqref="F368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53</v>
      </c>
      <c r="D2" s="20" t="s">
        <v>46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75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53</v>
      </c>
      <c r="D3" s="59" t="s">
        <v>46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53</v>
      </c>
      <c r="D4" s="59" t="s">
        <v>46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53</v>
      </c>
      <c r="D5" s="59" t="s">
        <v>46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53</v>
      </c>
      <c r="D6" s="59" t="s">
        <v>46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53</v>
      </c>
      <c r="D7" s="59" t="s">
        <v>46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53</v>
      </c>
      <c r="D8" s="59" t="s">
        <v>46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53</v>
      </c>
      <c r="D9" s="59" t="s">
        <v>46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53</v>
      </c>
      <c r="D10" s="59" t="s">
        <v>46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53</v>
      </c>
      <c r="D11" s="59" t="s">
        <v>46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53</v>
      </c>
      <c r="D12" s="59" t="s">
        <v>46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53</v>
      </c>
      <c r="D13" s="59" t="s">
        <v>46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52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58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58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46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75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52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46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52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46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58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46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52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46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52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46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46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46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46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46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53</v>
      </c>
      <c r="D56" s="20" t="s">
        <v>46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46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52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75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66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42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46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46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46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46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115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44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124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95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75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124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95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44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44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44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52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76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75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53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97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53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53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53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53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53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53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53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53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53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53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53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75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58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53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53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53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53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53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53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53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53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53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53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53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53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42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42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44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52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52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52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85</v>
      </c>
      <c r="G378" s="36">
        <f>SUM(G366:G377)</f>
        <v>425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245</v>
      </c>
      <c r="O378" s="39"/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485</v>
      </c>
      <c r="G379" s="40">
        <f>G365+G378</f>
        <v>2391.4</v>
      </c>
      <c r="H379" s="41"/>
      <c r="I379" s="41"/>
      <c r="J379" s="41"/>
      <c r="K379" s="41"/>
      <c r="L379" s="41"/>
      <c r="M379" s="42">
        <f ca="1">IFERROR(M365+M378,"")</f>
        <v>4.7222222222222165E-2</v>
      </c>
      <c r="N379" s="40" t="s">
        <v>249</v>
      </c>
      <c r="O379" s="48">
        <f>IFERROR(O365+O378,"")</f>
        <v>2315280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245</v>
      </c>
      <c r="O405" s="39"/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249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349" activePane="bottomLeft" state="frozen"/>
      <selection pane="bottomLeft" activeCell="N367" sqref="N367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82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39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47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66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39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47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57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82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57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39</v>
      </c>
      <c r="N20" s="26" t="s">
        <v>44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47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39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39</v>
      </c>
      <c r="N23" s="33" t="s">
        <v>58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82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47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47</v>
      </c>
      <c r="N31" s="33" t="s">
        <v>58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47</v>
      </c>
      <c r="N42" s="26" t="s">
        <v>59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47</v>
      </c>
      <c r="N43" s="33" t="s">
        <v>59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39</v>
      </c>
      <c r="N44" s="26" t="s">
        <v>59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59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47</v>
      </c>
      <c r="N46" s="26" t="s">
        <v>59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59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47</v>
      </c>
      <c r="N48" s="26" t="s">
        <v>59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47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47</v>
      </c>
      <c r="N50" s="26" t="s">
        <v>43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47</v>
      </c>
      <c r="N51" s="33" t="s">
        <v>59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47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0.76353738425677875</v>
      </c>
      <c r="R53" s="46" t="s">
        <v>279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0.90242627314566759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0.98714849536788996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39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122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122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122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122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122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122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47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57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82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39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82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47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39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47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47</v>
      </c>
      <c r="N85" s="33" t="s">
        <v>44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47</v>
      </c>
      <c r="N86" s="26" t="s">
        <v>44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126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126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39</v>
      </c>
      <c r="N97" s="33" t="s">
        <v>58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39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47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39</v>
      </c>
      <c r="N100" s="26" t="s">
        <v>58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47</v>
      </c>
      <c r="N101" s="33" t="s">
        <v>44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39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47</v>
      </c>
      <c r="N111" s="33" t="s">
        <v>44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47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47</v>
      </c>
      <c r="N113" s="33" t="s">
        <v>44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39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57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57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122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47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39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47</v>
      </c>
      <c r="N138" s="26" t="s">
        <v>59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47</v>
      </c>
      <c r="N139" s="33" t="s">
        <v>64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47</v>
      </c>
      <c r="N140" s="26" t="s">
        <v>44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47</v>
      </c>
      <c r="N141" s="33" t="s">
        <v>44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126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39</v>
      </c>
      <c r="N143" s="33" t="s">
        <v>44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118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128</v>
      </c>
      <c r="N151" s="33" t="s">
        <v>95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47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47</v>
      </c>
      <c r="N153" s="33" t="s">
        <v>42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47</v>
      </c>
      <c r="N164" s="26" t="s">
        <v>42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39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39</v>
      </c>
      <c r="N166" s="26" t="s">
        <v>44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82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82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39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122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82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82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82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47</v>
      </c>
      <c r="N194" s="26" t="s">
        <v>44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47</v>
      </c>
      <c r="N195" s="33" t="s">
        <v>44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47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122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122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82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39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39</v>
      </c>
      <c r="N219" s="33" t="s">
        <v>43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39</v>
      </c>
      <c r="N220" s="26" t="s">
        <v>58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39</v>
      </c>
      <c r="N221" s="33" t="s">
        <v>86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47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69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47</v>
      </c>
      <c r="N231" s="33" t="s">
        <v>44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47</v>
      </c>
      <c r="N233" s="33" t="s">
        <v>44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39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47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47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39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46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46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46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46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46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46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45</v>
      </c>
      <c r="D285" s="62" t="s">
        <v>54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45</v>
      </c>
      <c r="D286" s="62" t="s">
        <v>54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45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45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45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45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45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45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45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45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45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45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 t="str">
        <f>IFERROR(IF($D299="","",VLOOKUP($D299,Cadastro!$C$4:$E$7,3,FALSE)),"")</f>
        <v>b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57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 t="str">
        <f>IFERROR(IF($D300="","",VLOOKUP($D300,Cadastro!$C$4:$E$7,3,FALSE)),"")</f>
        <v>b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84</v>
      </c>
      <c r="L300" s="26" t="s">
        <v>26</v>
      </c>
      <c r="M300" s="26" t="s">
        <v>47</v>
      </c>
      <c r="N300" s="26" t="s">
        <v>86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 t="str">
        <f>IFERROR(IF($D301="","",VLOOKUP($D301,Cadastro!$C$4:$E$7,3,FALSE)),"")</f>
        <v>b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84</v>
      </c>
      <c r="L301" s="33" t="s">
        <v>26</v>
      </c>
      <c r="M301" s="33" t="s">
        <v>39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 t="str">
        <f>IFERROR(IF($D302="","",VLOOKUP($D302,Cadastro!$C$4:$E$7,3,FALSE)),"")</f>
        <v>b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71.400000000000006</v>
      </c>
      <c r="L302" s="26" t="s">
        <v>27</v>
      </c>
      <c r="M302" s="26" t="s">
        <v>39</v>
      </c>
      <c r="N302" s="26" t="s">
        <v>44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 t="str">
        <f>IFERROR(IF($D303="","",VLOOKUP($D303,Cadastro!$C$4:$E$7,3,FALSE)),"")</f>
        <v>b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63</v>
      </c>
      <c r="L303" s="33" t="s">
        <v>26</v>
      </c>
      <c r="M303" s="33" t="s">
        <v>47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 t="str">
        <f>IFERROR(IF($D304="","",VLOOKUP($D304,Cadastro!$C$4:$E$7,3,FALSE)),"")</f>
        <v>b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67.536298224852061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67.536298224852061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 t="str">
        <f>IFERROR(IF($D312="","",VLOOKUP($D312,Cadastro!$C$4:$E$7,3,FALSE)),"")</f>
        <v>b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 t="str">
        <f>IFERROR(IF($H312="","",$H312*$F312*$I312),"")</f>
        <v/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 t="str">
        <f>IFERROR(IF($D313="","",VLOOKUP($D313,Cadastro!$C$4:$E$7,3,FALSE)),"")</f>
        <v>b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 t="str">
        <f t="shared" ref="J312:J323" si="73">IFERROR(IF($H313="","",$H313*$F313*$I313),"")</f>
        <v/>
      </c>
      <c r="K313" s="34">
        <f t="shared" si="70"/>
        <v>54.6</v>
      </c>
      <c r="L313" s="33" t="s">
        <v>27</v>
      </c>
      <c r="M313" s="33" t="s">
        <v>47</v>
      </c>
      <c r="N313" s="33" t="s">
        <v>44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 t="str">
        <f>IFERROR(IF($D314="","",VLOOKUP($D314,Cadastro!$C$4:$E$7,3,FALSE)),"")</f>
        <v>b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 t="str">
        <f t="shared" si="73"/>
        <v/>
      </c>
      <c r="K314" s="28">
        <f t="shared" si="70"/>
        <v>67.2</v>
      </c>
      <c r="L314" s="26" t="s">
        <v>25</v>
      </c>
      <c r="M314" s="26" t="s">
        <v>47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 t="str">
        <f t="shared" si="73"/>
        <v/>
      </c>
      <c r="K315" s="34">
        <f t="shared" si="70"/>
        <v>25.200000000000003</v>
      </c>
      <c r="L315" s="33" t="s">
        <v>27</v>
      </c>
      <c r="M315" s="33" t="s">
        <v>47</v>
      </c>
      <c r="N315" s="33" t="s">
        <v>44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 t="str">
        <f t="shared" si="73"/>
        <v/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 t="str">
        <f>IFERROR(IF($D317="","",VLOOKUP($D317,Cadastro!$C$4:$E$7,3,FALSE)),"")</f>
        <v>b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 t="str">
        <f t="shared" si="73"/>
        <v/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108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 t="str">
        <f>IFERROR(IF($D318="","",VLOOKUP($D318,Cadastro!$C$4:$E$7,3,FALSE)),"")</f>
        <v>b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 t="str">
        <f t="shared" si="73"/>
        <v/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 t="str">
        <f>IFERROR(IF($D319="","",VLOOKUP($D319,Cadastro!$C$4:$E$7,3,FALSE)),"")</f>
        <v>b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 t="str">
        <f t="shared" si="73"/>
        <v/>
      </c>
      <c r="K319" s="34">
        <f t="shared" si="70"/>
        <v>63</v>
      </c>
      <c r="L319" s="33" t="s">
        <v>24</v>
      </c>
      <c r="M319" s="33" t="s">
        <v>39</v>
      </c>
      <c r="N319" s="33" t="s">
        <v>57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 t="str">
        <f>IFERROR(IF($D320="","",VLOOKUP($D320,Cadastro!$C$4:$E$7,3,FALSE)),"")</f>
        <v>b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 t="str">
        <f t="shared" si="73"/>
        <v/>
      </c>
      <c r="K320" s="28">
        <f t="shared" si="70"/>
        <v>67.2</v>
      </c>
      <c r="L320" s="26" t="s">
        <v>24</v>
      </c>
      <c r="M320" s="26" t="s">
        <v>143</v>
      </c>
      <c r="N320" s="26" t="s">
        <v>57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 t="str">
        <f>IFERROR(IF($D321="","",VLOOKUP($D321,Cadastro!$C$4:$E$7,3,FALSE)),"")</f>
        <v>b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 t="str">
        <f t="shared" si="73"/>
        <v/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 t="str">
        <f>IFERROR(IF($D322="","",VLOOKUP($D322,Cadastro!$C$4:$E$7,3,FALSE)),"")</f>
        <v>b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 t="str">
        <f t="shared" si="73"/>
        <v/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 t="str">
        <f>IFERROR(IF($D323="","",VLOOKUP($D323,Cadastro!$C$4:$E$7,3,FALSE)),"")</f>
        <v>b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 t="str">
        <f t="shared" si="73"/>
        <v/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67.536298224852061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67.536298224852061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47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47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122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69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47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47</v>
      </c>
      <c r="N339" s="33" t="s">
        <v>43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47</v>
      </c>
      <c r="N340" s="26" t="s">
        <v>86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39</v>
      </c>
      <c r="N341" s="33" t="s">
        <v>44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47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47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39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47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57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57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47</v>
      </c>
      <c r="N353" s="33" t="s">
        <v>64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39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39</v>
      </c>
      <c r="N355" s="33" t="s">
        <v>86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/>
      <c r="H367" s="134" t="str">
        <f>IFERROR(IF($G367="","",$G367*$S$378/$G$378/Cadastro!$E$33),"")</f>
        <v/>
      </c>
      <c r="I367" s="135">
        <f>IFERROR(IF($D367="","",VLOOKUP($D367,Cadastro!$C$4:$G$7,5,FALSE)),"")</f>
        <v>0.6</v>
      </c>
      <c r="J367" s="136" t="str">
        <f t="shared" si="86"/>
        <v/>
      </c>
      <c r="K367" s="34" t="str">
        <f t="shared" si="87"/>
        <v/>
      </c>
      <c r="L367" s="33" t="s">
        <v>27</v>
      </c>
      <c r="M367" s="33" t="s">
        <v>146</v>
      </c>
      <c r="N367" s="33" t="s">
        <v>82</v>
      </c>
      <c r="O367" s="29">
        <v>0.88194444444444442</v>
      </c>
      <c r="P367" s="29"/>
      <c r="Q367" s="35">
        <f t="shared" ca="1" si="88"/>
        <v>3.1207175925374031E-3</v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/>
      <c r="H368" s="134" t="str">
        <f>IFERROR(IF($G368="","",$G368*$S$378/$G$378/Cadastro!$E$33),"")</f>
        <v/>
      </c>
      <c r="I368" s="135">
        <f>IFERROR(IF($D368="","",VLOOKUP($D368,Cadastro!$C$4:$G$7,5,FALSE)),"")</f>
        <v>0.6</v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/>
      <c r="H369" s="134" t="str">
        <f>IFERROR(IF($G369="","",$G369*$S$378/$G$378/Cadastro!$E$33),"")</f>
        <v/>
      </c>
      <c r="I369" s="135">
        <f>IFERROR(IF($D369="","",VLOOKUP($D369,Cadastro!$C$4:$G$7,5,FALSE)),"")</f>
        <v>0.6</v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/>
      <c r="H370" s="134" t="str">
        <f>IFERROR(IF($G370="","",$G370*$S$378/$G$378/Cadastro!$E$33),"")</f>
        <v/>
      </c>
      <c r="I370" s="135">
        <f>IFERROR(IF($D370="","",VLOOKUP($D370,Cadastro!$C$4:$G$7,5,FALSE)),"")</f>
        <v>0.6</v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/>
      <c r="H371" s="134" t="str">
        <f>IFERROR(IF($G371="","",$G371*$S$378/$G$378/Cadastro!$E$33),"")</f>
        <v/>
      </c>
      <c r="I371" s="135">
        <f>IFERROR(IF($D371="","",VLOOKUP($D371,Cadastro!$C$4:$G$7,5,FALSE)),"")</f>
        <v>0.6</v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/>
      <c r="H372" s="134" t="str">
        <f>IFERROR(IF($G372="","",$G372*$S$378/$G$378/Cadastro!$E$33),"")</f>
        <v/>
      </c>
      <c r="I372" s="135">
        <f>IFERROR(IF($D372="","",VLOOKUP($D372,Cadastro!$C$4:$G$7,5,FALSE)),"")</f>
        <v>0.6</v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4.2</v>
      </c>
      <c r="L378" s="37"/>
      <c r="M378" s="37"/>
      <c r="N378" s="37"/>
      <c r="O378" s="37"/>
      <c r="P378" s="37"/>
      <c r="Q378" s="38">
        <f ca="1">IFERROR(SUM(Q366:Q377),"")</f>
        <v>4.687071759253747E-2</v>
      </c>
      <c r="R378" s="36" t="s">
        <v>245</v>
      </c>
      <c r="S378" s="45"/>
      <c r="T378" s="122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109</v>
      </c>
      <c r="H379" s="112">
        <f>IFERROR(H365+H378,"")</f>
        <v>622.2700000000001</v>
      </c>
      <c r="I379" s="116"/>
      <c r="J379" s="125">
        <f>IFERROR(J365+J378,"")</f>
        <v>130.67669999999998</v>
      </c>
      <c r="K379" s="40">
        <f>K365+K378</f>
        <v>457.8</v>
      </c>
      <c r="L379" s="41"/>
      <c r="M379" s="41"/>
      <c r="N379" s="41"/>
      <c r="O379" s="41"/>
      <c r="P379" s="41"/>
      <c r="Q379" s="42">
        <f ca="1">IFERROR(Q365+Q378,"")</f>
        <v>0.13020405092587073</v>
      </c>
      <c r="R379" s="40" t="s">
        <v>249</v>
      </c>
      <c r="S379" s="143">
        <f>IFERROR(S365+S378,"")</f>
        <v>622270</v>
      </c>
      <c r="T379" s="144">
        <f>IFERROR(J379,"")</f>
        <v>130.67669999999998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45"/>
      <c r="T405" s="122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50" activePane="bottomLeft" state="frozen"/>
      <selection pane="bottomLeft" activeCell="P367" sqref="P367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82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55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55</v>
      </c>
      <c r="N15" s="33" t="s">
        <v>63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301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57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82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57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302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54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54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55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55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55</v>
      </c>
      <c r="N43" s="33" t="s">
        <v>64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301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55</v>
      </c>
      <c r="N44" s="26" t="s">
        <v>59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55</v>
      </c>
      <c r="N45" s="33" t="s">
        <v>59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55</v>
      </c>
      <c r="N46" s="26" t="s">
        <v>59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55</v>
      </c>
      <c r="N47" s="33" t="s">
        <v>59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55</v>
      </c>
      <c r="N48" s="26" t="s">
        <v>59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55</v>
      </c>
      <c r="N49" s="33" t="s">
        <v>59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55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301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82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55</v>
      </c>
      <c r="N52" s="26" t="s">
        <v>40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55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122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54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122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55</v>
      </c>
      <c r="N58" s="26" t="s">
        <v>59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54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55</v>
      </c>
      <c r="N59" s="26" t="s">
        <v>59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54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122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54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55</v>
      </c>
      <c r="N61" s="33" t="s">
        <v>59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54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303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54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54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54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54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54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55</v>
      </c>
      <c r="N69" s="33" t="s">
        <v>64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304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82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82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55</v>
      </c>
      <c r="N83" s="33" t="s">
        <v>64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305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126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306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126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126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307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55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82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82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82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55</v>
      </c>
      <c r="N125" s="33" t="s">
        <v>64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308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55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57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55</v>
      </c>
      <c r="N128" s="26" t="s">
        <v>44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55</v>
      </c>
      <c r="N130" s="26" t="s">
        <v>59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55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309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55</v>
      </c>
      <c r="N138" s="26" t="s">
        <v>118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55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82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55</v>
      </c>
      <c r="N141" s="33" t="s">
        <v>59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55</v>
      </c>
      <c r="N151" s="33" t="s">
        <v>64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55</v>
      </c>
      <c r="N152" s="26" t="s">
        <v>44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55</v>
      </c>
      <c r="N153" s="33" t="s">
        <v>44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55</v>
      </c>
      <c r="N164" s="26" t="s">
        <v>59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55</v>
      </c>
      <c r="N165" s="33" t="s">
        <v>59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55</v>
      </c>
      <c r="N166" s="26" t="s">
        <v>59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310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55</v>
      </c>
      <c r="N167" s="33" t="s">
        <v>59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55</v>
      </c>
      <c r="N168" s="26" t="s">
        <v>59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55</v>
      </c>
      <c r="N169" s="33" t="s">
        <v>59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55</v>
      </c>
      <c r="N170" s="26" t="s">
        <v>59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55</v>
      </c>
      <c r="N171" s="33" t="s">
        <v>59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82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82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55</v>
      </c>
      <c r="N177" s="33" t="s">
        <v>43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55</v>
      </c>
      <c r="N179" s="33" t="s">
        <v>64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311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122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82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55</v>
      </c>
      <c r="N183" s="33" t="s">
        <v>59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82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82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55</v>
      </c>
      <c r="N192" s="33" t="s">
        <v>44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55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55</v>
      </c>
      <c r="N196" s="26" t="s">
        <v>86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55</v>
      </c>
      <c r="N197" s="33" t="s">
        <v>59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55</v>
      </c>
      <c r="N198" s="33" t="s">
        <v>86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55</v>
      </c>
      <c r="N199" s="33" t="s">
        <v>86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122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122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55</v>
      </c>
      <c r="N204" s="26" t="s">
        <v>59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55</v>
      </c>
      <c r="N205" s="33" t="s">
        <v>64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312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82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69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55</v>
      </c>
      <c r="N219" s="33" t="s">
        <v>44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82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108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69</v>
      </c>
      <c r="O222" s="29">
        <v>0.69930555555555551</v>
      </c>
      <c r="P222" s="29" t="s">
        <v>314</v>
      </c>
      <c r="Q222" s="30" t="str">
        <f t="shared" ca="1" si="49"/>
        <v/>
      </c>
      <c r="R222" s="27" t="s">
        <v>315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55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55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55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316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55</v>
      </c>
      <c r="N246" s="33" t="s">
        <v>59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55</v>
      </c>
      <c r="N247" s="33" t="s">
        <v>44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46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46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46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46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46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46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46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46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46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46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46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27</v>
      </c>
      <c r="M301" s="33" t="s">
        <v>55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47.471199999999996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47.471199999999996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26</v>
      </c>
      <c r="M312" s="26" t="s">
        <v>55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25</v>
      </c>
      <c r="M313" s="33" t="s">
        <v>146</v>
      </c>
      <c r="N313" s="33" t="s">
        <v>108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24</v>
      </c>
      <c r="M315" s="33" t="s">
        <v>143</v>
      </c>
      <c r="N315" s="33" t="s">
        <v>57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24</v>
      </c>
      <c r="M316" s="26" t="s">
        <v>143</v>
      </c>
      <c r="N316" s="26" t="s">
        <v>57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47.471199999999996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47.471199999999996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317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122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69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55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57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57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55</v>
      </c>
      <c r="N353" s="33" t="s">
        <v>70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55</v>
      </c>
      <c r="N354" s="26" t="s">
        <v>70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82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126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/>
      <c r="H367" s="134" t="str">
        <f>IFERROR(IF($G367="","",$G367*$S$378/$G$378/Cadastro!$E$33),"")</f>
        <v/>
      </c>
      <c r="I367" s="135">
        <f>IFERROR(IF($D367="","",VLOOKUP($D367,Cadastro!$C$4:$G$7,5,FALSE)),"")</f>
        <v>0.6</v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/>
      <c r="H368" s="134" t="str">
        <f>IFERROR(IF($G368="","",$G368*$S$378/$G$378/Cadastro!$E$33),"")</f>
        <v/>
      </c>
      <c r="I368" s="135">
        <f>IFERROR(IF($D368="","",VLOOKUP($D368,Cadastro!$C$4:$G$7,5,FALSE)),"")</f>
        <v>0.6</v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/>
      <c r="H369" s="134" t="str">
        <f>IFERROR(IF($G369="","",$G369*$S$378/$G$378/Cadastro!$E$33),"")</f>
        <v/>
      </c>
      <c r="I369" s="135">
        <f>IFERROR(IF($D369="","",VLOOKUP($D369,Cadastro!$C$4:$G$7,5,FALSE)),"")</f>
        <v>0.6</v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/>
      <c r="H370" s="134" t="str">
        <f>IFERROR(IF($G370="","",$G370*$S$378/$G$378/Cadastro!$E$33),"")</f>
        <v/>
      </c>
      <c r="I370" s="135">
        <f>IFERROR(IF($D370="","",VLOOKUP($D370,Cadastro!$C$4:$G$7,5,FALSE)),"")</f>
        <v>0.6</v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/>
      <c r="H371" s="134" t="str">
        <f>IFERROR(IF($G371="","",$G371*$S$378/$G$378/Cadastro!$E$33),"")</f>
        <v/>
      </c>
      <c r="I371" s="135">
        <f>IFERROR(IF($D371="","",VLOOKUP($D371,Cadastro!$C$4:$G$7,5,FALSE)),"")</f>
        <v>0.6</v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/>
      <c r="H372" s="134" t="str">
        <f>IFERROR(IF($G372="","",$G372*$S$378/$G$378/Cadastro!$E$33),"")</f>
        <v/>
      </c>
      <c r="I372" s="135">
        <f>IFERROR(IF($D372="","",VLOOKUP($D372,Cadastro!$C$4:$G$7,5,FALSE)),"")</f>
        <v>0.6</v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4.2</v>
      </c>
      <c r="L378" s="37"/>
      <c r="M378" s="37"/>
      <c r="N378" s="37"/>
      <c r="O378" s="37"/>
      <c r="P378" s="37"/>
      <c r="Q378" s="38">
        <f ca="1">IFERROR(SUM(Q366:Q377),"")</f>
        <v>6.1805555555555558E-2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91</v>
      </c>
      <c r="H379" s="112">
        <f>IFERROR(H365+H378,"")</f>
        <v>332.12999999999994</v>
      </c>
      <c r="I379" s="116"/>
      <c r="J379" s="125">
        <f>IFERROR(J365+J378,"")</f>
        <v>69.747299999999981</v>
      </c>
      <c r="K379" s="40">
        <f>K365+K378</f>
        <v>382.2000000000001</v>
      </c>
      <c r="L379" s="41"/>
      <c r="M379" s="41"/>
      <c r="N379" s="41"/>
      <c r="O379" s="41"/>
      <c r="P379" s="41"/>
      <c r="Q379" s="42">
        <f ca="1">IFERROR(Q365+Q378,"")</f>
        <v>0.25694444444444436</v>
      </c>
      <c r="R379" s="40" t="s">
        <v>249</v>
      </c>
      <c r="S379" s="48">
        <f>IFERROR(S365+S378,"")</f>
        <v>332130</v>
      </c>
      <c r="T379" s="121">
        <f>IFERROR(J379,"")</f>
        <v>69.747299999999981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41" activePane="bottomLeft" state="frozen"/>
      <selection pane="bottomLeft" activeCell="P367" sqref="P367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60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65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65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46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60</v>
      </c>
      <c r="N15" s="33" t="s">
        <v>70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65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318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60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60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301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60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319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65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65</v>
      </c>
      <c r="N21" s="33" t="s">
        <v>70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320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46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46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65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60</v>
      </c>
      <c r="N42" s="26" t="s">
        <v>59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65</v>
      </c>
      <c r="N43" s="33" t="s">
        <v>59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60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65</v>
      </c>
      <c r="N45" s="33" t="s">
        <v>70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321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65</v>
      </c>
      <c r="N46" s="26" t="s">
        <v>44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65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65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65</v>
      </c>
      <c r="N56" s="33" t="s">
        <v>59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60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65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60</v>
      </c>
      <c r="N59" s="33" t="s">
        <v>42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322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60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323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60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324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65</v>
      </c>
      <c r="N70" s="26" t="s">
        <v>70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65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65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301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60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60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60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60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301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65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325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60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60</v>
      </c>
      <c r="N124" s="26" t="s">
        <v>64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326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60</v>
      </c>
      <c r="N125" s="33" t="s">
        <v>44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65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60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65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60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301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65</v>
      </c>
      <c r="N130" s="26" t="s">
        <v>59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44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327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60</v>
      </c>
      <c r="N139" s="33" t="s">
        <v>118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328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65</v>
      </c>
      <c r="N140" s="26" t="s">
        <v>59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82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60</v>
      </c>
      <c r="N142" s="26" t="s">
        <v>59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65</v>
      </c>
      <c r="N144" s="26" t="s">
        <v>118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329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66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65</v>
      </c>
      <c r="N167" s="33" t="s">
        <v>44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65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82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331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82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125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60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333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65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82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65</v>
      </c>
      <c r="N204" s="26" t="s">
        <v>42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334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335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60</v>
      </c>
      <c r="N206" s="26" t="s">
        <v>44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336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65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60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60</v>
      </c>
      <c r="N220" s="26" t="s">
        <v>64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337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65</v>
      </c>
      <c r="N221" s="33" t="s">
        <v>86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338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65</v>
      </c>
      <c r="N231" s="33" t="s">
        <v>44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339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65</v>
      </c>
      <c r="N232" s="26" t="s">
        <v>64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340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60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60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 t="s">
        <v>341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65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60</v>
      </c>
      <c r="N247" s="33" t="s">
        <v>70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65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342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60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60</v>
      </c>
      <c r="N251" s="33" t="s">
        <v>59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46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46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46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46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46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46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46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46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46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46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46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60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26</v>
      </c>
      <c r="M300" s="26" t="s">
        <v>65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23</v>
      </c>
      <c r="M301" s="33"/>
      <c r="N301" s="33" t="s">
        <v>94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71.6160703125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71.6160703125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82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71.6160703125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71.6160703125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65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60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70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65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60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60</v>
      </c>
      <c r="N343" s="33" t="s">
        <v>44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65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65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343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65</v>
      </c>
      <c r="N347" s="33" t="s">
        <v>64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344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102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65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60</v>
      </c>
      <c r="N356" s="26" t="s">
        <v>64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345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65</v>
      </c>
      <c r="N357" s="33" t="s">
        <v>70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65</v>
      </c>
      <c r="N358" s="26" t="s">
        <v>64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346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65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/>
      <c r="H367" s="134" t="str">
        <f>IFERROR(IF($G367="","",$G367*$S$378/$G$378/Cadastro!$E$33),"")</f>
        <v/>
      </c>
      <c r="I367" s="135">
        <f>IFERROR(IF($D367="","",VLOOKUP($D367,Cadastro!$C$4:$G$7,5,FALSE)),"")</f>
        <v>0.6</v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/>
      <c r="H368" s="134" t="str">
        <f>IFERROR(IF($G368="","",$G368*$S$378/$G$378/Cadastro!$E$33),"")</f>
        <v/>
      </c>
      <c r="I368" s="135">
        <f>IFERROR(IF($D368="","",VLOOKUP($D368,Cadastro!$C$4:$G$7,5,FALSE)),"")</f>
        <v>0.6</v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/>
      <c r="H369" s="134" t="str">
        <f>IFERROR(IF($G369="","",$G369*$S$378/$G$378/Cadastro!$E$33),"")</f>
        <v/>
      </c>
      <c r="I369" s="135">
        <f>IFERROR(IF($D369="","",VLOOKUP($D369,Cadastro!$C$4:$G$7,5,FALSE)),"")</f>
        <v>0.6</v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/>
      <c r="H370" s="134" t="str">
        <f>IFERROR(IF($G370="","",$G370*$S$378/$G$378/Cadastro!$E$33),"")</f>
        <v/>
      </c>
      <c r="I370" s="135">
        <f>IFERROR(IF($D370="","",VLOOKUP($D370,Cadastro!$C$4:$G$7,5,FALSE)),"")</f>
        <v>0.6</v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/>
      <c r="H371" s="134" t="str">
        <f>IFERROR(IF($G371="","",$G371*$S$378/$G$378/Cadastro!$E$33),"")</f>
        <v/>
      </c>
      <c r="I371" s="135">
        <f>IFERROR(IF($D371="","",VLOOKUP($D371,Cadastro!$C$4:$G$7,5,FALSE)),"")</f>
        <v>0.6</v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/>
      <c r="H372" s="134" t="str">
        <f>IFERROR(IF($G372="","",$G372*$S$378/$G$378/Cadastro!$E$33),"")</f>
        <v/>
      </c>
      <c r="I372" s="135">
        <f>IFERROR(IF($D372="","",VLOOKUP($D372,Cadastro!$C$4:$G$7,5,FALSE)),"")</f>
        <v>0.6</v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19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79.8</v>
      </c>
      <c r="L378" s="37"/>
      <c r="M378" s="37"/>
      <c r="N378" s="37"/>
      <c r="O378" s="61"/>
      <c r="P378" s="61"/>
      <c r="Q378" s="38">
        <f ca="1">IFERROR(SUM(Q366:Q377),"")</f>
        <v>3.3333333333333326E-2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215</v>
      </c>
      <c r="H379" s="112">
        <f>IFERROR(H365+H378,"")</f>
        <v>885.12000000000012</v>
      </c>
      <c r="I379" s="116"/>
      <c r="J379" s="125">
        <f>IFERROR(J365+J378,"")</f>
        <v>185.87519999999998</v>
      </c>
      <c r="K379" s="40">
        <f>K365+K378</f>
        <v>903</v>
      </c>
      <c r="L379" s="41"/>
      <c r="M379" s="41"/>
      <c r="N379" s="41"/>
      <c r="O379" s="63"/>
      <c r="P379" s="63"/>
      <c r="Q379" s="42">
        <f ca="1">IFERROR(Q365+Q378,"")</f>
        <v>0.15138888888888902</v>
      </c>
      <c r="R379" s="40" t="s">
        <v>249</v>
      </c>
      <c r="S379" s="48">
        <f>IFERROR(S365+S378,"")</f>
        <v>885120</v>
      </c>
      <c r="T379" s="121">
        <f>IFERROR(J379,"")</f>
        <v>185.87519999999998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2026-08-15T01:14:39Z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