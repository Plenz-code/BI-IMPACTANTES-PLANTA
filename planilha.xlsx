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67" documentId="8_{AF585B22-221D-4780-BB9C-493D365A6A02}" xr6:coauthVersionLast="47" xr6:coauthVersionMax="47" xr10:uidLastSave="{33971791-6FC6-4AA2-B714-ED4DF37E2B3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<sst xmlns="http://schemas.openxmlformats.org/spreadsheetml/2006/main" count="2918" uniqueCount="249">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</sst>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7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7"/>
      <c r="I52" s="16"/>
      <c r="J52" s="16"/>
      <c r="K52" s="16" t="s">
        <v>186</v>
      </c>
      <c r="L52" s="16"/>
      <c r="M52" s="16"/>
    </row>
    <row r="53" spans="1:13" ht="36" customHeight="1">
      <c r="H53" s="97"/>
      <c r="I53" s="17"/>
      <c r="J53" s="17"/>
      <c r="K53" s="17" t="s">
        <v>187</v>
      </c>
      <c r="L53" s="17"/>
      <c r="M53" s="17"/>
    </row>
    <row r="54" spans="1:13" ht="15" customHeight="1">
      <c r="H54" s="97"/>
      <c r="I54" s="16"/>
      <c r="J54" s="16"/>
      <c r="K54" s="16" t="s">
        <v>188</v>
      </c>
      <c r="L54" s="16"/>
      <c r="M54" s="16"/>
    </row>
    <row r="55" spans="1:13" ht="15" customHeight="1">
      <c r="H55" s="97"/>
      <c r="I55" s="17"/>
      <c r="J55" s="17"/>
      <c r="K55" s="17" t="s">
        <v>189</v>
      </c>
      <c r="L55" s="17"/>
      <c r="M55" s="17"/>
    </row>
    <row r="56" spans="1:13" ht="15" customHeight="1">
      <c r="H56" s="97"/>
      <c r="I56" s="16"/>
      <c r="J56" s="16"/>
      <c r="K56" s="16" t="s">
        <v>190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6" sqref="F1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38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38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K141" sqref="K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>
        <v>0.71597222222222223</v>
      </c>
      <c r="L140" s="29"/>
      <c r="M140" s="30">
        <f t="shared" ca="1" si="31"/>
        <v>9.233796299668029E-4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63</v>
      </c>
      <c r="G149" s="36">
        <f>SUM(G137:G148)</f>
        <v>315</v>
      </c>
      <c r="H149" s="37"/>
      <c r="I149" s="37"/>
      <c r="J149" s="37"/>
      <c r="K149" s="37"/>
      <c r="L149" s="37"/>
      <c r="M149" s="38">
        <f ca="1">IFERROR(SUM(M137:M148),"")</f>
        <v>0.1842567129633001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63</v>
      </c>
      <c r="G163" s="40">
        <f>G149+G162</f>
        <v>315</v>
      </c>
      <c r="H163" s="41"/>
      <c r="I163" s="41"/>
      <c r="J163" s="41"/>
      <c r="K163" s="41"/>
      <c r="L163" s="41"/>
      <c r="M163" s="42">
        <f ca="1">IFERROR(M149+M162,"")</f>
        <v>0.1842567129633001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K141" sqref="K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>
        <v>0.71597222222222223</v>
      </c>
      <c r="L140" s="29"/>
      <c r="M140" s="30">
        <f t="shared" ca="1" si="31"/>
        <v>9.233796299668029E-4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47</v>
      </c>
      <c r="G149" s="36">
        <f>SUM(G137:G148)</f>
        <v>235</v>
      </c>
      <c r="H149" s="37"/>
      <c r="I149" s="37"/>
      <c r="J149" s="37"/>
      <c r="K149" s="37"/>
      <c r="L149" s="37"/>
      <c r="M149" s="38">
        <f ca="1">IFERROR(SUM(M137:M148),"")</f>
        <v>3.634004629663351E-2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47</v>
      </c>
      <c r="G163" s="40">
        <f>G149+G162</f>
        <v>235</v>
      </c>
      <c r="H163" s="41"/>
      <c r="I163" s="41"/>
      <c r="J163" s="41"/>
      <c r="K163" s="41"/>
      <c r="L163" s="41"/>
      <c r="M163" s="42">
        <f ca="1">IFERROR(M149+M162,"")</f>
        <v>3.634004629663351E-2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K141" sqref="K1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0.46759004629711853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0.66689560185267416</v>
      </c>
      <c r="N135" s="36" t="s">
        <v>205</v>
      </c>
      <c r="O135" s="39">
        <v>729290</v>
      </c>
    </row>
    <row r="136" spans="1:18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1.0342567129637852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>
        <v>0.71597222222222223</v>
      </c>
      <c r="L140" s="29"/>
      <c r="M140" s="30">
        <f t="shared" ca="1" si="31"/>
        <v>9.233796299668029E-4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102</v>
      </c>
      <c r="G149" s="36">
        <f>SUM(G137:G148)</f>
        <v>510</v>
      </c>
      <c r="H149" s="37"/>
      <c r="I149" s="37"/>
      <c r="J149" s="37"/>
      <c r="K149" s="61"/>
      <c r="L149" s="61"/>
      <c r="M149" s="38">
        <f ca="1">IFERROR(SUM(M137:M148),"")</f>
        <v>3.8423379629966836E-2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102</v>
      </c>
      <c r="G163" s="40">
        <f>G149+G162</f>
        <v>510</v>
      </c>
      <c r="H163" s="41"/>
      <c r="I163" s="41"/>
      <c r="J163" s="41"/>
      <c r="K163" s="63"/>
      <c r="L163" s="63"/>
      <c r="M163" s="42">
        <f ca="1">IFERROR(M149+M162,"")</f>
        <v>3.8423379629966836E-2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2026-07-06T21:14:07Z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