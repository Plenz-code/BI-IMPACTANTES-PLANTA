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058" documentId="13_ncr:1_{0A10D8D4-8450-4366-8075-B53B08E6B7EA}" xr6:coauthVersionLast="47" xr6:coauthVersionMax="47" xr10:uidLastSave="{38543C58-F4AF-4006-911F-B88F60DDC5E6}"/>
  <bookViews>
    <workbookView xWindow="-28920" yWindow="-6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61" i="6"/>
  <c r="J361" i="6" s="1"/>
  <c r="H362" i="6"/>
  <c r="J362" i="6" s="1"/>
  <c r="H363" i="6"/>
  <c r="J363" i="6" s="1"/>
  <c r="H364" i="6"/>
  <c r="J36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61" i="5"/>
  <c r="J361" i="5" s="1"/>
  <c r="H362" i="5"/>
  <c r="J362" i="5" s="1"/>
  <c r="H363" i="5"/>
  <c r="J363" i="5" s="1"/>
  <c r="H364" i="5"/>
  <c r="J36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61" i="4"/>
  <c r="J361" i="4" s="1"/>
  <c r="H362" i="4"/>
  <c r="J362" i="4" s="1"/>
  <c r="H363" i="4"/>
  <c r="J363" i="4" s="1"/>
  <c r="H364" i="4"/>
  <c r="J36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0" i="6" s="1"/>
  <c r="J360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59" i="5" l="1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<sst xmlns="http://schemas.openxmlformats.org/spreadsheetml/2006/main" count="6343" uniqueCount="346">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</sst>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987.14986853735184</v>
      </c>
      <c r="I35" s="97">
        <f>IFERROR(SUM(I4:I34),"")</f>
        <v>702</v>
      </c>
      <c r="J35" s="130">
        <f>IFERROR(AVERAGE(J4:J34),"-")</f>
        <v>-0.88079138530538037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34" activePane="bottomLeft" state="frozen"/>
      <selection pane="bottomLeft" activeCell="F361" sqref="F361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0</v>
      </c>
      <c r="G354" s="28">
        <f t="shared" si="73"/>
        <v>0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267</v>
      </c>
      <c r="G365" s="36">
        <f>SUM(G353:G364)</f>
        <v>1301.4000000000001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267</v>
      </c>
      <c r="G379" s="40">
        <f>G365+G378</f>
        <v>1301.4000000000001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249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G361" sqref="G36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0.51549976851674728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0.65438865740563612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0.73911087962785849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79.8</v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2"/>
        <v>0</v>
      </c>
      <c r="K357" s="34">
        <f t="shared" si="83"/>
        <v>58.800000000000004</v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2"/>
        <v>0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2"/>
        <v>0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2"/>
        <v>0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88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369.6</v>
      </c>
      <c r="L365" s="37"/>
      <c r="M365" s="37"/>
      <c r="N365" s="37"/>
      <c r="O365" s="37"/>
      <c r="P365" s="37"/>
      <c r="Q365" s="38">
        <f ca="1">IFERROR(SUM(Q353:Q364),"")</f>
        <v>4.9305555555555491E-2</v>
      </c>
      <c r="R365" s="36" t="s">
        <v>245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88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369.6</v>
      </c>
      <c r="L379" s="41"/>
      <c r="M379" s="41"/>
      <c r="N379" s="41"/>
      <c r="O379" s="41"/>
      <c r="P379" s="41"/>
      <c r="Q379" s="42">
        <f ca="1">IFERROR(Q365+Q378,"")</f>
        <v>4.9305555555555491E-2</v>
      </c>
      <c r="R379" s="40" t="s">
        <v>249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G361" sqref="G36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0"/>
        <v>0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0"/>
        <v>0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0"/>
        <v>0</v>
      </c>
      <c r="K356" s="28">
        <f t="shared" si="81"/>
        <v>29.400000000000002</v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0"/>
        <v>0</v>
      </c>
      <c r="K357" s="34">
        <f t="shared" si="81"/>
        <v>37.800000000000004</v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0"/>
        <v>0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0"/>
        <v>0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0"/>
        <v>0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66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277.20000000000005</v>
      </c>
      <c r="L365" s="37"/>
      <c r="M365" s="37"/>
      <c r="N365" s="37"/>
      <c r="O365" s="37"/>
      <c r="P365" s="37"/>
      <c r="Q365" s="38">
        <f ca="1">IFERROR(SUM(Q353:Q364),"")</f>
        <v>4.7222222222222221E-2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66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277.20000000000005</v>
      </c>
      <c r="L379" s="41"/>
      <c r="M379" s="41"/>
      <c r="N379" s="41"/>
      <c r="O379" s="41"/>
      <c r="P379" s="41"/>
      <c r="Q379" s="42">
        <f ca="1">IFERROR(Q365+Q378,"")</f>
        <v>4.7222222222222221E-2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35" activePane="bottomLeft" state="frozen"/>
      <selection pane="bottomLeft" activeCell="G361" sqref="G361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345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2"/>
        <v>0</v>
      </c>
      <c r="K357" s="34">
        <f t="shared" si="83"/>
        <v>88.2</v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2"/>
        <v>0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2"/>
        <v>0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2"/>
        <v>0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146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613.20000000000005</v>
      </c>
      <c r="L365" s="37"/>
      <c r="M365" s="37"/>
      <c r="N365" s="37"/>
      <c r="O365" s="61"/>
      <c r="P365" s="61"/>
      <c r="Q365" s="38">
        <f ca="1">IFERROR(SUM(Q353:Q364),"")</f>
        <v>0.10277777777777786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146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613.20000000000005</v>
      </c>
      <c r="L379" s="41"/>
      <c r="M379" s="41"/>
      <c r="N379" s="41"/>
      <c r="O379" s="63"/>
      <c r="P379" s="63"/>
      <c r="Q379" s="42">
        <f ca="1">IFERROR(Q365+Q378,"")</f>
        <v>0.10277777777777786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2026-08-14T19:19:05Z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