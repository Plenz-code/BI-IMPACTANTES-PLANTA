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39" documentId="13_ncr:1_{0A10D8D4-8450-4366-8075-B53B08E6B7EA}" xr6:coauthVersionLast="47" xr6:coauthVersionMax="47" xr10:uidLastSave="{00D9A79E-0D16-4A5C-A704-A5574640C666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<sst xmlns="http://schemas.openxmlformats.org/spreadsheetml/2006/main" count="6516" uniqueCount="347">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</sst>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F367" sqref="F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40</v>
      </c>
      <c r="G378" s="36">
        <f>SUM(G366:G377)</f>
        <v>200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440</v>
      </c>
      <c r="G379" s="40">
        <f>G365+G378</f>
        <v>2166.4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6" sqref="N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0.71306979166547535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0.85195868055436419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0.93668090277658655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0.29166666666666669</v>
      </c>
      <c r="P366" s="29"/>
      <c r="Q366" s="30">
        <f t="shared" ref="Q366:Q377" ca="1" si="88">IFERROR(IF(O366="","",IF(P366="",MOD(NOW()-O366,1),IF(P366&gt;=O366,P366-O366,P366+1-O366))),"")</f>
        <v>0.54293090278224554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0.54293090278224554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0.6262642361155788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O367" sqref="O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/>
      <c r="Q366" s="30">
        <f t="shared" ref="Q366:Q377" ca="1" si="86">IFERROR(IF(O366="","",IF(P366="",MOD(NOW()-O366,1),IF(P366&gt;=O366,P366-O366,P366+1-O366))),"")</f>
        <v>2.556979166547535E-2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2.556979166547535E-2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0.22070868055436416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O367" sqref="O3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/>
      <c r="Q366" s="30">
        <f t="shared" ref="Q366:Q377" ca="1" si="88">IFERROR(IF(O366="","",IF(P366="",MOD(NOW()-O366,1),IF(P366&gt;=O366,P366-O366,P366+1-O366))),"")</f>
        <v>1.3764236115093809E-2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1.3764236115093809E-2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0.1318197916706495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2026-08-15T00:02:20Z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