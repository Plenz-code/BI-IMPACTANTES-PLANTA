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92" documentId="8_{C51EB6CB-002B-4D6B-B68F-DDEBDB4460C0}" xr6:coauthVersionLast="47" xr6:coauthVersionMax="47" xr10:uidLastSave="{939BFDD0-7156-4A7D-A4C6-4F70E12F5D45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<sst xmlns="http://schemas.openxmlformats.org/spreadsheetml/2006/main" count="2962" uniqueCount="273">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</sst>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K123" sqref="K1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122</v>
      </c>
      <c r="G136" s="40">
        <f>G122+G135</f>
        <v>610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2" activePane="bottomLeft" state="frozen"/>
      <selection pane="bottomLeft" activeCell="I123" sqref="I1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0.71133749999717111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0.85022638888605995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0.93494861110828231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/>
      <c r="G123" s="34" t="str">
        <f t="shared" ref="G123:G134" si="27">IF(F123="","",IF(E123="PC 17",F123*4.2,IF(E123="PC 19",F123*5,IF(E123="CB",F123*24,""))))</f>
        <v/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1.1805555555555625E-2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184</v>
      </c>
      <c r="G136" s="40">
        <f>G122+G135</f>
        <v>772.80000000000007</v>
      </c>
      <c r="H136" s="41"/>
      <c r="I136" s="41"/>
      <c r="J136" s="41"/>
      <c r="K136" s="41"/>
      <c r="L136" s="41"/>
      <c r="M136" s="42">
        <f ca="1">IFERROR(M122+M135,"")</f>
        <v>0.10694444444444451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97" zoomScale="50" zoomScaleNormal="50" workbookViewId="0">
      <selection activeCell="L124" sqref="L1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0.55439305555773899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0.60161527777996116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0.75786527777996116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/>
      <c r="F123" s="27"/>
      <c r="G123" s="34" t="str">
        <f t="shared" ref="G123:G134" si="27">IF(F123="","",IF(E123="PC 17",F123*4.2,IF(E123="PC 19",F123*5,IF(E123="CB",F123*24,""))))</f>
        <v/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3.4722222222222099E-3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78</v>
      </c>
      <c r="G136" s="40">
        <f>G122+G135</f>
        <v>327.60000000000002</v>
      </c>
      <c r="H136" s="41"/>
      <c r="I136" s="41"/>
      <c r="J136" s="41"/>
      <c r="K136" s="41"/>
      <c r="L136" s="41"/>
      <c r="M136" s="42">
        <f ca="1">IFERROR(M122+M135,"")</f>
        <v>3.4722222222222099E-3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00" activePane="bottomLeft" state="frozen"/>
      <selection pane="bottomLeft" activeCell="E131" sqref="E1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170</v>
      </c>
      <c r="G136" s="40">
        <f>G122+G135</f>
        <v>714.00000000000011</v>
      </c>
      <c r="H136" s="41"/>
      <c r="I136" s="41"/>
      <c r="J136" s="41"/>
      <c r="K136" s="63"/>
      <c r="L136" s="63"/>
      <c r="M136" s="42">
        <f ca="1">IFERROR(M122+M135,"")</f>
        <v>0.12430555555555572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2026-08-05T23:59:45Z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