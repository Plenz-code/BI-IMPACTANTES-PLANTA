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110" documentId="8_{AF585B22-221D-4780-BB9C-493D365A6A02}" xr6:coauthVersionLast="47" xr6:coauthVersionMax="47" xr10:uidLastSave="{7041A07C-0EB3-4D5F-9D0D-DCAB219ABA41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<sst xmlns="http://schemas.openxmlformats.org/spreadsheetml/2006/main" count="3115" uniqueCount="255">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</sst>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1539220</v>
      </c>
      <c r="D9" s="11">
        <f>IFERROR('Linha 1'!O163,"")</f>
        <v>633800</v>
      </c>
      <c r="E9" s="11">
        <f>IFERROR('Linha 2'!O163,"")</f>
        <v>627680</v>
      </c>
      <c r="F9" s="11">
        <f>IFERROR('Linha 3'!O163,"")</f>
        <v>1190340</v>
      </c>
      <c r="G9" s="12">
        <f t="shared" si="0"/>
        <v>2451820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14002990</v>
      </c>
      <c r="D35" s="13">
        <f>IFERROR(SUM(D4:D34),"")</f>
        <v>6398650</v>
      </c>
      <c r="E35" s="13">
        <f>IFERROR(SUM(E4:E34),"")</f>
        <v>3406270</v>
      </c>
      <c r="F35" s="13">
        <f>IFERROR(SUM(F4:F34),"")</f>
        <v>6166270</v>
      </c>
      <c r="G35" s="13">
        <f>IFERROR(SUM(G4:G34),"")</f>
        <v>15971190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A32" zoomScale="85" zoomScaleNormal="85" workbookViewId="0">
      <selection activeCell="K58" sqref="K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47" activePane="bottomLeft" state="frozen"/>
      <selection pane="bottomLeft" activeCell="F160" sqref="F16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>
        <v>1539220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/>
      <c r="M151" s="35">
        <f t="shared" ca="1" si="34"/>
        <v>2.3179050927865319E-2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203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203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279</v>
      </c>
      <c r="G162" s="36">
        <f>SUM(G150:G161)</f>
        <v>1395</v>
      </c>
      <c r="H162" s="37"/>
      <c r="I162" s="37"/>
      <c r="J162" s="37"/>
      <c r="K162" s="37"/>
      <c r="L162" s="37"/>
      <c r="M162" s="38">
        <f ca="1">IFERROR(SUM(M150:M161),"")</f>
        <v>2.6651273150087557E-2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358</v>
      </c>
      <c r="G163" s="40">
        <f>G149+G162</f>
        <v>1790</v>
      </c>
      <c r="H163" s="41"/>
      <c r="I163" s="41"/>
      <c r="J163" s="41"/>
      <c r="K163" s="41"/>
      <c r="L163" s="41"/>
      <c r="M163" s="42">
        <f ca="1">IFERROR(M149+M162,"")</f>
        <v>0.24331793981675401</v>
      </c>
      <c r="N163" s="40" t="s">
        <v>209</v>
      </c>
      <c r="O163" s="43">
        <f>IFERROR(O149+O162,"")</f>
        <v>1539220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60" sqref="F16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>
        <v>633800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229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19</v>
      </c>
      <c r="G151" s="34">
        <f t="shared" si="33"/>
        <v>95</v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2.2222222222222143E-2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0.23333333333333323</v>
      </c>
      <c r="N163" s="40" t="s">
        <v>209</v>
      </c>
      <c r="O163" s="83">
        <f>IFERROR(O149+O162,"")</f>
        <v>633800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28" activePane="bottomLeft" state="frozen"/>
      <selection pane="bottomLeft" activeCell="F160" sqref="F16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>
        <v>627680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238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80</v>
      </c>
      <c r="G162" s="36">
        <f>SUM(G150:G161)</f>
        <v>350.4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198</v>
      </c>
      <c r="G163" s="40">
        <f>G149+G162</f>
        <v>940.4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209</v>
      </c>
      <c r="O163" s="43">
        <f>IFERROR(O149+O162,"")</f>
        <v>627680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2" activePane="bottomLeft" state="frozen"/>
      <selection pane="bottomLeft" activeCell="F160" sqref="F16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243</v>
      </c>
      <c r="L58" s="29">
        <v>0.54097222222222219</v>
      </c>
      <c r="M58" s="30" t="str">
        <f t="shared" ca="1" si="13"/>
        <v/>
      </c>
      <c r="N58" s="27" t="s">
        <v>244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0.96484571759356186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1.1641512731491175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1.5315123842602285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>
        <v>1190340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150</v>
      </c>
      <c r="G162" s="36">
        <f>SUM(G150:G161)</f>
        <v>654.00000000000011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371</v>
      </c>
      <c r="G163" s="40">
        <f>G149+G162</f>
        <v>1759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209</v>
      </c>
      <c r="O163" s="43">
        <f>IFERROR(O149+O162,"")</f>
        <v>1190340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2026-07-07T09:08:55Z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