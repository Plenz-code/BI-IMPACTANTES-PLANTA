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94" documentId="8_{AF585B22-221D-4780-BB9C-493D365A6A02}" xr6:coauthVersionLast="47" xr6:coauthVersionMax="47" xr10:uidLastSave="{85C4F5BD-F6B4-4EE9-A073-E9E4E6AB3B3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<sst xmlns="http://schemas.openxmlformats.org/spreadsheetml/2006/main" count="12371" uniqueCount="442">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</sst>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90" activePane="bottomLeft" state="frozen"/>
      <selection pane="bottomLeft" activeCell="F820" sqref="F8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/>
      <c r="M812" s="78">
        <f ca="1">IFERROR(IF(K812="","",IF(L812="",MOD(NOW()-K812,1),IF(L812&gt;=K812,L812-K812,L812+1-K812))),"")</f>
        <v>0.14325486111192731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54</v>
      </c>
      <c r="G824" s="37"/>
      <c r="H824" s="37"/>
      <c r="I824" s="37"/>
      <c r="J824" s="37"/>
      <c r="K824" s="37"/>
      <c r="L824" s="37"/>
      <c r="M824" s="110">
        <f ca="1">IFERROR(SUM(M812:M823),"")</f>
        <v>0.14325486111192731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0.14325486111192731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84" activePane="bottomLeft" state="frozen"/>
      <selection pane="bottomLeft" activeCell="F820" sqref="F8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0.40367152777616866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0.56131041666505754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0.67103263888727971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0.38214375000097789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0.55297708333431128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0.69811597222320021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337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338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340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341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342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343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346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347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348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131</v>
      </c>
      <c r="G824" s="109">
        <f>SUM(G812:G823)</f>
        <v>550.20000000000005</v>
      </c>
      <c r="H824" s="37"/>
      <c r="I824" s="37"/>
      <c r="J824" s="37"/>
      <c r="K824" s="37"/>
      <c r="L824" s="37"/>
      <c r="M824" s="110">
        <f ca="1">IFERROR(SUM(M812:M823),"")</f>
        <v>5.9722222222222177E-2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131</v>
      </c>
      <c r="G838" s="111">
        <f>G824+G837</f>
        <v>550.20000000000005</v>
      </c>
      <c r="H838" s="41"/>
      <c r="I838" s="41"/>
      <c r="J838" s="41"/>
      <c r="K838" s="41"/>
      <c r="L838" s="41"/>
      <c r="M838" s="112">
        <f ca="1">IFERROR(M824+M837,"")</f>
        <v>5.9722222222222177E-2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20" sqref="F8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291</v>
      </c>
      <c r="K141" s="29">
        <v>0.71597222222222223</v>
      </c>
      <c r="L141" s="29" t="s">
        <v>354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356</v>
      </c>
      <c r="N166" s="27" t="s">
        <v>357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328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378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379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380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381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382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328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78</v>
      </c>
      <c r="G824" s="109">
        <f>SUM(G812:G823)</f>
        <v>327.59999999999997</v>
      </c>
      <c r="H824" s="37"/>
      <c r="I824" s="37"/>
      <c r="J824" s="37"/>
      <c r="K824" s="37"/>
      <c r="L824" s="37"/>
      <c r="M824" s="110">
        <f ca="1">IFERROR(SUM(M812:M823),"")</f>
        <v>2.6388888888888906E-2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78</v>
      </c>
      <c r="G838" s="111">
        <f>G824+G837</f>
        <v>327.59999999999997</v>
      </c>
      <c r="H838" s="41"/>
      <c r="I838" s="41"/>
      <c r="J838" s="41"/>
      <c r="K838" s="41"/>
      <c r="L838" s="41"/>
      <c r="M838" s="112">
        <f ca="1">IFERROR(M824+M837,"")</f>
        <v>2.6388888888888906E-2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20" sqref="F8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387</v>
      </c>
      <c r="L58" s="29">
        <v>0.54097222222222219</v>
      </c>
      <c r="M58" s="30" t="str">
        <f t="shared" ca="1" si="13"/>
        <v/>
      </c>
      <c r="N58" s="27" t="s">
        <v>388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0.39394930555863539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0.59325486111419101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0.96061597222530204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343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432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436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437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438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439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440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441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80</v>
      </c>
      <c r="G824" s="109">
        <f>SUM(G812:G823)</f>
        <v>336.00000000000006</v>
      </c>
      <c r="H824" s="37"/>
      <c r="I824" s="37"/>
      <c r="J824" s="37"/>
      <c r="K824" s="37"/>
      <c r="L824" s="37"/>
      <c r="M824" s="110">
        <f ca="1">IFERROR(SUM(M812:M823),"")</f>
        <v>9.5138888888888884E-2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80</v>
      </c>
      <c r="G838" s="111">
        <f>G824+G837</f>
        <v>336.00000000000006</v>
      </c>
      <c r="H838" s="41"/>
      <c r="I838" s="41"/>
      <c r="J838" s="41"/>
      <c r="K838" s="41"/>
      <c r="L838" s="41"/>
      <c r="M838" s="112">
        <f ca="1">IFERROR(M824+M837,"")</f>
        <v>9.5138888888888884E-2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2026-07-31T19:28:13Z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