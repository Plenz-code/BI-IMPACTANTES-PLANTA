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545" documentId="13_ncr:1_{0A10D8D4-8450-4366-8075-B53B08E6B7EA}" xr6:coauthVersionLast="47" xr6:coauthVersionMax="47" xr10:uidLastSave="{257A484B-6094-4AC4-8659-6A4A9082756B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1" i="5"/>
  <c r="J381" i="5" s="1"/>
  <c r="H382" i="5"/>
  <c r="J382" i="5" s="1"/>
  <c r="H383" i="5"/>
  <c r="J383" i="5" s="1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1" i="4"/>
  <c r="J381" i="4" s="1"/>
  <c r="H382" i="4"/>
  <c r="J382" i="4" s="1"/>
  <c r="H383" i="4"/>
  <c r="J383" i="4" s="1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0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0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406" i="6" l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<sst xmlns="http://schemas.openxmlformats.org/spreadsheetml/2006/main" count="6715" uniqueCount="349">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</sst>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1" sqref="F38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29</v>
      </c>
      <c r="E381" s="59" t="s">
        <v>243</v>
      </c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29</v>
      </c>
      <c r="E382" s="20" t="s">
        <v>243</v>
      </c>
      <c r="F382" s="27"/>
      <c r="G382" s="28" t="str">
        <f>IF(F382="","",IF(E383="PC 17",F382*4.2,IF(E383="PC 19",F382*5,IF(E383="CB",F382*35,""))))</f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29</v>
      </c>
      <c r="E383" s="59" t="s">
        <v>243</v>
      </c>
      <c r="F383" s="27"/>
      <c r="G383" s="34" t="str">
        <f>IF(F383="","",IF(#REF!="PC 17",F383*4.2,IF(#REF!="PC 19",F383*5,IF(#REF!="CB",F383*35,""))))</f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29</v>
      </c>
      <c r="E384" s="59" t="s">
        <v>243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29</v>
      </c>
      <c r="E385" s="59" t="s">
        <v>243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29</v>
      </c>
      <c r="E386" s="59" t="s">
        <v>243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29</v>
      </c>
      <c r="E387" s="59" t="s">
        <v>243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29</v>
      </c>
      <c r="E388" s="59" t="s">
        <v>243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29</v>
      </c>
      <c r="E389" s="59" t="s">
        <v>243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29</v>
      </c>
      <c r="E390" s="59" t="s">
        <v>243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53</v>
      </c>
      <c r="D391" s="59" t="s">
        <v>29</v>
      </c>
      <c r="E391" s="59" t="s">
        <v>243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20</v>
      </c>
      <c r="G392" s="36">
        <f>SUM(G380:G391)</f>
        <v>100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20</v>
      </c>
      <c r="G406" s="40">
        <f>G392+G405</f>
        <v>100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55" activePane="bottomLeft" state="frozen"/>
      <selection pane="bottomLeft" activeCell="G381" sqref="G3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0.24828495369729353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0.38717384258618243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0.47189606480840474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82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 t="s">
        <v>27</v>
      </c>
      <c r="M381" s="33" t="s">
        <v>47</v>
      </c>
      <c r="N381" s="33" t="s">
        <v>44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17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71.400000000000006</v>
      </c>
      <c r="L392" s="37"/>
      <c r="M392" s="37"/>
      <c r="N392" s="37"/>
      <c r="O392" s="37"/>
      <c r="P392" s="37"/>
      <c r="Q392" s="38">
        <f ca="1">IFERROR(SUM(Q380:Q391),"")</f>
        <v>1.388888888888884E-2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17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71.400000000000006</v>
      </c>
      <c r="L406" s="41"/>
      <c r="M406" s="41"/>
      <c r="N406" s="41"/>
      <c r="O406" s="41"/>
      <c r="P406" s="41"/>
      <c r="Q406" s="42">
        <f ca="1">IFERROR(Q392+Q405,"")</f>
        <v>1.388888888888884E-2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3" activePane="bottomLeft" state="frozen"/>
      <selection pane="bottomLeft" activeCell="G381" sqref="G3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82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29</v>
      </c>
      <c r="F381" s="134">
        <f>IFERROR(IF($D381="","",VLOOKUP($D381,Cadastro!$C$4:$E$7,3,FALSE)),"")</f>
        <v>0.35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</v>
      </c>
      <c r="L392" s="37"/>
      <c r="M392" s="37"/>
      <c r="N392" s="37"/>
      <c r="O392" s="37"/>
      <c r="P392" s="37"/>
      <c r="Q392" s="38">
        <f ca="1">IFERROR(SUM(Q380:Q391),"")</f>
        <v>6.2499999999999778E-3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</v>
      </c>
      <c r="L406" s="41"/>
      <c r="M406" s="41"/>
      <c r="N406" s="41"/>
      <c r="O406" s="41"/>
      <c r="P406" s="41"/>
      <c r="Q406" s="42">
        <f ca="1">IFERROR(Q392+Q405,"")</f>
        <v>6.2499999999999778E-3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51" activePane="bottomLeft" state="frozen"/>
      <selection pane="bottomLeft" activeCell="G381" sqref="G38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122</v>
      </c>
      <c r="O380" s="29">
        <v>0.36944444444444446</v>
      </c>
      <c r="P380" s="29"/>
      <c r="Q380" s="30">
        <f t="shared" ref="Q380:Q391" ca="1" si="92">IFERROR(IF(O380="","",IF(P380="",MOD(NOW()-O380,1),IF(P380&gt;=O380,P380-O380,P380+1-O380))),"")</f>
        <v>3.6828703741775826E-4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67.2</v>
      </c>
      <c r="L392" s="37"/>
      <c r="M392" s="37"/>
      <c r="N392" s="37"/>
      <c r="O392" s="61"/>
      <c r="P392" s="61"/>
      <c r="Q392" s="38">
        <f ca="1">IFERROR(SUM(Q380:Q391),"")</f>
        <v>3.6828703741775826E-4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16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67.2</v>
      </c>
      <c r="L406" s="41"/>
      <c r="M406" s="41"/>
      <c r="N406" s="41"/>
      <c r="O406" s="63"/>
      <c r="P406" s="63"/>
      <c r="Q406" s="42">
        <f ca="1">IFERROR(Q392+Q405,"")</f>
        <v>3.6828703741775826E-4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2026-08-15T12:53:52Z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