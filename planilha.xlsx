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25" documentId="8_{C51EB6CB-002B-4D6B-B68F-DDEBDB4460C0}" xr6:coauthVersionLast="47" xr6:coauthVersionMax="47" xr10:uidLastSave="{E59401F1-728A-47BD-BD01-72965AE4EE77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<sst xmlns="http://schemas.openxmlformats.org/spreadsheetml/2006/main" count="2277" uniqueCount="266">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</sst>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2102950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6231495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54" activePane="bottomLeft" state="frozen"/>
      <selection pane="bottomLeft" activeCell="N71" sqref="N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/>
      <c r="M70" s="30">
        <f t="shared" ca="1" si="16"/>
        <v>7.4616898200474679E-3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228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228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 t="s">
        <v>228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55</v>
      </c>
      <c r="G81" s="36">
        <f>SUM(G69:G80)</f>
        <v>275</v>
      </c>
      <c r="H81" s="37"/>
      <c r="I81" s="37"/>
      <c r="J81" s="37"/>
      <c r="K81" s="37"/>
      <c r="L81" s="37"/>
      <c r="M81" s="38">
        <f ca="1">IFERROR(SUM(M69:M80),"")</f>
        <v>2.4128356486714186E-2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430</v>
      </c>
      <c r="G82" s="40">
        <f>G68+G81</f>
        <v>2150</v>
      </c>
      <c r="H82" s="41"/>
      <c r="I82" s="41"/>
      <c r="J82" s="41"/>
      <c r="K82" s="41"/>
      <c r="L82" s="41"/>
      <c r="M82" s="42">
        <f ca="1">IFERROR(M68+M81,"")</f>
        <v>5.6767245375603181E-2</v>
      </c>
      <c r="N82" s="40" t="s">
        <v>234</v>
      </c>
      <c r="O82" s="43">
        <f>IFERROR(O68+O81,"")</f>
        <v>2102950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66" activePane="bottomLeft" state="frozen"/>
      <selection pane="bottomLeft" activeCell="J75" sqref="J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0.82273946759232786</v>
      </c>
      <c r="N53" s="46" t="s">
        <v>253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0.9616283564812167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1.0463505787034391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/>
      <c r="G73" s="34" t="str">
        <f t="shared" si="15"/>
        <v/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30</v>
      </c>
      <c r="E80" s="62" t="s">
        <v>244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36</v>
      </c>
      <c r="G81" s="36">
        <f>SUM(G69:G80)</f>
        <v>151.19999999999999</v>
      </c>
      <c r="H81" s="37"/>
      <c r="I81" s="37"/>
      <c r="J81" s="37"/>
      <c r="K81" s="37"/>
      <c r="L81" s="37"/>
      <c r="M81" s="38">
        <f ca="1">IFERROR(SUM(M69:M80),"")</f>
        <v>2.5000000000000244E-2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172</v>
      </c>
      <c r="G82" s="40">
        <f>G68+G81</f>
        <v>722.40000000000009</v>
      </c>
      <c r="H82" s="41"/>
      <c r="I82" s="41"/>
      <c r="J82" s="41"/>
      <c r="K82" s="41"/>
      <c r="L82" s="41"/>
      <c r="M82" s="42">
        <f ca="1">IFERROR(M68+M81,"")</f>
        <v>0.14097222222222244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1" zoomScale="50" zoomScaleNormal="50" workbookViewId="0">
      <selection activeCell="F72" sqref="F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/>
      <c r="G72" s="28" t="str">
        <f t="shared" si="15"/>
        <v/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24</v>
      </c>
      <c r="G81" s="36">
        <f>SUM(G69:G80)</f>
        <v>100.80000000000001</v>
      </c>
      <c r="H81" s="37"/>
      <c r="I81" s="37"/>
      <c r="J81" s="37"/>
      <c r="K81" s="37"/>
      <c r="L81" s="37"/>
      <c r="M81" s="38">
        <f ca="1">IFERROR(SUM(M69:M80),"")</f>
        <v>2.9861111111111116E-2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74</v>
      </c>
      <c r="G82" s="40">
        <f>G68+G81</f>
        <v>310.8</v>
      </c>
      <c r="H82" s="41"/>
      <c r="I82" s="41"/>
      <c r="J82" s="41"/>
      <c r="K82" s="41"/>
      <c r="L82" s="41"/>
      <c r="M82" s="42">
        <f ca="1">IFERROR(M68+M81,"")</f>
        <v>0.11319444444444454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45" activePane="bottomLeft" state="frozen"/>
      <selection pane="bottomLeft" activeCell="J70" sqref="J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/>
      <c r="M70" s="30">
        <f t="shared" ca="1" si="16"/>
        <v>5.1724537479458377E-4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30</v>
      </c>
      <c r="E79" s="62" t="s">
        <v>244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30</v>
      </c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25</v>
      </c>
      <c r="G81" s="36">
        <f>SUM(G69:G80)</f>
        <v>105</v>
      </c>
      <c r="H81" s="37"/>
      <c r="I81" s="37"/>
      <c r="J81" s="37"/>
      <c r="K81" s="61"/>
      <c r="L81" s="61"/>
      <c r="M81" s="38">
        <f ca="1">IFERROR(SUM(M69:M80),"")</f>
        <v>4.9822800930350186E-2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140</v>
      </c>
      <c r="G82" s="40">
        <f>G68+G81</f>
        <v>588</v>
      </c>
      <c r="H82" s="41"/>
      <c r="I82" s="41"/>
      <c r="J82" s="41"/>
      <c r="K82" s="63"/>
      <c r="L82" s="63"/>
      <c r="M82" s="42">
        <f ca="1">IFERROR(M68+M81,"")</f>
        <v>0.19496168981923917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2026-08-04T02:39:53Z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