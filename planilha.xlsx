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5038" documentId="8_{AF585B22-221D-4780-BB9C-493D365A6A02}" xr6:coauthVersionLast="47" xr6:coauthVersionMax="47" xr10:uidLastSave="{8FE91910-563F-433A-A0EE-14DC7CFEED17}"/>
  <bookViews>
    <workbookView xWindow="-110" yWindow="-110" windowWidth="25820" windowHeight="15500" tabRatio="500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70" i="4" l="1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<sst xmlns="http://schemas.openxmlformats.org/spreadsheetml/2006/main" count="4698" uniqueCount="287">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</sst>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 x14ac:knownFonts="1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tabSelected="1" zoomScaleNormal="100" workbookViewId="0">
      <pane ySplit="3" topLeftCell="A4" activePane="bottomLeft" state="frozen"/>
      <selection pane="bottomLeft" activeCell="G12" sqref="G12"/>
    </sheetView>
  </sheetViews>
  <sheetFormatPr defaultColWidth="8.54296875" defaultRowHeight="14.5" x14ac:dyDescent="0.35"/>
  <cols>
    <col min="2" max="2" width="17.453125" style="71" customWidth="1"/>
    <col min="3" max="3" width="21.453125" customWidth="1"/>
    <col min="4" max="6" width="16" hidden="1" customWidth="1"/>
    <col min="7" max="7" width="34" customWidth="1"/>
  </cols>
  <sheetData>
    <row r="1" spans="1:7" ht="31.5" customHeight="1" x14ac:dyDescent="0.35">
      <c r="A1" s="97" t="s">
        <v>0</v>
      </c>
      <c r="B1" s="97"/>
      <c r="C1" s="97"/>
      <c r="D1" s="97"/>
      <c r="E1" s="97"/>
      <c r="F1" s="97"/>
      <c r="G1" s="97"/>
    </row>
    <row r="2" spans="1:7" ht="24.75" customHeight="1" x14ac:dyDescent="0.35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 x14ac:dyDescent="0.35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 x14ac:dyDescent="0.35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 x14ac:dyDescent="0.35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 x14ac:dyDescent="0.35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 x14ac:dyDescent="0.35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 x14ac:dyDescent="0.35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 x14ac:dyDescent="0.35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 x14ac:dyDescent="0.35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 x14ac:dyDescent="0.35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 x14ac:dyDescent="0.35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 x14ac:dyDescent="0.35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 x14ac:dyDescent="0.35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 x14ac:dyDescent="0.35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 x14ac:dyDescent="0.35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 x14ac:dyDescent="0.35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 x14ac:dyDescent="0.35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 x14ac:dyDescent="0.35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 x14ac:dyDescent="0.35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 x14ac:dyDescent="0.35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 x14ac:dyDescent="0.35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 x14ac:dyDescent="0.35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 x14ac:dyDescent="0.35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 x14ac:dyDescent="0.35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 x14ac:dyDescent="0.35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 x14ac:dyDescent="0.35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 x14ac:dyDescent="0.35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 x14ac:dyDescent="0.35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 x14ac:dyDescent="0.35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 x14ac:dyDescent="0.35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 x14ac:dyDescent="0.35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 x14ac:dyDescent="0.35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 x14ac:dyDescent="0.35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 x14ac:dyDescent="0.35">
      <c r="A35" s="99" t="s">
        <v>9</v>
      </c>
      <c r="B35" s="99"/>
      <c r="C35" s="13">
        <f>IFERROR(SUM(C4:C34),"")</f>
        <v>29576080</v>
      </c>
      <c r="D35" s="13">
        <f>IFERROR(SUM(D4:D34),"")</f>
        <v>10475160</v>
      </c>
      <c r="E35" s="13">
        <f>IFERROR(SUM(E4:E34),"")</f>
        <v>7417050</v>
      </c>
      <c r="F35" s="13">
        <f>IFERROR(SUM(F4:F34),"")</f>
        <v>13593110</v>
      </c>
      <c r="G35" s="13">
        <f>IFERROR(SUM(G4:G34),"")</f>
        <v>31485320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M53" sqref="M53"/>
    </sheetView>
  </sheetViews>
  <sheetFormatPr defaultColWidth="8.54296875" defaultRowHeight="14.5" x14ac:dyDescent="0.35"/>
  <cols>
    <col min="1" max="1" width="14" customWidth="1"/>
    <col min="2" max="2" width="2" customWidth="1"/>
    <col min="3" max="3" width="17.5429687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796875" customWidth="1"/>
    <col min="10" max="10" width="45.453125" customWidth="1"/>
    <col min="11" max="11" width="42.1796875" customWidth="1"/>
    <col min="12" max="12" width="36" customWidth="1"/>
    <col min="13" max="13" width="45.81640625" customWidth="1"/>
  </cols>
  <sheetData>
    <row r="1" spans="1:13" ht="27.75" customHeight="1" x14ac:dyDescent="0.35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 x14ac:dyDescent="0.35">
      <c r="H2" s="101"/>
    </row>
    <row r="3" spans="1:13" ht="21.75" customHeight="1" x14ac:dyDescent="0.35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 x14ac:dyDescent="0.35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 x14ac:dyDescent="0.35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 x14ac:dyDescent="0.35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 x14ac:dyDescent="0.35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 x14ac:dyDescent="0.35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 x14ac:dyDescent="0.35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 x14ac:dyDescent="0.35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 x14ac:dyDescent="0.35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 x14ac:dyDescent="0.35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 x14ac:dyDescent="0.35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 x14ac:dyDescent="0.35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 x14ac:dyDescent="0.35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 x14ac:dyDescent="0.35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 x14ac:dyDescent="0.35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 x14ac:dyDescent="0.35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 x14ac:dyDescent="0.35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 x14ac:dyDescent="0.35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 x14ac:dyDescent="0.35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 x14ac:dyDescent="0.35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 x14ac:dyDescent="0.35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 x14ac:dyDescent="0.35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 x14ac:dyDescent="0.35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 x14ac:dyDescent="0.35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 x14ac:dyDescent="0.35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 x14ac:dyDescent="0.35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 x14ac:dyDescent="0.35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 x14ac:dyDescent="0.35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 x14ac:dyDescent="0.35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 x14ac:dyDescent="0.35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 x14ac:dyDescent="0.35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 x14ac:dyDescent="0.35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 x14ac:dyDescent="0.35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 x14ac:dyDescent="0.35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 x14ac:dyDescent="0.35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 x14ac:dyDescent="0.35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 x14ac:dyDescent="0.35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 x14ac:dyDescent="0.35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 x14ac:dyDescent="0.35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 x14ac:dyDescent="0.35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 x14ac:dyDescent="0.35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 x14ac:dyDescent="0.35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 x14ac:dyDescent="0.35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 x14ac:dyDescent="0.35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 x14ac:dyDescent="0.35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 x14ac:dyDescent="0.35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 x14ac:dyDescent="0.35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 x14ac:dyDescent="0.35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 x14ac:dyDescent="0.35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 x14ac:dyDescent="0.35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 x14ac:dyDescent="0.35">
      <c r="H53" s="101"/>
      <c r="I53" s="17"/>
      <c r="J53" s="17"/>
      <c r="K53" s="17" t="s">
        <v>194</v>
      </c>
      <c r="L53" s="17"/>
      <c r="M53" s="17"/>
    </row>
    <row r="54" spans="1:13" ht="15" customHeight="1" x14ac:dyDescent="0.35">
      <c r="H54" s="101"/>
      <c r="I54" s="16"/>
      <c r="J54" s="16"/>
      <c r="K54" s="16" t="s">
        <v>195</v>
      </c>
      <c r="L54" s="16"/>
      <c r="M54" s="16"/>
    </row>
    <row r="55" spans="1:13" ht="15" customHeight="1" x14ac:dyDescent="0.35">
      <c r="H55" s="101"/>
      <c r="I55" s="17"/>
      <c r="J55" s="17"/>
      <c r="K55" s="17" t="s">
        <v>196</v>
      </c>
      <c r="L55" s="17"/>
      <c r="M55" s="17"/>
    </row>
    <row r="56" spans="1:13" ht="15" customHeight="1" x14ac:dyDescent="0.35">
      <c r="H56" s="101"/>
      <c r="I56" s="16"/>
      <c r="J56" s="16"/>
      <c r="K56" s="16" t="s">
        <v>197</v>
      </c>
      <c r="L56" s="16"/>
      <c r="M56" s="16"/>
    </row>
    <row r="57" spans="1:13" ht="15" customHeight="1" x14ac:dyDescent="0.35">
      <c r="H57" s="101"/>
      <c r="I57" s="17"/>
      <c r="J57" s="17"/>
      <c r="K57" s="17" t="s">
        <v>50</v>
      </c>
      <c r="L57" s="17"/>
      <c r="M57" s="17"/>
    </row>
    <row r="58" spans="1:13" ht="15" customHeight="1" x14ac:dyDescent="0.35">
      <c r="H58" s="101"/>
      <c r="I58" s="16"/>
      <c r="J58" s="16"/>
      <c r="K58" s="16" t="s">
        <v>198</v>
      </c>
      <c r="L58" s="16"/>
      <c r="M58" s="16"/>
    </row>
    <row r="59" spans="1:13" ht="15" customHeight="1" x14ac:dyDescent="0.35">
      <c r="H59" s="101"/>
      <c r="I59" s="17"/>
      <c r="J59" s="17"/>
      <c r="K59" s="17" t="s">
        <v>199</v>
      </c>
      <c r="L59" s="17"/>
      <c r="M59" s="17"/>
    </row>
    <row r="60" spans="1:13" ht="15" customHeight="1" x14ac:dyDescent="0.35">
      <c r="H60" s="101"/>
      <c r="I60" s="16"/>
      <c r="J60" s="16"/>
      <c r="K60" s="87" t="s">
        <v>105</v>
      </c>
      <c r="L60" s="16"/>
      <c r="M60" s="16"/>
    </row>
    <row r="61" spans="1:13" ht="15" customHeight="1" x14ac:dyDescent="0.35">
      <c r="H61" s="101"/>
      <c r="I61" s="17"/>
      <c r="J61" s="17"/>
      <c r="K61" s="17" t="s">
        <v>200</v>
      </c>
      <c r="L61" s="17"/>
      <c r="M61" s="17"/>
    </row>
    <row r="62" spans="1:13" ht="15" customHeight="1" x14ac:dyDescent="0.35">
      <c r="H62" s="101"/>
      <c r="I62" s="16"/>
      <c r="J62" s="16"/>
      <c r="K62" s="16" t="s">
        <v>201</v>
      </c>
      <c r="L62" s="16"/>
      <c r="M62" s="16"/>
    </row>
    <row r="63" spans="1:13" ht="15" customHeight="1" x14ac:dyDescent="0.35">
      <c r="H63" s="101"/>
      <c r="I63" s="17"/>
      <c r="J63" s="17"/>
      <c r="K63" s="17"/>
      <c r="L63" s="17"/>
      <c r="M63" s="17"/>
    </row>
    <row r="64" spans="1:13" ht="15" customHeight="1" x14ac:dyDescent="0.35">
      <c r="H64" s="101"/>
      <c r="I64" s="16"/>
      <c r="J64" s="16"/>
      <c r="K64" s="16"/>
      <c r="L64" s="16"/>
      <c r="M64" s="16"/>
    </row>
    <row r="65" spans="8:13" ht="15" customHeight="1" x14ac:dyDescent="0.35">
      <c r="H65" s="101"/>
      <c r="I65" s="17"/>
      <c r="J65" s="17"/>
      <c r="K65" s="17"/>
      <c r="L65" s="17"/>
      <c r="M65" s="17"/>
    </row>
    <row r="66" spans="8:13" ht="15" customHeight="1" x14ac:dyDescent="0.35">
      <c r="H66" s="101"/>
      <c r="I66" s="16"/>
      <c r="J66" s="16"/>
      <c r="K66" s="16"/>
      <c r="L66" s="16"/>
      <c r="M66" s="16"/>
    </row>
    <row r="67" spans="8:13" ht="15" customHeight="1" x14ac:dyDescent="0.35">
      <c r="H67" s="101"/>
      <c r="I67" s="17"/>
      <c r="J67" s="17"/>
      <c r="K67" s="17"/>
      <c r="L67" s="17"/>
      <c r="M67" s="17"/>
    </row>
    <row r="68" spans="8:13" ht="15" customHeight="1" x14ac:dyDescent="0.35">
      <c r="H68" s="101"/>
      <c r="I68" s="16"/>
      <c r="J68" s="16"/>
      <c r="K68" s="16"/>
      <c r="L68" s="16"/>
      <c r="M68" s="16"/>
    </row>
    <row r="69" spans="8:13" ht="15" customHeight="1" x14ac:dyDescent="0.35">
      <c r="H69" s="101"/>
      <c r="I69" s="17"/>
      <c r="J69" s="17"/>
      <c r="K69" s="17"/>
      <c r="L69" s="17"/>
      <c r="M69" s="17"/>
    </row>
    <row r="70" spans="8:13" ht="15" customHeight="1" x14ac:dyDescent="0.35">
      <c r="H70" s="101"/>
      <c r="I70" s="16"/>
      <c r="J70" s="16"/>
      <c r="K70" s="16"/>
      <c r="L70" s="16"/>
      <c r="M70" s="16"/>
    </row>
    <row r="71" spans="8:13" ht="15" customHeight="1" x14ac:dyDescent="0.35">
      <c r="H71" s="101"/>
      <c r="I71" s="17"/>
      <c r="J71" s="17"/>
      <c r="K71" s="17"/>
      <c r="L71" s="17"/>
      <c r="M71" s="17"/>
    </row>
    <row r="72" spans="8:13" ht="15" customHeight="1" x14ac:dyDescent="0.35">
      <c r="H72" s="101"/>
      <c r="I72" s="16"/>
      <c r="J72" s="16"/>
      <c r="K72" s="16"/>
      <c r="L72" s="16"/>
      <c r="M72" s="16"/>
    </row>
    <row r="73" spans="8:13" ht="15" customHeight="1" x14ac:dyDescent="0.35">
      <c r="H73" s="101"/>
      <c r="I73" s="17"/>
      <c r="J73" s="17"/>
      <c r="K73" s="17"/>
      <c r="L73" s="17"/>
      <c r="M73" s="17"/>
    </row>
    <row r="74" spans="8:13" ht="15" customHeight="1" x14ac:dyDescent="0.35">
      <c r="H74" s="101"/>
      <c r="I74" s="16"/>
      <c r="J74" s="16"/>
      <c r="K74" s="16"/>
      <c r="L74" s="16"/>
      <c r="M74" s="16"/>
    </row>
    <row r="75" spans="8:13" ht="15" customHeight="1" x14ac:dyDescent="0.35">
      <c r="H75" s="101"/>
      <c r="I75" s="17"/>
      <c r="J75" s="17"/>
      <c r="K75" s="17"/>
      <c r="L75" s="17"/>
      <c r="M75" s="17"/>
    </row>
    <row r="76" spans="8:13" ht="15" customHeight="1" x14ac:dyDescent="0.35"/>
    <row r="77" spans="8:13" ht="15" customHeight="1" x14ac:dyDescent="0.35"/>
    <row r="78" spans="8:13" ht="15" customHeight="1" x14ac:dyDescent="0.35"/>
    <row r="79" spans="8:13" ht="15" customHeight="1" x14ac:dyDescent="0.35"/>
    <row r="80" spans="8:13" ht="15" customHeight="1" x14ac:dyDescent="0.35"/>
    <row r="81" ht="15" customHeight="1" x14ac:dyDescent="0.35"/>
    <row r="82" ht="15" customHeight="1" x14ac:dyDescent="0.35"/>
    <row r="83" ht="15" customHeight="1" x14ac:dyDescent="0.35"/>
    <row r="84" ht="15" customHeight="1" x14ac:dyDescent="0.35"/>
    <row r="85" ht="15" customHeight="1" x14ac:dyDescent="0.35"/>
    <row r="86" ht="15" customHeight="1" x14ac:dyDescent="0.35"/>
    <row r="87" ht="15" customHeight="1" x14ac:dyDescent="0.35"/>
    <row r="88" ht="15" customHeight="1" x14ac:dyDescent="0.35"/>
    <row r="89" ht="15" customHeight="1" x14ac:dyDescent="0.35"/>
    <row r="90" ht="15" customHeight="1" x14ac:dyDescent="0.35"/>
    <row r="91" ht="15" customHeight="1" x14ac:dyDescent="0.35"/>
    <row r="92" ht="15" customHeight="1" x14ac:dyDescent="0.35"/>
    <row r="93" ht="15" customHeight="1" x14ac:dyDescent="0.35"/>
    <row r="94" ht="15" customHeight="1" x14ac:dyDescent="0.35"/>
    <row r="95" ht="15" customHeight="1" x14ac:dyDescent="0.35"/>
    <row r="96" ht="15" customHeight="1" x14ac:dyDescent="0.35"/>
    <row r="97" ht="15" customHeight="1" x14ac:dyDescent="0.35"/>
    <row r="98" ht="15" customHeight="1" x14ac:dyDescent="0.35"/>
    <row r="99" ht="15" customHeight="1" x14ac:dyDescent="0.35"/>
    <row r="100" ht="15" customHeight="1" x14ac:dyDescent="0.35"/>
    <row r="101" ht="15" customHeight="1" x14ac:dyDescent="0.35"/>
    <row r="102" ht="15" customHeight="1" x14ac:dyDescent="0.35"/>
    <row r="103" ht="15" customHeight="1" x14ac:dyDescent="0.35"/>
    <row r="104" ht="15" customHeight="1" x14ac:dyDescent="0.35"/>
    <row r="105" ht="15" customHeight="1" x14ac:dyDescent="0.35"/>
    <row r="106" ht="15" customHeight="1" x14ac:dyDescent="0.35"/>
    <row r="107" ht="15" customHeight="1" x14ac:dyDescent="0.35"/>
    <row r="108" ht="15" customHeight="1" x14ac:dyDescent="0.35"/>
    <row r="109" ht="15" customHeight="1" x14ac:dyDescent="0.35"/>
    <row r="110" ht="15" customHeight="1" x14ac:dyDescent="0.35"/>
    <row r="111" ht="15" customHeight="1" x14ac:dyDescent="0.35"/>
    <row r="112" ht="15" customHeight="1" x14ac:dyDescent="0.35"/>
    <row r="113" ht="15" customHeight="1" x14ac:dyDescent="0.35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70" zoomScaleNormal="70" workbookViewId="0">
      <pane ySplit="1" topLeftCell="A244" activePane="bottomLeft" state="frozen"/>
      <selection pane="bottomLeft" activeCell="F273" sqref="F273"/>
    </sheetView>
  </sheetViews>
  <sheetFormatPr defaultColWidth="8.54296875" defaultRowHeight="14.5" x14ac:dyDescent="0.3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796875" style="20" customWidth="1"/>
    <col min="9" max="9" width="23.453125" style="20" customWidth="1"/>
    <col min="10" max="10" width="43.1796875" style="20" customWidth="1"/>
    <col min="11" max="11" width="14" style="20" customWidth="1"/>
    <col min="12" max="12" width="13.1796875" style="21" customWidth="1"/>
    <col min="13" max="13" width="14" style="20" customWidth="1"/>
    <col min="14" max="14" width="50.453125" style="20" customWidth="1"/>
    <col min="15" max="15" width="14" customWidth="1"/>
  </cols>
  <sheetData>
    <row r="1" spans="1:15" ht="37.5" customHeight="1" x14ac:dyDescent="0.35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 x14ac:dyDescent="0.35">
      <c r="A2" s="69">
        <v>46204</v>
      </c>
      <c r="B2" s="25">
        <v>0.33333333333333298</v>
      </c>
      <c r="C2" s="26" t="s">
        <v>29</v>
      </c>
      <c r="D2" s="20" t="s">
        <v>212</v>
      </c>
      <c r="E2" s="59" t="s">
        <v>213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214</v>
      </c>
      <c r="O2" s="31"/>
    </row>
    <row r="3" spans="1:15" ht="15" customHeight="1" x14ac:dyDescent="0.35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3:M13" ca="1" si="2">IFERROR(IF(K3="","",IF(L3="",MOD(NOW()-K3,1),IF(L3&gt;=K3,L3-K3,L3+1-K3))),"")</f>
        <v>4.7916666666666663E-2</v>
      </c>
      <c r="N3" s="27"/>
      <c r="O3" s="31"/>
    </row>
    <row r="4" spans="1:15" ht="15" customHeight="1" x14ac:dyDescent="0.35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 x14ac:dyDescent="0.35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 x14ac:dyDescent="0.35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 x14ac:dyDescent="0.35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 x14ac:dyDescent="0.35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 x14ac:dyDescent="0.35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 x14ac:dyDescent="0.35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 x14ac:dyDescent="0.35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 x14ac:dyDescent="0.35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 x14ac:dyDescent="0.35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 x14ac:dyDescent="0.35">
      <c r="A14" s="91" t="s">
        <v>215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216</v>
      </c>
      <c r="O14" s="39">
        <v>1489420</v>
      </c>
    </row>
    <row r="15" spans="1:15" ht="15" customHeight="1" x14ac:dyDescent="0.35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 x14ac:dyDescent="0.35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 x14ac:dyDescent="0.35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 x14ac:dyDescent="0.35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 x14ac:dyDescent="0.35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 x14ac:dyDescent="0.35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 x14ac:dyDescent="0.35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 x14ac:dyDescent="0.35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 x14ac:dyDescent="0.35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 x14ac:dyDescent="0.35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 x14ac:dyDescent="0.35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 x14ac:dyDescent="0.35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 x14ac:dyDescent="0.35">
      <c r="A27" s="91" t="s">
        <v>217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216</v>
      </c>
      <c r="O27" s="39">
        <v>1183060</v>
      </c>
    </row>
    <row r="28" spans="1:15" ht="18" customHeight="1" x14ac:dyDescent="0.35">
      <c r="A28" s="94" t="s">
        <v>218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219</v>
      </c>
      <c r="O28" s="43">
        <f>IFERROR(O14+O27,"")</f>
        <v>2672480</v>
      </c>
    </row>
    <row r="29" spans="1:15" ht="15" customHeight="1" x14ac:dyDescent="0.35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 x14ac:dyDescent="0.35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220</v>
      </c>
      <c r="O30" s="31"/>
    </row>
    <row r="31" spans="1:15" ht="15" customHeight="1" x14ac:dyDescent="0.35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 x14ac:dyDescent="0.35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 x14ac:dyDescent="0.35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 x14ac:dyDescent="0.35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 x14ac:dyDescent="0.35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 x14ac:dyDescent="0.35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 x14ac:dyDescent="0.35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 x14ac:dyDescent="0.35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 x14ac:dyDescent="0.35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 x14ac:dyDescent="0.35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 x14ac:dyDescent="0.35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216</v>
      </c>
      <c r="O41" s="39">
        <v>108620</v>
      </c>
    </row>
    <row r="42" spans="1:15" ht="15" customHeight="1" x14ac:dyDescent="0.35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 x14ac:dyDescent="0.35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 x14ac:dyDescent="0.35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 x14ac:dyDescent="0.35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 x14ac:dyDescent="0.35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 x14ac:dyDescent="0.35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 x14ac:dyDescent="0.35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 x14ac:dyDescent="0.35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 x14ac:dyDescent="0.35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 x14ac:dyDescent="0.35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 x14ac:dyDescent="0.35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 x14ac:dyDescent="0.35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 x14ac:dyDescent="0.35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216</v>
      </c>
      <c r="O54" s="39">
        <v>959290</v>
      </c>
    </row>
    <row r="55" spans="1:15" ht="18" customHeight="1" x14ac:dyDescent="0.35">
      <c r="A55" s="94" t="s">
        <v>218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219</v>
      </c>
      <c r="O55" s="43">
        <f>IFERROR(O41+O54,"")</f>
        <v>1067910</v>
      </c>
    </row>
    <row r="56" spans="1:15" ht="15" customHeight="1" x14ac:dyDescent="0.35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 x14ac:dyDescent="0.35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 x14ac:dyDescent="0.35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 x14ac:dyDescent="0.35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 x14ac:dyDescent="0.35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 x14ac:dyDescent="0.35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 x14ac:dyDescent="0.35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 x14ac:dyDescent="0.35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 x14ac:dyDescent="0.35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 x14ac:dyDescent="0.35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 x14ac:dyDescent="0.35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 x14ac:dyDescent="0.35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 x14ac:dyDescent="0.35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216</v>
      </c>
      <c r="O68" s="39">
        <v>1953130</v>
      </c>
    </row>
    <row r="69" spans="1:15" ht="15" customHeight="1" x14ac:dyDescent="0.35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 x14ac:dyDescent="0.35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221</v>
      </c>
      <c r="O70" s="31"/>
    </row>
    <row r="71" spans="1:15" ht="15" customHeight="1" x14ac:dyDescent="0.35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 x14ac:dyDescent="0.35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 x14ac:dyDescent="0.35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 x14ac:dyDescent="0.35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 x14ac:dyDescent="0.35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 x14ac:dyDescent="0.35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 x14ac:dyDescent="0.35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 x14ac:dyDescent="0.35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 x14ac:dyDescent="0.35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 x14ac:dyDescent="0.35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 x14ac:dyDescent="0.35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216</v>
      </c>
      <c r="O81" s="39">
        <v>878050</v>
      </c>
    </row>
    <row r="82" spans="1:15" ht="18" customHeight="1" x14ac:dyDescent="0.35">
      <c r="A82" s="94" t="s">
        <v>218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219</v>
      </c>
      <c r="O82" s="43">
        <f>IFERROR(O68+O81,"")</f>
        <v>2831180</v>
      </c>
    </row>
    <row r="83" spans="1:15" ht="15" customHeight="1" x14ac:dyDescent="0.35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222</v>
      </c>
      <c r="O83" s="31"/>
    </row>
    <row r="84" spans="1:15" ht="15" customHeight="1" x14ac:dyDescent="0.35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 x14ac:dyDescent="0.35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 x14ac:dyDescent="0.35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 x14ac:dyDescent="0.35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 x14ac:dyDescent="0.35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 x14ac:dyDescent="0.35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 x14ac:dyDescent="0.35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 x14ac:dyDescent="0.35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 x14ac:dyDescent="0.35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 x14ac:dyDescent="0.35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 x14ac:dyDescent="0.35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 x14ac:dyDescent="0.35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216</v>
      </c>
      <c r="O95" s="39">
        <v>1704450</v>
      </c>
    </row>
    <row r="96" spans="1:15" ht="15" customHeight="1" x14ac:dyDescent="0.35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223</v>
      </c>
      <c r="O96" s="31"/>
    </row>
    <row r="97" spans="1:15" ht="15" customHeight="1" x14ac:dyDescent="0.35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 x14ac:dyDescent="0.35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 x14ac:dyDescent="0.35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 x14ac:dyDescent="0.35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 x14ac:dyDescent="0.35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 x14ac:dyDescent="0.35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 x14ac:dyDescent="0.35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 x14ac:dyDescent="0.35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 x14ac:dyDescent="0.35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 x14ac:dyDescent="0.35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 x14ac:dyDescent="0.35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 x14ac:dyDescent="0.35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216</v>
      </c>
      <c r="O108" s="39">
        <v>1700000</v>
      </c>
    </row>
    <row r="109" spans="1:15" ht="18" customHeight="1" x14ac:dyDescent="0.35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219</v>
      </c>
      <c r="O109" s="43">
        <f>IFERROR(O95+O108,"")</f>
        <v>3404450</v>
      </c>
    </row>
    <row r="110" spans="1:15" ht="15" customHeight="1" x14ac:dyDescent="0.35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 x14ac:dyDescent="0.35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 x14ac:dyDescent="0.35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 x14ac:dyDescent="0.35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 x14ac:dyDescent="0.35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 x14ac:dyDescent="0.35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 x14ac:dyDescent="0.35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 x14ac:dyDescent="0.35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 x14ac:dyDescent="0.35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 x14ac:dyDescent="0.35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 x14ac:dyDescent="0.35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 x14ac:dyDescent="0.35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 x14ac:dyDescent="0.35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216</v>
      </c>
      <c r="O122" s="39">
        <v>1625420</v>
      </c>
    </row>
    <row r="123" spans="1:15" ht="15" customHeight="1" x14ac:dyDescent="0.35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 x14ac:dyDescent="0.35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 x14ac:dyDescent="0.35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 x14ac:dyDescent="0.35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 x14ac:dyDescent="0.35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 x14ac:dyDescent="0.35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 x14ac:dyDescent="0.35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 x14ac:dyDescent="0.35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 x14ac:dyDescent="0.35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 x14ac:dyDescent="0.35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 x14ac:dyDescent="0.35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 x14ac:dyDescent="0.35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 x14ac:dyDescent="0.35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216</v>
      </c>
      <c r="O135" s="39">
        <v>862330</v>
      </c>
    </row>
    <row r="136" spans="1:15" ht="18" customHeight="1" x14ac:dyDescent="0.35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219</v>
      </c>
      <c r="O136" s="43">
        <f>IFERROR(O122+O135,"")</f>
        <v>2487750</v>
      </c>
    </row>
    <row r="137" spans="1:15" ht="15" customHeight="1" x14ac:dyDescent="0.35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 x14ac:dyDescent="0.35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 x14ac:dyDescent="0.35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 x14ac:dyDescent="0.35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 x14ac:dyDescent="0.35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 x14ac:dyDescent="0.35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 x14ac:dyDescent="0.35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 x14ac:dyDescent="0.35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 x14ac:dyDescent="0.35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 x14ac:dyDescent="0.35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 x14ac:dyDescent="0.35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 x14ac:dyDescent="0.35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 x14ac:dyDescent="0.45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216</v>
      </c>
      <c r="O149" s="44">
        <v>1121220</v>
      </c>
    </row>
    <row r="150" spans="1:15" ht="15" customHeight="1" x14ac:dyDescent="0.35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 x14ac:dyDescent="0.35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 x14ac:dyDescent="0.35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 x14ac:dyDescent="0.35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 x14ac:dyDescent="0.35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 x14ac:dyDescent="0.35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 x14ac:dyDescent="0.35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 x14ac:dyDescent="0.35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 x14ac:dyDescent="0.35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 x14ac:dyDescent="0.35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 x14ac:dyDescent="0.35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 x14ac:dyDescent="0.35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 x14ac:dyDescent="0.45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216</v>
      </c>
      <c r="O162" s="44">
        <v>1546080</v>
      </c>
    </row>
    <row r="163" spans="1:15" ht="18" customHeight="1" x14ac:dyDescent="0.35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219</v>
      </c>
      <c r="O163" s="43">
        <f>IFERROR(O149+O162,"")</f>
        <v>2667300</v>
      </c>
    </row>
    <row r="164" spans="1:15" ht="15" customHeight="1" x14ac:dyDescent="0.35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 x14ac:dyDescent="0.35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 x14ac:dyDescent="0.35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 x14ac:dyDescent="0.35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 x14ac:dyDescent="0.35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 x14ac:dyDescent="0.35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 x14ac:dyDescent="0.35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 x14ac:dyDescent="0.35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 x14ac:dyDescent="0.35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 x14ac:dyDescent="0.35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 x14ac:dyDescent="0.35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 x14ac:dyDescent="0.35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 x14ac:dyDescent="0.35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216</v>
      </c>
      <c r="O176" s="39">
        <v>1946430</v>
      </c>
    </row>
    <row r="177" spans="1:15" ht="15" customHeight="1" x14ac:dyDescent="0.35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 x14ac:dyDescent="0.35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 x14ac:dyDescent="0.35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 x14ac:dyDescent="0.35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 x14ac:dyDescent="0.35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 x14ac:dyDescent="0.35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 x14ac:dyDescent="0.35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 x14ac:dyDescent="0.35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 x14ac:dyDescent="0.35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 x14ac:dyDescent="0.35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 x14ac:dyDescent="0.35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 x14ac:dyDescent="0.35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 x14ac:dyDescent="0.35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216</v>
      </c>
      <c r="O189" s="39">
        <v>2355810</v>
      </c>
    </row>
    <row r="190" spans="1:15" ht="18" customHeight="1" x14ac:dyDescent="0.35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219</v>
      </c>
      <c r="O190" s="43">
        <f>IFERROR(O176+O189,"")</f>
        <v>4302240</v>
      </c>
    </row>
    <row r="191" spans="1:15" ht="15" customHeight="1" x14ac:dyDescent="0.35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 x14ac:dyDescent="0.35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 x14ac:dyDescent="0.35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 x14ac:dyDescent="0.35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 x14ac:dyDescent="0.35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 x14ac:dyDescent="0.35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 x14ac:dyDescent="0.35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 x14ac:dyDescent="0.35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 x14ac:dyDescent="0.35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 x14ac:dyDescent="0.35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 x14ac:dyDescent="0.35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 x14ac:dyDescent="0.35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 x14ac:dyDescent="0.35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216</v>
      </c>
      <c r="O203" s="45">
        <v>1895110</v>
      </c>
    </row>
    <row r="204" spans="1:15" ht="15" customHeight="1" x14ac:dyDescent="0.35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 x14ac:dyDescent="0.35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 x14ac:dyDescent="0.35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 x14ac:dyDescent="0.35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 x14ac:dyDescent="0.35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 x14ac:dyDescent="0.35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 x14ac:dyDescent="0.35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 x14ac:dyDescent="0.35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 x14ac:dyDescent="0.35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 x14ac:dyDescent="0.35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 x14ac:dyDescent="0.35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 x14ac:dyDescent="0.35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 x14ac:dyDescent="0.35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216</v>
      </c>
      <c r="O216" s="45">
        <v>2013260</v>
      </c>
    </row>
    <row r="217" spans="1:15" ht="18" customHeight="1" x14ac:dyDescent="0.35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219</v>
      </c>
      <c r="O217" s="48">
        <f>IFERROR(O203+O216,"")</f>
        <v>3908370</v>
      </c>
    </row>
    <row r="218" spans="1:15" ht="15" customHeight="1" x14ac:dyDescent="0.35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224</v>
      </c>
      <c r="O218" s="47"/>
    </row>
    <row r="219" spans="1:15" ht="15" customHeight="1" x14ac:dyDescent="0.35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 x14ac:dyDescent="0.35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 x14ac:dyDescent="0.35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 x14ac:dyDescent="0.35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 x14ac:dyDescent="0.35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 x14ac:dyDescent="0.35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 x14ac:dyDescent="0.35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 x14ac:dyDescent="0.35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 x14ac:dyDescent="0.35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 x14ac:dyDescent="0.35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 x14ac:dyDescent="0.35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 x14ac:dyDescent="0.35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216</v>
      </c>
      <c r="O230" s="39">
        <v>1436170</v>
      </c>
    </row>
    <row r="231" spans="1:15" ht="15" customHeight="1" x14ac:dyDescent="0.35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 x14ac:dyDescent="0.35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 x14ac:dyDescent="0.35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 x14ac:dyDescent="0.35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 x14ac:dyDescent="0.35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 x14ac:dyDescent="0.35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 x14ac:dyDescent="0.35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 x14ac:dyDescent="0.35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 x14ac:dyDescent="0.35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 x14ac:dyDescent="0.35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 x14ac:dyDescent="0.35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 x14ac:dyDescent="0.35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 x14ac:dyDescent="0.35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216</v>
      </c>
      <c r="O243" s="39">
        <v>1545480</v>
      </c>
    </row>
    <row r="244" spans="1:15" ht="18" customHeight="1" x14ac:dyDescent="0.35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219</v>
      </c>
      <c r="O244" s="48">
        <f>IFERROR(O230+O243,"")</f>
        <v>2981650</v>
      </c>
    </row>
    <row r="245" spans="1:15" ht="15" customHeight="1" x14ac:dyDescent="0.35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225</v>
      </c>
      <c r="O245" s="47"/>
    </row>
    <row r="246" spans="1:15" ht="15" customHeight="1" x14ac:dyDescent="0.35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 x14ac:dyDescent="0.35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 x14ac:dyDescent="0.35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 x14ac:dyDescent="0.35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 x14ac:dyDescent="0.35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 x14ac:dyDescent="0.35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 x14ac:dyDescent="0.35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 x14ac:dyDescent="0.35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 x14ac:dyDescent="0.35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 x14ac:dyDescent="0.35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 x14ac:dyDescent="0.35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 x14ac:dyDescent="0.35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216</v>
      </c>
      <c r="O257" s="39">
        <v>2070060</v>
      </c>
    </row>
    <row r="258" spans="1:15" ht="15" customHeight="1" x14ac:dyDescent="0.35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 x14ac:dyDescent="0.35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213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 x14ac:dyDescent="0.35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213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 x14ac:dyDescent="0.35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213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 x14ac:dyDescent="0.35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213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 x14ac:dyDescent="0.35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213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 x14ac:dyDescent="0.35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213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 x14ac:dyDescent="0.35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213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 x14ac:dyDescent="0.35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213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 x14ac:dyDescent="0.35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213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 x14ac:dyDescent="0.35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213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 x14ac:dyDescent="0.35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213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 x14ac:dyDescent="0.35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216</v>
      </c>
      <c r="O270" s="39">
        <v>1182690</v>
      </c>
    </row>
    <row r="271" spans="1:15" ht="18" customHeight="1" x14ac:dyDescent="0.35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219</v>
      </c>
      <c r="O271" s="48">
        <f>IFERROR(O257+O270,"")</f>
        <v>3252750</v>
      </c>
    </row>
    <row r="272" spans="1:15" ht="15" customHeight="1" x14ac:dyDescent="0.35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213</v>
      </c>
      <c r="F272" s="27">
        <v>5</v>
      </c>
      <c r="G272" s="28">
        <f t="shared" ref="G272:G283" si="60">IF(F272="","",IF(E272="PC 17",F272*4.2,IF(E272="PC 19",F272*5,"")))</f>
        <v>25</v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 x14ac:dyDescent="0.35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213</v>
      </c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 x14ac:dyDescent="0.35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213</v>
      </c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 x14ac:dyDescent="0.35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213</v>
      </c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 x14ac:dyDescent="0.35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213</v>
      </c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 x14ac:dyDescent="0.35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213</v>
      </c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 x14ac:dyDescent="0.35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213</v>
      </c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 x14ac:dyDescent="0.35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213</v>
      </c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 x14ac:dyDescent="0.35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213</v>
      </c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 x14ac:dyDescent="0.35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213</v>
      </c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 x14ac:dyDescent="0.35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213</v>
      </c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 x14ac:dyDescent="0.35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213</v>
      </c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 x14ac:dyDescent="0.35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5</v>
      </c>
      <c r="G284" s="36">
        <f>SUM(G272:G283)</f>
        <v>25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216</v>
      </c>
      <c r="O284" s="39"/>
    </row>
    <row r="285" spans="1:15" ht="15" customHeight="1" x14ac:dyDescent="0.35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 x14ac:dyDescent="0.35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 x14ac:dyDescent="0.35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 x14ac:dyDescent="0.35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 x14ac:dyDescent="0.35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 x14ac:dyDescent="0.35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 x14ac:dyDescent="0.35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 x14ac:dyDescent="0.35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 x14ac:dyDescent="0.35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 x14ac:dyDescent="0.35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 x14ac:dyDescent="0.35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 x14ac:dyDescent="0.35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 x14ac:dyDescent="0.35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216</v>
      </c>
      <c r="O297" s="39"/>
    </row>
    <row r="298" spans="1:15" ht="18" customHeight="1" x14ac:dyDescent="0.35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5</v>
      </c>
      <c r="G298" s="40">
        <f>G284+G297</f>
        <v>25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219</v>
      </c>
      <c r="O298" s="48">
        <f>IFERROR(O284+O297,"")</f>
        <v>0</v>
      </c>
    </row>
    <row r="299" spans="1:15" ht="15" customHeight="1" x14ac:dyDescent="0.35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 x14ac:dyDescent="0.35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 x14ac:dyDescent="0.35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 x14ac:dyDescent="0.35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 x14ac:dyDescent="0.35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 x14ac:dyDescent="0.35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 x14ac:dyDescent="0.35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 x14ac:dyDescent="0.35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 x14ac:dyDescent="0.35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 x14ac:dyDescent="0.35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 x14ac:dyDescent="0.35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 x14ac:dyDescent="0.35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 x14ac:dyDescent="0.35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 x14ac:dyDescent="0.35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 x14ac:dyDescent="0.35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 x14ac:dyDescent="0.35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 x14ac:dyDescent="0.35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 x14ac:dyDescent="0.35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 x14ac:dyDescent="0.35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 x14ac:dyDescent="0.35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 x14ac:dyDescent="0.35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 x14ac:dyDescent="0.35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 x14ac:dyDescent="0.35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 x14ac:dyDescent="0.35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 x14ac:dyDescent="0.35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 x14ac:dyDescent="0.35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 x14ac:dyDescent="0.35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 x14ac:dyDescent="0.35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 x14ac:dyDescent="0.35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 x14ac:dyDescent="0.35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 x14ac:dyDescent="0.35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 x14ac:dyDescent="0.35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 x14ac:dyDescent="0.35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 x14ac:dyDescent="0.35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 x14ac:dyDescent="0.35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 x14ac:dyDescent="0.35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 x14ac:dyDescent="0.35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 x14ac:dyDescent="0.35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 x14ac:dyDescent="0.35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 x14ac:dyDescent="0.35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 x14ac:dyDescent="0.35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 x14ac:dyDescent="0.35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 x14ac:dyDescent="0.35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 x14ac:dyDescent="0.35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 x14ac:dyDescent="0.35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 x14ac:dyDescent="0.35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 x14ac:dyDescent="0.35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 x14ac:dyDescent="0.35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 x14ac:dyDescent="0.35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 x14ac:dyDescent="0.35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 x14ac:dyDescent="0.35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 x14ac:dyDescent="0.35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 x14ac:dyDescent="0.35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 x14ac:dyDescent="0.35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 x14ac:dyDescent="0.35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 x14ac:dyDescent="0.35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 x14ac:dyDescent="0.35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 x14ac:dyDescent="0.35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 x14ac:dyDescent="0.35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 x14ac:dyDescent="0.35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 x14ac:dyDescent="0.35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 x14ac:dyDescent="0.35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 x14ac:dyDescent="0.35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 x14ac:dyDescent="0.35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 x14ac:dyDescent="0.35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 x14ac:dyDescent="0.35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 x14ac:dyDescent="0.35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 x14ac:dyDescent="0.35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 x14ac:dyDescent="0.35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 x14ac:dyDescent="0.35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 x14ac:dyDescent="0.35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 x14ac:dyDescent="0.35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 x14ac:dyDescent="0.35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 x14ac:dyDescent="0.35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 x14ac:dyDescent="0.35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 x14ac:dyDescent="0.35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 x14ac:dyDescent="0.35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 x14ac:dyDescent="0.35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 x14ac:dyDescent="0.35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 x14ac:dyDescent="0.35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 x14ac:dyDescent="0.35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 x14ac:dyDescent="0.35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 x14ac:dyDescent="0.35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 x14ac:dyDescent="0.35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 x14ac:dyDescent="0.35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 x14ac:dyDescent="0.35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 x14ac:dyDescent="0.35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 x14ac:dyDescent="0.35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 x14ac:dyDescent="0.35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 x14ac:dyDescent="0.35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 x14ac:dyDescent="0.35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 x14ac:dyDescent="0.35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 x14ac:dyDescent="0.35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 x14ac:dyDescent="0.35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 x14ac:dyDescent="0.35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 x14ac:dyDescent="0.35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 x14ac:dyDescent="0.35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 x14ac:dyDescent="0.35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 x14ac:dyDescent="0.35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 x14ac:dyDescent="0.35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 x14ac:dyDescent="0.35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 x14ac:dyDescent="0.35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 x14ac:dyDescent="0.35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 x14ac:dyDescent="0.35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 x14ac:dyDescent="0.35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 x14ac:dyDescent="0.35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 x14ac:dyDescent="0.35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 x14ac:dyDescent="0.35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 x14ac:dyDescent="0.35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 x14ac:dyDescent="0.35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 x14ac:dyDescent="0.35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 x14ac:dyDescent="0.35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 x14ac:dyDescent="0.35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 x14ac:dyDescent="0.35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 x14ac:dyDescent="0.35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 x14ac:dyDescent="0.35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 x14ac:dyDescent="0.35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 x14ac:dyDescent="0.35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 x14ac:dyDescent="0.35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 x14ac:dyDescent="0.35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 x14ac:dyDescent="0.35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 x14ac:dyDescent="0.35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 x14ac:dyDescent="0.35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 x14ac:dyDescent="0.35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 x14ac:dyDescent="0.35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 x14ac:dyDescent="0.35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 x14ac:dyDescent="0.35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 x14ac:dyDescent="0.35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 x14ac:dyDescent="0.35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 x14ac:dyDescent="0.35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 x14ac:dyDescent="0.35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 x14ac:dyDescent="0.35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 x14ac:dyDescent="0.35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 x14ac:dyDescent="0.35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 x14ac:dyDescent="0.35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 x14ac:dyDescent="0.35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 x14ac:dyDescent="0.35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 x14ac:dyDescent="0.35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 x14ac:dyDescent="0.35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 x14ac:dyDescent="0.35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 x14ac:dyDescent="0.35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 x14ac:dyDescent="0.35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 x14ac:dyDescent="0.35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 x14ac:dyDescent="0.35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 x14ac:dyDescent="0.35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 x14ac:dyDescent="0.35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 x14ac:dyDescent="0.35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 x14ac:dyDescent="0.35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 x14ac:dyDescent="0.35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 x14ac:dyDescent="0.35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 x14ac:dyDescent="0.35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 x14ac:dyDescent="0.35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 x14ac:dyDescent="0.35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 x14ac:dyDescent="0.35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 x14ac:dyDescent="0.35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 x14ac:dyDescent="0.35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 x14ac:dyDescent="0.35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 x14ac:dyDescent="0.35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 x14ac:dyDescent="0.35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 x14ac:dyDescent="0.35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 x14ac:dyDescent="0.35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 x14ac:dyDescent="0.35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 x14ac:dyDescent="0.35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 x14ac:dyDescent="0.35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 x14ac:dyDescent="0.35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 x14ac:dyDescent="0.35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 x14ac:dyDescent="0.35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 x14ac:dyDescent="0.35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 x14ac:dyDescent="0.35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 x14ac:dyDescent="0.35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 x14ac:dyDescent="0.35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 x14ac:dyDescent="0.35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 x14ac:dyDescent="0.35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 x14ac:dyDescent="0.35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 x14ac:dyDescent="0.35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 x14ac:dyDescent="0.35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 x14ac:dyDescent="0.35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 x14ac:dyDescent="0.35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 x14ac:dyDescent="0.35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 x14ac:dyDescent="0.35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 x14ac:dyDescent="0.35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 x14ac:dyDescent="0.35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 x14ac:dyDescent="0.35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 x14ac:dyDescent="0.35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 x14ac:dyDescent="0.35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 x14ac:dyDescent="0.35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 x14ac:dyDescent="0.35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 x14ac:dyDescent="0.35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 x14ac:dyDescent="0.35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 x14ac:dyDescent="0.35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 x14ac:dyDescent="0.35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 x14ac:dyDescent="0.35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 x14ac:dyDescent="0.35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 x14ac:dyDescent="0.35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 x14ac:dyDescent="0.35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 x14ac:dyDescent="0.35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 x14ac:dyDescent="0.35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 x14ac:dyDescent="0.35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 x14ac:dyDescent="0.35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 x14ac:dyDescent="0.35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 x14ac:dyDescent="0.35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 x14ac:dyDescent="0.35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 x14ac:dyDescent="0.35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 x14ac:dyDescent="0.35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 x14ac:dyDescent="0.35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 x14ac:dyDescent="0.35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 x14ac:dyDescent="0.35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 x14ac:dyDescent="0.35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 x14ac:dyDescent="0.35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 x14ac:dyDescent="0.35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 x14ac:dyDescent="0.35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 x14ac:dyDescent="0.35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 x14ac:dyDescent="0.35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 x14ac:dyDescent="0.35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 x14ac:dyDescent="0.35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 x14ac:dyDescent="0.35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 x14ac:dyDescent="0.35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 x14ac:dyDescent="0.35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 x14ac:dyDescent="0.35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 x14ac:dyDescent="0.35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 x14ac:dyDescent="0.35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 x14ac:dyDescent="0.35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 x14ac:dyDescent="0.35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 x14ac:dyDescent="0.35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 x14ac:dyDescent="0.35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 x14ac:dyDescent="0.35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 x14ac:dyDescent="0.35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 x14ac:dyDescent="0.35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 x14ac:dyDescent="0.35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 x14ac:dyDescent="0.35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 x14ac:dyDescent="0.35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 x14ac:dyDescent="0.35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 x14ac:dyDescent="0.35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 x14ac:dyDescent="0.35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 x14ac:dyDescent="0.35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 x14ac:dyDescent="0.35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 x14ac:dyDescent="0.35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 x14ac:dyDescent="0.35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 x14ac:dyDescent="0.35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 x14ac:dyDescent="0.35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 x14ac:dyDescent="0.35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 x14ac:dyDescent="0.35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 x14ac:dyDescent="0.35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 x14ac:dyDescent="0.35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 x14ac:dyDescent="0.35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 x14ac:dyDescent="0.35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 x14ac:dyDescent="0.35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 x14ac:dyDescent="0.35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 x14ac:dyDescent="0.35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 x14ac:dyDescent="0.35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 x14ac:dyDescent="0.35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 x14ac:dyDescent="0.35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 x14ac:dyDescent="0.35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 x14ac:dyDescent="0.35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 x14ac:dyDescent="0.35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 x14ac:dyDescent="0.35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 x14ac:dyDescent="0.35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 x14ac:dyDescent="0.35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 x14ac:dyDescent="0.35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 x14ac:dyDescent="0.35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 x14ac:dyDescent="0.35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 x14ac:dyDescent="0.35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 x14ac:dyDescent="0.35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 x14ac:dyDescent="0.35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 x14ac:dyDescent="0.35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 x14ac:dyDescent="0.35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 x14ac:dyDescent="0.35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 x14ac:dyDescent="0.35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 x14ac:dyDescent="0.35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 x14ac:dyDescent="0.35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 x14ac:dyDescent="0.35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 x14ac:dyDescent="0.35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 x14ac:dyDescent="0.35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 x14ac:dyDescent="0.35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 x14ac:dyDescent="0.35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 x14ac:dyDescent="0.35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 x14ac:dyDescent="0.35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 x14ac:dyDescent="0.35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 x14ac:dyDescent="0.35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 x14ac:dyDescent="0.35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 x14ac:dyDescent="0.35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 x14ac:dyDescent="0.35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 x14ac:dyDescent="0.35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 x14ac:dyDescent="0.35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 x14ac:dyDescent="0.35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 x14ac:dyDescent="0.35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 x14ac:dyDescent="0.35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 x14ac:dyDescent="0.35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 x14ac:dyDescent="0.35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 x14ac:dyDescent="0.35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 x14ac:dyDescent="0.35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 x14ac:dyDescent="0.35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 x14ac:dyDescent="0.35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 x14ac:dyDescent="0.35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 x14ac:dyDescent="0.35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 x14ac:dyDescent="0.35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 x14ac:dyDescent="0.35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 x14ac:dyDescent="0.35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 x14ac:dyDescent="0.35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 x14ac:dyDescent="0.35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 x14ac:dyDescent="0.35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 x14ac:dyDescent="0.35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 x14ac:dyDescent="0.35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 x14ac:dyDescent="0.35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 x14ac:dyDescent="0.35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 x14ac:dyDescent="0.35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 x14ac:dyDescent="0.35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 x14ac:dyDescent="0.35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 x14ac:dyDescent="0.35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 x14ac:dyDescent="0.35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 x14ac:dyDescent="0.35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 x14ac:dyDescent="0.35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 x14ac:dyDescent="0.35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 x14ac:dyDescent="0.35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 x14ac:dyDescent="0.35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 x14ac:dyDescent="0.35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 x14ac:dyDescent="0.35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 x14ac:dyDescent="0.35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 x14ac:dyDescent="0.35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 x14ac:dyDescent="0.35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 x14ac:dyDescent="0.35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 x14ac:dyDescent="0.35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 x14ac:dyDescent="0.35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 x14ac:dyDescent="0.35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 x14ac:dyDescent="0.35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 x14ac:dyDescent="0.35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 x14ac:dyDescent="0.35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 x14ac:dyDescent="0.35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 x14ac:dyDescent="0.35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 x14ac:dyDescent="0.35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 x14ac:dyDescent="0.35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 x14ac:dyDescent="0.35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 x14ac:dyDescent="0.35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 x14ac:dyDescent="0.35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 x14ac:dyDescent="0.35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 x14ac:dyDescent="0.35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 x14ac:dyDescent="0.35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 x14ac:dyDescent="0.35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 x14ac:dyDescent="0.35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 x14ac:dyDescent="0.35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 x14ac:dyDescent="0.35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 x14ac:dyDescent="0.35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 x14ac:dyDescent="0.35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 x14ac:dyDescent="0.35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 x14ac:dyDescent="0.35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 x14ac:dyDescent="0.35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 x14ac:dyDescent="0.35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 x14ac:dyDescent="0.35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 x14ac:dyDescent="0.35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 x14ac:dyDescent="0.35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 x14ac:dyDescent="0.35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 x14ac:dyDescent="0.35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 x14ac:dyDescent="0.35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 x14ac:dyDescent="0.35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 x14ac:dyDescent="0.35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 x14ac:dyDescent="0.35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 x14ac:dyDescent="0.35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 x14ac:dyDescent="0.35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 x14ac:dyDescent="0.35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 x14ac:dyDescent="0.35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 x14ac:dyDescent="0.35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 x14ac:dyDescent="0.35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 x14ac:dyDescent="0.35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 x14ac:dyDescent="0.35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 x14ac:dyDescent="0.35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 x14ac:dyDescent="0.35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 x14ac:dyDescent="0.35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 x14ac:dyDescent="0.35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 x14ac:dyDescent="0.35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 x14ac:dyDescent="0.35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 x14ac:dyDescent="0.35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 x14ac:dyDescent="0.35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 x14ac:dyDescent="0.35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 x14ac:dyDescent="0.35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 x14ac:dyDescent="0.35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 x14ac:dyDescent="0.35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 x14ac:dyDescent="0.35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 x14ac:dyDescent="0.35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 x14ac:dyDescent="0.35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 x14ac:dyDescent="0.35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 x14ac:dyDescent="0.35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 x14ac:dyDescent="0.35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 x14ac:dyDescent="0.35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 x14ac:dyDescent="0.35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 x14ac:dyDescent="0.35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 x14ac:dyDescent="0.35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 x14ac:dyDescent="0.35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 x14ac:dyDescent="0.35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 x14ac:dyDescent="0.35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 x14ac:dyDescent="0.35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 x14ac:dyDescent="0.35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 x14ac:dyDescent="0.35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 x14ac:dyDescent="0.35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 x14ac:dyDescent="0.35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 x14ac:dyDescent="0.35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 x14ac:dyDescent="0.35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 x14ac:dyDescent="0.35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 x14ac:dyDescent="0.35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 x14ac:dyDescent="0.35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 x14ac:dyDescent="0.35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 x14ac:dyDescent="0.35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 x14ac:dyDescent="0.35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 x14ac:dyDescent="0.35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 x14ac:dyDescent="0.35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 x14ac:dyDescent="0.35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 x14ac:dyDescent="0.35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 x14ac:dyDescent="0.35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 x14ac:dyDescent="0.35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 x14ac:dyDescent="0.35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 x14ac:dyDescent="0.35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 x14ac:dyDescent="0.35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 x14ac:dyDescent="0.35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 x14ac:dyDescent="0.35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 x14ac:dyDescent="0.35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 x14ac:dyDescent="0.35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 x14ac:dyDescent="0.35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 x14ac:dyDescent="0.35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 x14ac:dyDescent="0.35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 x14ac:dyDescent="0.35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 x14ac:dyDescent="0.35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 x14ac:dyDescent="0.35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 x14ac:dyDescent="0.35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 x14ac:dyDescent="0.35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 x14ac:dyDescent="0.35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 x14ac:dyDescent="0.35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 x14ac:dyDescent="0.35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 x14ac:dyDescent="0.35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 x14ac:dyDescent="0.35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 x14ac:dyDescent="0.35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 x14ac:dyDescent="0.35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 x14ac:dyDescent="0.35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 x14ac:dyDescent="0.35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 x14ac:dyDescent="0.35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 x14ac:dyDescent="0.35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 x14ac:dyDescent="0.35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 x14ac:dyDescent="0.35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 x14ac:dyDescent="0.35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 x14ac:dyDescent="0.35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 x14ac:dyDescent="0.35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 x14ac:dyDescent="0.35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 x14ac:dyDescent="0.35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 x14ac:dyDescent="0.35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 x14ac:dyDescent="0.35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 x14ac:dyDescent="0.35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 x14ac:dyDescent="0.35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 x14ac:dyDescent="0.35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 x14ac:dyDescent="0.35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 x14ac:dyDescent="0.35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 x14ac:dyDescent="0.35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 x14ac:dyDescent="0.35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 x14ac:dyDescent="0.35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 x14ac:dyDescent="0.35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 x14ac:dyDescent="0.35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 x14ac:dyDescent="0.35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 x14ac:dyDescent="0.35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 x14ac:dyDescent="0.35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 x14ac:dyDescent="0.35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 x14ac:dyDescent="0.35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 x14ac:dyDescent="0.35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 x14ac:dyDescent="0.35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 x14ac:dyDescent="0.35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 x14ac:dyDescent="0.35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 x14ac:dyDescent="0.35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 x14ac:dyDescent="0.35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 x14ac:dyDescent="0.35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 x14ac:dyDescent="0.35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 x14ac:dyDescent="0.35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 x14ac:dyDescent="0.35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 x14ac:dyDescent="0.35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 x14ac:dyDescent="0.35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 x14ac:dyDescent="0.35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 x14ac:dyDescent="0.35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 x14ac:dyDescent="0.35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 x14ac:dyDescent="0.35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 x14ac:dyDescent="0.35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 x14ac:dyDescent="0.35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 x14ac:dyDescent="0.35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 x14ac:dyDescent="0.35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 x14ac:dyDescent="0.35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 x14ac:dyDescent="0.35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 x14ac:dyDescent="0.35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 x14ac:dyDescent="0.35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 x14ac:dyDescent="0.35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 x14ac:dyDescent="0.35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 x14ac:dyDescent="0.35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 x14ac:dyDescent="0.35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 x14ac:dyDescent="0.35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 x14ac:dyDescent="0.35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 x14ac:dyDescent="0.35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 x14ac:dyDescent="0.35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 x14ac:dyDescent="0.35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 x14ac:dyDescent="0.35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 x14ac:dyDescent="0.35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 x14ac:dyDescent="0.35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 x14ac:dyDescent="0.35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 x14ac:dyDescent="0.35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 x14ac:dyDescent="0.35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 x14ac:dyDescent="0.35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 x14ac:dyDescent="0.35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 x14ac:dyDescent="0.35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 x14ac:dyDescent="0.35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 x14ac:dyDescent="0.35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 x14ac:dyDescent="0.35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 x14ac:dyDescent="0.35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 x14ac:dyDescent="0.35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 x14ac:dyDescent="0.35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 x14ac:dyDescent="0.35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 x14ac:dyDescent="0.35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 x14ac:dyDescent="0.35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 x14ac:dyDescent="0.35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 x14ac:dyDescent="0.35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 x14ac:dyDescent="0.35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 x14ac:dyDescent="0.35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opLeftCell="F1" zoomScale="85" zoomScaleNormal="85" workbookViewId="0">
      <pane ySplit="1" topLeftCell="A249" activePane="bottomLeft" state="frozen"/>
      <selection pane="bottomLeft" activeCell="F271" sqref="F271"/>
    </sheetView>
  </sheetViews>
  <sheetFormatPr defaultColWidth="8.54296875" defaultRowHeight="14.5" x14ac:dyDescent="0.35"/>
  <cols>
    <col min="1" max="1" width="13" style="75" customWidth="1"/>
    <col min="2" max="2" width="9" style="20" customWidth="1"/>
    <col min="3" max="3" width="14" style="20" customWidth="1"/>
    <col min="4" max="5" width="16.1796875" style="20" customWidth="1"/>
    <col min="6" max="6" width="13" style="20" customWidth="1"/>
    <col min="7" max="7" width="14" style="20" customWidth="1"/>
    <col min="8" max="8" width="29.453125" style="20" customWidth="1"/>
    <col min="9" max="9" width="25" style="20" customWidth="1"/>
    <col min="10" max="10" width="48.54296875" style="20" customWidth="1"/>
    <col min="11" max="11" width="15.453125" style="20" customWidth="1"/>
    <col min="12" max="12" width="12" style="21" customWidth="1"/>
    <col min="13" max="13" width="15.54296875" style="20" customWidth="1"/>
    <col min="14" max="14" width="75.1796875" style="20" customWidth="1"/>
    <col min="15" max="15" width="20" customWidth="1"/>
  </cols>
  <sheetData>
    <row r="1" spans="1:15" ht="37.5" customHeight="1" x14ac:dyDescent="0.35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 x14ac:dyDescent="0.35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 x14ac:dyDescent="0.35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 x14ac:dyDescent="0.35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226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 x14ac:dyDescent="0.35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 x14ac:dyDescent="0.35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 x14ac:dyDescent="0.35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 x14ac:dyDescent="0.35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 x14ac:dyDescent="0.35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 x14ac:dyDescent="0.35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 x14ac:dyDescent="0.35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 x14ac:dyDescent="0.35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 x14ac:dyDescent="0.35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 x14ac:dyDescent="0.35">
      <c r="A14" s="91" t="s">
        <v>215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216</v>
      </c>
      <c r="O14" s="78">
        <v>627260</v>
      </c>
    </row>
    <row r="15" spans="1:15" ht="15" customHeight="1" x14ac:dyDescent="0.35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 x14ac:dyDescent="0.35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 x14ac:dyDescent="0.35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 x14ac:dyDescent="0.35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 x14ac:dyDescent="0.35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 x14ac:dyDescent="0.35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 x14ac:dyDescent="0.35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 x14ac:dyDescent="0.35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 x14ac:dyDescent="0.35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226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 x14ac:dyDescent="0.35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 x14ac:dyDescent="0.35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 x14ac:dyDescent="0.35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 x14ac:dyDescent="0.35">
      <c r="A27" s="91" t="s">
        <v>217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216</v>
      </c>
      <c r="O27" s="78">
        <v>393200</v>
      </c>
    </row>
    <row r="28" spans="1:15" ht="18" customHeight="1" x14ac:dyDescent="0.35">
      <c r="A28" s="94" t="s">
        <v>218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219</v>
      </c>
      <c r="O28" s="83">
        <f>O14+O27</f>
        <v>1020460</v>
      </c>
    </row>
    <row r="29" spans="1:15" ht="15" customHeight="1" x14ac:dyDescent="0.35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227</v>
      </c>
      <c r="O29" s="31"/>
    </row>
    <row r="30" spans="1:15" ht="15" customHeight="1" x14ac:dyDescent="0.35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 x14ac:dyDescent="0.35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 x14ac:dyDescent="0.35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 x14ac:dyDescent="0.35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 x14ac:dyDescent="0.35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 x14ac:dyDescent="0.35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 x14ac:dyDescent="0.35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 x14ac:dyDescent="0.35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 x14ac:dyDescent="0.35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 x14ac:dyDescent="0.35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 x14ac:dyDescent="0.35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 x14ac:dyDescent="0.35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216</v>
      </c>
      <c r="O41" s="85">
        <v>351740</v>
      </c>
    </row>
    <row r="42" spans="1:15" ht="15" customHeight="1" x14ac:dyDescent="0.35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 x14ac:dyDescent="0.35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 x14ac:dyDescent="0.35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228</v>
      </c>
      <c r="O44" s="31"/>
    </row>
    <row r="45" spans="1:15" ht="15" customHeight="1" x14ac:dyDescent="0.35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226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 x14ac:dyDescent="0.35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 x14ac:dyDescent="0.35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 x14ac:dyDescent="0.35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 x14ac:dyDescent="0.35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 x14ac:dyDescent="0.35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 x14ac:dyDescent="0.35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 x14ac:dyDescent="0.35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 x14ac:dyDescent="0.35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 x14ac:dyDescent="0.35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85">
        <v>276360</v>
      </c>
    </row>
    <row r="55" spans="1:15" ht="18" customHeight="1" x14ac:dyDescent="0.35">
      <c r="A55" s="94" t="s">
        <v>218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219</v>
      </c>
      <c r="O55" s="83">
        <f>IFERROR(O41+O54,"")</f>
        <v>628100</v>
      </c>
    </row>
    <row r="56" spans="1:15" ht="15" customHeight="1" x14ac:dyDescent="0.35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 x14ac:dyDescent="0.35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229</v>
      </c>
      <c r="O57" s="31"/>
    </row>
    <row r="58" spans="1:15" ht="15" customHeight="1" x14ac:dyDescent="0.35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230</v>
      </c>
      <c r="O58" s="31"/>
    </row>
    <row r="59" spans="1:15" ht="15" customHeight="1" x14ac:dyDescent="0.35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 x14ac:dyDescent="0.35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 x14ac:dyDescent="0.35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 x14ac:dyDescent="0.35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 x14ac:dyDescent="0.35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 x14ac:dyDescent="0.35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 x14ac:dyDescent="0.35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 x14ac:dyDescent="0.35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 x14ac:dyDescent="0.35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 x14ac:dyDescent="0.5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216</v>
      </c>
      <c r="O68" s="54">
        <v>0</v>
      </c>
    </row>
    <row r="69" spans="1:15" ht="15" customHeight="1" x14ac:dyDescent="0.35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 x14ac:dyDescent="0.35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 x14ac:dyDescent="0.35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 x14ac:dyDescent="0.35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 x14ac:dyDescent="0.35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 x14ac:dyDescent="0.35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 x14ac:dyDescent="0.35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 x14ac:dyDescent="0.35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 x14ac:dyDescent="0.35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 x14ac:dyDescent="0.35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 x14ac:dyDescent="0.35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 x14ac:dyDescent="0.35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 x14ac:dyDescent="0.5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216</v>
      </c>
      <c r="O81" s="54">
        <v>787860</v>
      </c>
    </row>
    <row r="82" spans="1:15" ht="18" customHeight="1" x14ac:dyDescent="0.35">
      <c r="A82" s="94" t="s">
        <v>218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219</v>
      </c>
      <c r="O82" s="83">
        <f>IFERROR(O68+O81,"")</f>
        <v>787860</v>
      </c>
    </row>
    <row r="83" spans="1:15" ht="15" customHeight="1" x14ac:dyDescent="0.35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231</v>
      </c>
      <c r="O83" s="31"/>
    </row>
    <row r="84" spans="1:15" ht="15" customHeight="1" x14ac:dyDescent="0.35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 x14ac:dyDescent="0.35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 x14ac:dyDescent="0.35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 x14ac:dyDescent="0.35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 x14ac:dyDescent="0.35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 x14ac:dyDescent="0.35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 x14ac:dyDescent="0.35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 x14ac:dyDescent="0.35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 x14ac:dyDescent="0.35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 x14ac:dyDescent="0.35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 x14ac:dyDescent="0.35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 x14ac:dyDescent="0.5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216</v>
      </c>
      <c r="O95" s="54">
        <v>577610</v>
      </c>
    </row>
    <row r="96" spans="1:15" ht="15" customHeight="1" x14ac:dyDescent="0.35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232</v>
      </c>
      <c r="O96" s="31"/>
    </row>
    <row r="97" spans="1:15" ht="15" customHeight="1" x14ac:dyDescent="0.35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233</v>
      </c>
      <c r="O97" s="31"/>
    </row>
    <row r="98" spans="1:15" ht="15" customHeight="1" x14ac:dyDescent="0.35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234</v>
      </c>
      <c r="O98" s="31"/>
    </row>
    <row r="99" spans="1:15" ht="15" customHeight="1" x14ac:dyDescent="0.35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 x14ac:dyDescent="0.35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 x14ac:dyDescent="0.35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 x14ac:dyDescent="0.35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 x14ac:dyDescent="0.35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 x14ac:dyDescent="0.35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 x14ac:dyDescent="0.35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 x14ac:dyDescent="0.35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 x14ac:dyDescent="0.35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 x14ac:dyDescent="0.5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216</v>
      </c>
      <c r="O108" s="54">
        <v>1087080</v>
      </c>
    </row>
    <row r="109" spans="1:15" ht="18" customHeight="1" x14ac:dyDescent="0.35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219</v>
      </c>
      <c r="O109" s="83">
        <f>IFERROR(O95+O108,"")</f>
        <v>1664690</v>
      </c>
    </row>
    <row r="110" spans="1:15" ht="15" customHeight="1" x14ac:dyDescent="0.35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 x14ac:dyDescent="0.35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235</v>
      </c>
      <c r="O111" s="31"/>
    </row>
    <row r="112" spans="1:15" ht="15" customHeight="1" x14ac:dyDescent="0.35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 x14ac:dyDescent="0.35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 x14ac:dyDescent="0.35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 x14ac:dyDescent="0.35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 x14ac:dyDescent="0.35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 x14ac:dyDescent="0.35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 x14ac:dyDescent="0.35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 x14ac:dyDescent="0.35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 x14ac:dyDescent="0.35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 x14ac:dyDescent="0.35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 x14ac:dyDescent="0.5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216</v>
      </c>
      <c r="O122" s="54">
        <v>869260</v>
      </c>
    </row>
    <row r="123" spans="1:15" ht="15" customHeight="1" x14ac:dyDescent="0.35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236</v>
      </c>
      <c r="O123" s="31"/>
    </row>
    <row r="124" spans="1:15" ht="15" customHeight="1" x14ac:dyDescent="0.35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 x14ac:dyDescent="0.35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237</v>
      </c>
      <c r="O125" s="31"/>
    </row>
    <row r="126" spans="1:15" ht="15" customHeight="1" x14ac:dyDescent="0.35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238</v>
      </c>
      <c r="O126" s="31"/>
    </row>
    <row r="127" spans="1:15" ht="15" customHeight="1" x14ac:dyDescent="0.35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 x14ac:dyDescent="0.35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 x14ac:dyDescent="0.35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239</v>
      </c>
      <c r="O129" s="31"/>
    </row>
    <row r="130" spans="1:15" ht="15" customHeight="1" x14ac:dyDescent="0.35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 x14ac:dyDescent="0.35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 x14ac:dyDescent="0.35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 x14ac:dyDescent="0.35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 x14ac:dyDescent="0.35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 x14ac:dyDescent="0.5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216</v>
      </c>
      <c r="O135" s="54">
        <v>794480</v>
      </c>
    </row>
    <row r="136" spans="1:15" ht="18" customHeight="1" x14ac:dyDescent="0.35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219</v>
      </c>
      <c r="O136" s="83">
        <f>IFERROR(O122+O135,"")</f>
        <v>1663740</v>
      </c>
    </row>
    <row r="137" spans="1:15" ht="15" customHeight="1" x14ac:dyDescent="0.35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 x14ac:dyDescent="0.35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 x14ac:dyDescent="0.35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240</v>
      </c>
      <c r="O139" s="31"/>
    </row>
    <row r="140" spans="1:15" ht="15" customHeight="1" x14ac:dyDescent="0.35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 x14ac:dyDescent="0.35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 x14ac:dyDescent="0.35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 x14ac:dyDescent="0.35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 x14ac:dyDescent="0.35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 x14ac:dyDescent="0.35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 x14ac:dyDescent="0.35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 x14ac:dyDescent="0.35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 x14ac:dyDescent="0.35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 x14ac:dyDescent="0.5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216</v>
      </c>
      <c r="O149" s="54">
        <v>591800</v>
      </c>
    </row>
    <row r="150" spans="1:15" ht="15" customHeight="1" x14ac:dyDescent="0.35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241</v>
      </c>
      <c r="O150" s="31"/>
    </row>
    <row r="151" spans="1:15" ht="15" customHeight="1" x14ac:dyDescent="0.35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 x14ac:dyDescent="0.35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242</v>
      </c>
      <c r="O152" s="31"/>
    </row>
    <row r="153" spans="1:15" ht="15" customHeight="1" x14ac:dyDescent="0.35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 x14ac:dyDescent="0.35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 x14ac:dyDescent="0.35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 x14ac:dyDescent="0.35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 x14ac:dyDescent="0.35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 x14ac:dyDescent="0.35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 x14ac:dyDescent="0.35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 x14ac:dyDescent="0.35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 x14ac:dyDescent="0.35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 x14ac:dyDescent="0.5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216</v>
      </c>
      <c r="O162" s="54">
        <v>882280</v>
      </c>
    </row>
    <row r="163" spans="1:15" ht="18" customHeight="1" x14ac:dyDescent="0.35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219</v>
      </c>
      <c r="O163" s="83">
        <f>IFERROR(O149+O162,"")</f>
        <v>1474080</v>
      </c>
    </row>
    <row r="164" spans="1:15" ht="15" customHeight="1" x14ac:dyDescent="0.35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 x14ac:dyDescent="0.35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 x14ac:dyDescent="0.35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226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 x14ac:dyDescent="0.35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226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 x14ac:dyDescent="0.35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226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 x14ac:dyDescent="0.35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226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 x14ac:dyDescent="0.35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226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 x14ac:dyDescent="0.35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226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 x14ac:dyDescent="0.35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226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 x14ac:dyDescent="0.35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226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 x14ac:dyDescent="0.35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226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 x14ac:dyDescent="0.35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 x14ac:dyDescent="0.35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216</v>
      </c>
      <c r="O176" s="78"/>
    </row>
    <row r="177" spans="1:15" ht="15" customHeight="1" x14ac:dyDescent="0.35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 x14ac:dyDescent="0.35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 x14ac:dyDescent="0.35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 x14ac:dyDescent="0.35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 x14ac:dyDescent="0.35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 x14ac:dyDescent="0.35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 x14ac:dyDescent="0.35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 x14ac:dyDescent="0.35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 x14ac:dyDescent="0.35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 x14ac:dyDescent="0.35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 x14ac:dyDescent="0.35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 x14ac:dyDescent="0.35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 x14ac:dyDescent="0.35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216</v>
      </c>
      <c r="O189" s="78"/>
    </row>
    <row r="190" spans="1:15" ht="18" customHeight="1" x14ac:dyDescent="0.35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219</v>
      </c>
      <c r="O190" s="83">
        <f>IFERROR(O176+O189,"")</f>
        <v>0</v>
      </c>
    </row>
    <row r="191" spans="1:15" ht="15" customHeight="1" x14ac:dyDescent="0.35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 x14ac:dyDescent="0.35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 x14ac:dyDescent="0.35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 x14ac:dyDescent="0.35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 x14ac:dyDescent="0.35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 x14ac:dyDescent="0.35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 x14ac:dyDescent="0.35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 x14ac:dyDescent="0.35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 x14ac:dyDescent="0.35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 x14ac:dyDescent="0.35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 x14ac:dyDescent="0.35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 x14ac:dyDescent="0.35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 x14ac:dyDescent="0.35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216</v>
      </c>
      <c r="O203" s="78"/>
    </row>
    <row r="204" spans="1:15" ht="15" customHeight="1" x14ac:dyDescent="0.35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 x14ac:dyDescent="0.35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 x14ac:dyDescent="0.35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243</v>
      </c>
      <c r="O206" s="47"/>
    </row>
    <row r="207" spans="1:15" ht="15" customHeight="1" x14ac:dyDescent="0.35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244</v>
      </c>
      <c r="O207" s="47"/>
    </row>
    <row r="208" spans="1:15" ht="15" customHeight="1" x14ac:dyDescent="0.35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 x14ac:dyDescent="0.35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 x14ac:dyDescent="0.35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 x14ac:dyDescent="0.35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 x14ac:dyDescent="0.35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 x14ac:dyDescent="0.35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 x14ac:dyDescent="0.35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 x14ac:dyDescent="0.35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 x14ac:dyDescent="0.35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216</v>
      </c>
      <c r="O216" s="78">
        <v>648410</v>
      </c>
    </row>
    <row r="217" spans="1:15" ht="18" customHeight="1" x14ac:dyDescent="0.35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219</v>
      </c>
      <c r="O217" s="84">
        <f>IFERROR(O203+O216,"")</f>
        <v>648410</v>
      </c>
    </row>
    <row r="218" spans="1:15" ht="15" customHeight="1" x14ac:dyDescent="0.35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245</v>
      </c>
      <c r="O218" s="47"/>
    </row>
    <row r="219" spans="1:15" ht="15" customHeight="1" x14ac:dyDescent="0.35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246</v>
      </c>
      <c r="O219" s="47"/>
    </row>
    <row r="220" spans="1:15" ht="15" customHeight="1" x14ac:dyDescent="0.35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 x14ac:dyDescent="0.35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 x14ac:dyDescent="0.35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 x14ac:dyDescent="0.35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 x14ac:dyDescent="0.35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226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 x14ac:dyDescent="0.35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226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 x14ac:dyDescent="0.35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226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 x14ac:dyDescent="0.35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226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 x14ac:dyDescent="0.35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226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 x14ac:dyDescent="0.35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 x14ac:dyDescent="0.35">
      <c r="A230" s="88" t="s">
        <v>215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216</v>
      </c>
      <c r="O230" s="78">
        <v>482110</v>
      </c>
    </row>
    <row r="231" spans="1:15" ht="15" customHeight="1" x14ac:dyDescent="0.35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 x14ac:dyDescent="0.35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247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 x14ac:dyDescent="0.35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 x14ac:dyDescent="0.35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241</v>
      </c>
      <c r="O234" s="47"/>
    </row>
    <row r="235" spans="1:15" ht="15" customHeight="1" x14ac:dyDescent="0.35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 x14ac:dyDescent="0.35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 x14ac:dyDescent="0.35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 x14ac:dyDescent="0.35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 x14ac:dyDescent="0.35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226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 x14ac:dyDescent="0.35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 x14ac:dyDescent="0.35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226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 x14ac:dyDescent="0.35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 x14ac:dyDescent="0.35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216</v>
      </c>
      <c r="O243" s="78">
        <v>849060</v>
      </c>
    </row>
    <row r="244" spans="1:15" ht="18" customHeight="1" x14ac:dyDescent="0.35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219</v>
      </c>
      <c r="O244" s="84">
        <f>IFERROR(O230+O243,"")</f>
        <v>1331170</v>
      </c>
    </row>
    <row r="245" spans="1:15" ht="15" customHeight="1" x14ac:dyDescent="0.35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248</v>
      </c>
      <c r="O245" s="47"/>
    </row>
    <row r="246" spans="1:15" ht="15" customHeight="1" x14ac:dyDescent="0.35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 x14ac:dyDescent="0.35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 x14ac:dyDescent="0.35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 x14ac:dyDescent="0.35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 x14ac:dyDescent="0.35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226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 x14ac:dyDescent="0.35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 x14ac:dyDescent="0.35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226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 x14ac:dyDescent="0.35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 x14ac:dyDescent="0.35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226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 x14ac:dyDescent="0.35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226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 x14ac:dyDescent="0.35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 x14ac:dyDescent="0.35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216</v>
      </c>
      <c r="O257" s="78">
        <v>631580</v>
      </c>
    </row>
    <row r="258" spans="1:15" ht="15" customHeight="1" x14ac:dyDescent="0.35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 x14ac:dyDescent="0.35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 x14ac:dyDescent="0.35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 x14ac:dyDescent="0.35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 x14ac:dyDescent="0.35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 x14ac:dyDescent="0.35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 x14ac:dyDescent="0.35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 x14ac:dyDescent="0.35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 x14ac:dyDescent="0.35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 x14ac:dyDescent="0.35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 x14ac:dyDescent="0.35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 x14ac:dyDescent="0.35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 x14ac:dyDescent="0.35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216</v>
      </c>
      <c r="O270" s="78">
        <v>625070</v>
      </c>
    </row>
    <row r="271" spans="1:15" ht="18" customHeight="1" x14ac:dyDescent="0.35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219</v>
      </c>
      <c r="O271" s="84">
        <f>IFERROR(O257+O270,"")</f>
        <v>1256650</v>
      </c>
    </row>
    <row r="272" spans="1:15" ht="15" customHeight="1" x14ac:dyDescent="0.35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226</v>
      </c>
      <c r="F272" s="27">
        <v>5</v>
      </c>
      <c r="G272" s="28">
        <f t="shared" ref="G272:G283" si="60">IF(F272="","",IF(E272="PC 17",F272*4.2,IF(E272="PC 19",F272*5,"")))</f>
        <v>21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/>
      <c r="M272" s="30">
        <f t="shared" ref="M272:M283" ca="1" si="61">IFERROR(IF(K272="","",IF(L272="",MOD(NOW()-K272,1),IF(L272&gt;=K272,L272-K272,L272+1-K272))),"")</f>
        <v>2.8363773148157634E-2</v>
      </c>
      <c r="N272" s="46"/>
      <c r="O272" s="47"/>
    </row>
    <row r="273" spans="1:15" ht="15" customHeight="1" x14ac:dyDescent="0.35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226</v>
      </c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 x14ac:dyDescent="0.35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226</v>
      </c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 x14ac:dyDescent="0.35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226</v>
      </c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 x14ac:dyDescent="0.35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226</v>
      </c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 x14ac:dyDescent="0.35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226</v>
      </c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 x14ac:dyDescent="0.35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226</v>
      </c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 x14ac:dyDescent="0.35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226</v>
      </c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 x14ac:dyDescent="0.35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226</v>
      </c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 x14ac:dyDescent="0.35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226</v>
      </c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 x14ac:dyDescent="0.35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226</v>
      </c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 x14ac:dyDescent="0.35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226</v>
      </c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 x14ac:dyDescent="0.35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5</v>
      </c>
      <c r="G284" s="36">
        <f>SUM(G272:G283)</f>
        <v>21</v>
      </c>
      <c r="H284" s="37"/>
      <c r="I284" s="37"/>
      <c r="J284" s="37"/>
      <c r="K284" s="37"/>
      <c r="L284" s="37"/>
      <c r="M284" s="38">
        <f ca="1">IFERROR(SUM(M272:M283),"")</f>
        <v>2.8363773148157634E-2</v>
      </c>
      <c r="N284" s="36" t="s">
        <v>216</v>
      </c>
      <c r="O284" s="78"/>
    </row>
    <row r="285" spans="1:15" ht="15" customHeight="1" x14ac:dyDescent="0.35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 x14ac:dyDescent="0.35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 x14ac:dyDescent="0.35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 x14ac:dyDescent="0.35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 x14ac:dyDescent="0.35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 x14ac:dyDescent="0.35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 x14ac:dyDescent="0.35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 x14ac:dyDescent="0.35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 x14ac:dyDescent="0.35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 x14ac:dyDescent="0.35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 x14ac:dyDescent="0.35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 x14ac:dyDescent="0.35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 x14ac:dyDescent="0.35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216</v>
      </c>
      <c r="O297" s="78"/>
    </row>
    <row r="298" spans="1:15" ht="18" customHeight="1" x14ac:dyDescent="0.35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5</v>
      </c>
      <c r="G298" s="40">
        <f>G284+G297</f>
        <v>21</v>
      </c>
      <c r="H298" s="41"/>
      <c r="I298" s="41"/>
      <c r="J298" s="41"/>
      <c r="K298" s="41"/>
      <c r="L298" s="41"/>
      <c r="M298" s="42">
        <f ca="1">IFERROR(M284+M297,"")</f>
        <v>2.8363773148157634E-2</v>
      </c>
      <c r="N298" s="40" t="s">
        <v>219</v>
      </c>
      <c r="O298" s="84">
        <f>IFERROR(O284+O297,"")</f>
        <v>0</v>
      </c>
    </row>
    <row r="299" spans="1:15" ht="15" customHeight="1" x14ac:dyDescent="0.35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 x14ac:dyDescent="0.35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 x14ac:dyDescent="0.35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 x14ac:dyDescent="0.35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 x14ac:dyDescent="0.35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 x14ac:dyDescent="0.35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 x14ac:dyDescent="0.35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 x14ac:dyDescent="0.35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 x14ac:dyDescent="0.35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 x14ac:dyDescent="0.35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 x14ac:dyDescent="0.35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 x14ac:dyDescent="0.35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 x14ac:dyDescent="0.35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78"/>
    </row>
    <row r="312" spans="1:15" ht="15" customHeight="1" x14ac:dyDescent="0.35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 x14ac:dyDescent="0.35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 x14ac:dyDescent="0.35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 x14ac:dyDescent="0.35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 x14ac:dyDescent="0.35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 x14ac:dyDescent="0.35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 x14ac:dyDescent="0.35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 x14ac:dyDescent="0.35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 x14ac:dyDescent="0.35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 x14ac:dyDescent="0.35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 x14ac:dyDescent="0.35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 x14ac:dyDescent="0.35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 x14ac:dyDescent="0.35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78"/>
    </row>
    <row r="325" spans="1:15" ht="18" customHeight="1" x14ac:dyDescent="0.35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84">
        <f>IFERROR(O311+O324,"")</f>
        <v>0</v>
      </c>
    </row>
    <row r="326" spans="1:15" ht="15" customHeight="1" x14ac:dyDescent="0.35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 x14ac:dyDescent="0.35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 x14ac:dyDescent="0.35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 x14ac:dyDescent="0.35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 x14ac:dyDescent="0.35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 x14ac:dyDescent="0.35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 x14ac:dyDescent="0.35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 x14ac:dyDescent="0.35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 x14ac:dyDescent="0.35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 x14ac:dyDescent="0.35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 x14ac:dyDescent="0.35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 x14ac:dyDescent="0.35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 x14ac:dyDescent="0.35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78"/>
    </row>
    <row r="339" spans="1:15" ht="15" customHeight="1" x14ac:dyDescent="0.35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 x14ac:dyDescent="0.35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 x14ac:dyDescent="0.35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 x14ac:dyDescent="0.35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 x14ac:dyDescent="0.35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 x14ac:dyDescent="0.35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 x14ac:dyDescent="0.35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 x14ac:dyDescent="0.35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 x14ac:dyDescent="0.35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 x14ac:dyDescent="0.35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 x14ac:dyDescent="0.35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 x14ac:dyDescent="0.35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 x14ac:dyDescent="0.35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78"/>
    </row>
    <row r="352" spans="1:15" ht="18" customHeight="1" x14ac:dyDescent="0.35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84">
        <f>IFERROR(O338+O351,"")</f>
        <v>0</v>
      </c>
    </row>
    <row r="353" spans="1:15" ht="15" customHeight="1" x14ac:dyDescent="0.35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 x14ac:dyDescent="0.35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 x14ac:dyDescent="0.35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 x14ac:dyDescent="0.35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 x14ac:dyDescent="0.35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 x14ac:dyDescent="0.35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 x14ac:dyDescent="0.35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 x14ac:dyDescent="0.35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 x14ac:dyDescent="0.35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 x14ac:dyDescent="0.35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 x14ac:dyDescent="0.35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 x14ac:dyDescent="0.35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 x14ac:dyDescent="0.35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78"/>
    </row>
    <row r="366" spans="1:15" ht="15" customHeight="1" x14ac:dyDescent="0.35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 x14ac:dyDescent="0.35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 x14ac:dyDescent="0.35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 x14ac:dyDescent="0.35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 x14ac:dyDescent="0.35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 x14ac:dyDescent="0.35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 x14ac:dyDescent="0.35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 x14ac:dyDescent="0.35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 x14ac:dyDescent="0.35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 x14ac:dyDescent="0.35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 x14ac:dyDescent="0.35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 x14ac:dyDescent="0.35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 x14ac:dyDescent="0.35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78"/>
    </row>
    <row r="379" spans="1:15" ht="18" customHeight="1" x14ac:dyDescent="0.35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84">
        <f>IFERROR(O365+O378,"")</f>
        <v>0</v>
      </c>
    </row>
    <row r="380" spans="1:15" ht="15" customHeight="1" x14ac:dyDescent="0.35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 x14ac:dyDescent="0.35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 x14ac:dyDescent="0.35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 x14ac:dyDescent="0.35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 x14ac:dyDescent="0.35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 x14ac:dyDescent="0.35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 x14ac:dyDescent="0.35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 x14ac:dyDescent="0.35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 x14ac:dyDescent="0.35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 x14ac:dyDescent="0.35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 x14ac:dyDescent="0.35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 x14ac:dyDescent="0.35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 x14ac:dyDescent="0.35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78"/>
    </row>
    <row r="393" spans="1:15" ht="15" customHeight="1" x14ac:dyDescent="0.35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 x14ac:dyDescent="0.35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 x14ac:dyDescent="0.35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 x14ac:dyDescent="0.35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 x14ac:dyDescent="0.35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 x14ac:dyDescent="0.35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 x14ac:dyDescent="0.35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 x14ac:dyDescent="0.35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 x14ac:dyDescent="0.35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 x14ac:dyDescent="0.35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 x14ac:dyDescent="0.35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 x14ac:dyDescent="0.35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 x14ac:dyDescent="0.35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78"/>
    </row>
    <row r="406" spans="1:15" ht="18" customHeight="1" x14ac:dyDescent="0.35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84">
        <f>IFERROR(O392+O405,"")</f>
        <v>0</v>
      </c>
    </row>
    <row r="407" spans="1:15" ht="15" customHeight="1" x14ac:dyDescent="0.35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 x14ac:dyDescent="0.35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 x14ac:dyDescent="0.35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 x14ac:dyDescent="0.35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 x14ac:dyDescent="0.35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 x14ac:dyDescent="0.35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 x14ac:dyDescent="0.35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 x14ac:dyDescent="0.35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 x14ac:dyDescent="0.35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 x14ac:dyDescent="0.35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 x14ac:dyDescent="0.35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 x14ac:dyDescent="0.35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 x14ac:dyDescent="0.35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78"/>
    </row>
    <row r="420" spans="1:15" ht="15" customHeight="1" x14ac:dyDescent="0.35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 x14ac:dyDescent="0.35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 x14ac:dyDescent="0.35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 x14ac:dyDescent="0.35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 x14ac:dyDescent="0.35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 x14ac:dyDescent="0.35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 x14ac:dyDescent="0.35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 x14ac:dyDescent="0.35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 x14ac:dyDescent="0.35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 x14ac:dyDescent="0.35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 x14ac:dyDescent="0.35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 x14ac:dyDescent="0.35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 x14ac:dyDescent="0.35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78"/>
    </row>
    <row r="433" spans="1:15" ht="18" customHeight="1" x14ac:dyDescent="0.35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84">
        <f>IFERROR(O419+O432,"")</f>
        <v>0</v>
      </c>
    </row>
    <row r="434" spans="1:15" ht="15" customHeight="1" x14ac:dyDescent="0.35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 x14ac:dyDescent="0.35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 x14ac:dyDescent="0.35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 x14ac:dyDescent="0.35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 x14ac:dyDescent="0.35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 x14ac:dyDescent="0.35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 x14ac:dyDescent="0.35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 x14ac:dyDescent="0.35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 x14ac:dyDescent="0.35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 x14ac:dyDescent="0.35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 x14ac:dyDescent="0.35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 x14ac:dyDescent="0.35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 x14ac:dyDescent="0.35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78"/>
    </row>
    <row r="447" spans="1:15" ht="15" customHeight="1" x14ac:dyDescent="0.35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 x14ac:dyDescent="0.35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 x14ac:dyDescent="0.35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 x14ac:dyDescent="0.35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 x14ac:dyDescent="0.35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 x14ac:dyDescent="0.35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 x14ac:dyDescent="0.35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 x14ac:dyDescent="0.35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 x14ac:dyDescent="0.35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 x14ac:dyDescent="0.35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 x14ac:dyDescent="0.35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 x14ac:dyDescent="0.35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 x14ac:dyDescent="0.35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78"/>
    </row>
    <row r="460" spans="1:15" ht="18" customHeight="1" x14ac:dyDescent="0.35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84">
        <f>IFERROR(O446+O459,"")</f>
        <v>0</v>
      </c>
    </row>
    <row r="461" spans="1:15" ht="15" customHeight="1" x14ac:dyDescent="0.35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 x14ac:dyDescent="0.35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 x14ac:dyDescent="0.35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 x14ac:dyDescent="0.35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 x14ac:dyDescent="0.35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 x14ac:dyDescent="0.35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 x14ac:dyDescent="0.35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 x14ac:dyDescent="0.35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 x14ac:dyDescent="0.35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 x14ac:dyDescent="0.35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 x14ac:dyDescent="0.35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 x14ac:dyDescent="0.35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 x14ac:dyDescent="0.35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78"/>
    </row>
    <row r="474" spans="1:15" ht="15" customHeight="1" x14ac:dyDescent="0.35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 x14ac:dyDescent="0.35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 x14ac:dyDescent="0.35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 x14ac:dyDescent="0.35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 x14ac:dyDescent="0.35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 x14ac:dyDescent="0.35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 x14ac:dyDescent="0.35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 x14ac:dyDescent="0.35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 x14ac:dyDescent="0.35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 x14ac:dyDescent="0.35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 x14ac:dyDescent="0.35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 x14ac:dyDescent="0.35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 x14ac:dyDescent="0.35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78"/>
    </row>
    <row r="487" spans="1:15" ht="18" customHeight="1" x14ac:dyDescent="0.35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84">
        <f>IFERROR(O473+O486,"")</f>
        <v>0</v>
      </c>
    </row>
    <row r="488" spans="1:15" ht="15" customHeight="1" x14ac:dyDescent="0.35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 x14ac:dyDescent="0.35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 x14ac:dyDescent="0.35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 x14ac:dyDescent="0.35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 x14ac:dyDescent="0.35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 x14ac:dyDescent="0.35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 x14ac:dyDescent="0.35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 x14ac:dyDescent="0.35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 x14ac:dyDescent="0.35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 x14ac:dyDescent="0.35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 x14ac:dyDescent="0.35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 x14ac:dyDescent="0.35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 x14ac:dyDescent="0.35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78"/>
    </row>
    <row r="501" spans="1:15" ht="15" customHeight="1" x14ac:dyDescent="0.35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 x14ac:dyDescent="0.35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 x14ac:dyDescent="0.35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 x14ac:dyDescent="0.35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 x14ac:dyDescent="0.35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 x14ac:dyDescent="0.35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 x14ac:dyDescent="0.35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 x14ac:dyDescent="0.35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 x14ac:dyDescent="0.35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 x14ac:dyDescent="0.35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 x14ac:dyDescent="0.35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 x14ac:dyDescent="0.35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 x14ac:dyDescent="0.35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78"/>
    </row>
    <row r="514" spans="1:15" ht="18" customHeight="1" x14ac:dyDescent="0.35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84">
        <f>IFERROR(O500+O513,"")</f>
        <v>0</v>
      </c>
    </row>
    <row r="515" spans="1:15" ht="15" customHeight="1" x14ac:dyDescent="0.35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 x14ac:dyDescent="0.35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 x14ac:dyDescent="0.35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 x14ac:dyDescent="0.35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 x14ac:dyDescent="0.35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 x14ac:dyDescent="0.35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 x14ac:dyDescent="0.35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 x14ac:dyDescent="0.35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 x14ac:dyDescent="0.35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 x14ac:dyDescent="0.35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 x14ac:dyDescent="0.35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 x14ac:dyDescent="0.35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 x14ac:dyDescent="0.35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78"/>
    </row>
    <row r="528" spans="1:15" ht="15" customHeight="1" x14ac:dyDescent="0.35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 x14ac:dyDescent="0.35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 x14ac:dyDescent="0.35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 x14ac:dyDescent="0.35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 x14ac:dyDescent="0.35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 x14ac:dyDescent="0.35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 x14ac:dyDescent="0.35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 x14ac:dyDescent="0.35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 x14ac:dyDescent="0.35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 x14ac:dyDescent="0.35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 x14ac:dyDescent="0.35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 x14ac:dyDescent="0.35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 x14ac:dyDescent="0.35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78"/>
    </row>
    <row r="541" spans="1:15" ht="18" customHeight="1" x14ac:dyDescent="0.35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84">
        <f>IFERROR(O527+O540,"")</f>
        <v>0</v>
      </c>
    </row>
    <row r="542" spans="1:15" ht="15" customHeight="1" x14ac:dyDescent="0.35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 x14ac:dyDescent="0.35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 x14ac:dyDescent="0.35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 x14ac:dyDescent="0.35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 x14ac:dyDescent="0.35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 x14ac:dyDescent="0.35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 x14ac:dyDescent="0.35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 x14ac:dyDescent="0.35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 x14ac:dyDescent="0.35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 x14ac:dyDescent="0.35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 x14ac:dyDescent="0.35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 x14ac:dyDescent="0.35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 x14ac:dyDescent="0.35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78"/>
    </row>
    <row r="555" spans="1:15" ht="15" customHeight="1" x14ac:dyDescent="0.35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 x14ac:dyDescent="0.35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 x14ac:dyDescent="0.35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 x14ac:dyDescent="0.35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 x14ac:dyDescent="0.35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 x14ac:dyDescent="0.35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 x14ac:dyDescent="0.35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 x14ac:dyDescent="0.35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 x14ac:dyDescent="0.35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 x14ac:dyDescent="0.35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 x14ac:dyDescent="0.35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 x14ac:dyDescent="0.35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 x14ac:dyDescent="0.35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78"/>
    </row>
    <row r="568" spans="1:15" ht="18" customHeight="1" x14ac:dyDescent="0.35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84">
        <f>IFERROR(O554+O567,"")</f>
        <v>0</v>
      </c>
    </row>
    <row r="569" spans="1:15" ht="15" customHeight="1" x14ac:dyDescent="0.35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 x14ac:dyDescent="0.35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 x14ac:dyDescent="0.35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 x14ac:dyDescent="0.35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 x14ac:dyDescent="0.35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 x14ac:dyDescent="0.35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 x14ac:dyDescent="0.35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 x14ac:dyDescent="0.35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 x14ac:dyDescent="0.35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 x14ac:dyDescent="0.35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 x14ac:dyDescent="0.35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 x14ac:dyDescent="0.35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 x14ac:dyDescent="0.35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78"/>
    </row>
    <row r="582" spans="1:15" ht="15" customHeight="1" x14ac:dyDescent="0.35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 x14ac:dyDescent="0.35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 x14ac:dyDescent="0.35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 x14ac:dyDescent="0.35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 x14ac:dyDescent="0.35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 x14ac:dyDescent="0.35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 x14ac:dyDescent="0.35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 x14ac:dyDescent="0.35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 x14ac:dyDescent="0.35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 x14ac:dyDescent="0.35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 x14ac:dyDescent="0.35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 x14ac:dyDescent="0.35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 x14ac:dyDescent="0.35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78"/>
    </row>
    <row r="595" spans="1:15" ht="18" customHeight="1" x14ac:dyDescent="0.35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84">
        <f>IFERROR(O581+O594,"")</f>
        <v>0</v>
      </c>
    </row>
    <row r="596" spans="1:15" ht="15" customHeight="1" x14ac:dyDescent="0.35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 x14ac:dyDescent="0.35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 x14ac:dyDescent="0.35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 x14ac:dyDescent="0.35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 x14ac:dyDescent="0.35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 x14ac:dyDescent="0.35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 x14ac:dyDescent="0.35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 x14ac:dyDescent="0.35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 x14ac:dyDescent="0.35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 x14ac:dyDescent="0.35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 x14ac:dyDescent="0.35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 x14ac:dyDescent="0.35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 x14ac:dyDescent="0.35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78"/>
    </row>
    <row r="609" spans="1:15" ht="15" customHeight="1" x14ac:dyDescent="0.35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 x14ac:dyDescent="0.35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 x14ac:dyDescent="0.35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 x14ac:dyDescent="0.35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 x14ac:dyDescent="0.35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 x14ac:dyDescent="0.35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 x14ac:dyDescent="0.35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 x14ac:dyDescent="0.35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 x14ac:dyDescent="0.35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 x14ac:dyDescent="0.35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 x14ac:dyDescent="0.35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 x14ac:dyDescent="0.35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 x14ac:dyDescent="0.35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78"/>
    </row>
    <row r="622" spans="1:15" ht="18" customHeight="1" x14ac:dyDescent="0.35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84">
        <f>O608+O621</f>
        <v>0</v>
      </c>
    </row>
    <row r="623" spans="1:15" ht="15" customHeight="1" x14ac:dyDescent="0.35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 x14ac:dyDescent="0.35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 x14ac:dyDescent="0.35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 x14ac:dyDescent="0.35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 x14ac:dyDescent="0.35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 x14ac:dyDescent="0.35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 x14ac:dyDescent="0.35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 x14ac:dyDescent="0.35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 x14ac:dyDescent="0.35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 x14ac:dyDescent="0.35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 x14ac:dyDescent="0.35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 x14ac:dyDescent="0.35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 x14ac:dyDescent="0.35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78"/>
    </row>
    <row r="636" spans="1:15" ht="15" customHeight="1" x14ac:dyDescent="0.35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 x14ac:dyDescent="0.35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 x14ac:dyDescent="0.35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 x14ac:dyDescent="0.35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 x14ac:dyDescent="0.35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 x14ac:dyDescent="0.35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 x14ac:dyDescent="0.35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 x14ac:dyDescent="0.35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 x14ac:dyDescent="0.35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 x14ac:dyDescent="0.35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 x14ac:dyDescent="0.35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 x14ac:dyDescent="0.35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 x14ac:dyDescent="0.35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78"/>
    </row>
    <row r="649" spans="1:15" ht="18" customHeight="1" x14ac:dyDescent="0.35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84">
        <f>O635+O648</f>
        <v>0</v>
      </c>
    </row>
    <row r="650" spans="1:15" ht="15" customHeight="1" x14ac:dyDescent="0.35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 x14ac:dyDescent="0.35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 x14ac:dyDescent="0.35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 x14ac:dyDescent="0.35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 x14ac:dyDescent="0.35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 x14ac:dyDescent="0.35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 x14ac:dyDescent="0.35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 x14ac:dyDescent="0.35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 x14ac:dyDescent="0.35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 x14ac:dyDescent="0.35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 x14ac:dyDescent="0.35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 x14ac:dyDescent="0.35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 x14ac:dyDescent="0.35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78"/>
    </row>
    <row r="663" spans="1:15" ht="15" customHeight="1" x14ac:dyDescent="0.35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 x14ac:dyDescent="0.35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 x14ac:dyDescent="0.35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 x14ac:dyDescent="0.35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 x14ac:dyDescent="0.35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 x14ac:dyDescent="0.35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 x14ac:dyDescent="0.35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 x14ac:dyDescent="0.35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 x14ac:dyDescent="0.35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 x14ac:dyDescent="0.35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 x14ac:dyDescent="0.35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 x14ac:dyDescent="0.35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 x14ac:dyDescent="0.35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78"/>
    </row>
    <row r="676" spans="1:15" ht="18" customHeight="1" x14ac:dyDescent="0.35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84">
        <f>IFERROR(O662+O675,"")</f>
        <v>0</v>
      </c>
    </row>
    <row r="677" spans="1:15" ht="15" customHeight="1" x14ac:dyDescent="0.35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 x14ac:dyDescent="0.35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 x14ac:dyDescent="0.35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 x14ac:dyDescent="0.35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 x14ac:dyDescent="0.35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 x14ac:dyDescent="0.35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 x14ac:dyDescent="0.35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 x14ac:dyDescent="0.35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 x14ac:dyDescent="0.35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 x14ac:dyDescent="0.35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 x14ac:dyDescent="0.35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 x14ac:dyDescent="0.35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 x14ac:dyDescent="0.35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78"/>
    </row>
    <row r="690" spans="1:15" ht="15" customHeight="1" x14ac:dyDescent="0.35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 x14ac:dyDescent="0.35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 x14ac:dyDescent="0.35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 x14ac:dyDescent="0.35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 x14ac:dyDescent="0.35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 x14ac:dyDescent="0.35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 x14ac:dyDescent="0.35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 x14ac:dyDescent="0.35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 x14ac:dyDescent="0.35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 x14ac:dyDescent="0.35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 x14ac:dyDescent="0.35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 x14ac:dyDescent="0.35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 x14ac:dyDescent="0.35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78"/>
    </row>
    <row r="703" spans="1:15" ht="18" customHeight="1" x14ac:dyDescent="0.35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84">
        <f>IFERROR(O689+O702,"")</f>
        <v>0</v>
      </c>
    </row>
    <row r="704" spans="1:15" ht="15" customHeight="1" x14ac:dyDescent="0.35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 x14ac:dyDescent="0.35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 x14ac:dyDescent="0.35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 x14ac:dyDescent="0.35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 x14ac:dyDescent="0.35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 x14ac:dyDescent="0.35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 x14ac:dyDescent="0.35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 x14ac:dyDescent="0.35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 x14ac:dyDescent="0.35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 x14ac:dyDescent="0.35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 x14ac:dyDescent="0.35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 x14ac:dyDescent="0.35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 x14ac:dyDescent="0.35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78"/>
    </row>
    <row r="717" spans="1:15" ht="15" customHeight="1" x14ac:dyDescent="0.35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 x14ac:dyDescent="0.35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 x14ac:dyDescent="0.35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 x14ac:dyDescent="0.35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 x14ac:dyDescent="0.35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 x14ac:dyDescent="0.35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 x14ac:dyDescent="0.35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 x14ac:dyDescent="0.35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 x14ac:dyDescent="0.35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 x14ac:dyDescent="0.35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 x14ac:dyDescent="0.35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 x14ac:dyDescent="0.35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 x14ac:dyDescent="0.35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78"/>
    </row>
    <row r="730" spans="1:15" ht="18" customHeight="1" x14ac:dyDescent="0.35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84">
        <f>IFERROR(O716+O729,"")</f>
        <v>0</v>
      </c>
    </row>
    <row r="731" spans="1:15" ht="15" customHeight="1" x14ac:dyDescent="0.35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 x14ac:dyDescent="0.35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 x14ac:dyDescent="0.35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 x14ac:dyDescent="0.35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 x14ac:dyDescent="0.35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 x14ac:dyDescent="0.35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 x14ac:dyDescent="0.35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 x14ac:dyDescent="0.35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 x14ac:dyDescent="0.35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 x14ac:dyDescent="0.35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 x14ac:dyDescent="0.35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 x14ac:dyDescent="0.35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 x14ac:dyDescent="0.35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78"/>
    </row>
    <row r="744" spans="1:15" ht="15" customHeight="1" x14ac:dyDescent="0.35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 x14ac:dyDescent="0.35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 x14ac:dyDescent="0.35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 x14ac:dyDescent="0.35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 x14ac:dyDescent="0.35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 x14ac:dyDescent="0.35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 x14ac:dyDescent="0.35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 x14ac:dyDescent="0.35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 x14ac:dyDescent="0.35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 x14ac:dyDescent="0.35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 x14ac:dyDescent="0.35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 x14ac:dyDescent="0.35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 x14ac:dyDescent="0.35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 x14ac:dyDescent="0.35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84">
        <f>IFERROR(O743+O756,"")</f>
        <v>0</v>
      </c>
    </row>
    <row r="758" spans="1:15" ht="15" customHeight="1" x14ac:dyDescent="0.35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 x14ac:dyDescent="0.35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 x14ac:dyDescent="0.35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 x14ac:dyDescent="0.35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 x14ac:dyDescent="0.35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 x14ac:dyDescent="0.35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 x14ac:dyDescent="0.35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 x14ac:dyDescent="0.35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 x14ac:dyDescent="0.35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 x14ac:dyDescent="0.35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 x14ac:dyDescent="0.35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 x14ac:dyDescent="0.35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 x14ac:dyDescent="0.35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78"/>
    </row>
    <row r="771" spans="1:15" ht="15" customHeight="1" x14ac:dyDescent="0.35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 x14ac:dyDescent="0.35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 x14ac:dyDescent="0.35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 x14ac:dyDescent="0.35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 x14ac:dyDescent="0.35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 x14ac:dyDescent="0.35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 x14ac:dyDescent="0.35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 x14ac:dyDescent="0.35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 x14ac:dyDescent="0.35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 x14ac:dyDescent="0.35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 x14ac:dyDescent="0.35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 x14ac:dyDescent="0.35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 x14ac:dyDescent="0.35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 x14ac:dyDescent="0.35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84">
        <f>IFERROR(O770+O783,"")</f>
        <v>0</v>
      </c>
    </row>
    <row r="785" spans="1:15" ht="15" customHeight="1" x14ac:dyDescent="0.35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 x14ac:dyDescent="0.35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 x14ac:dyDescent="0.35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 x14ac:dyDescent="0.35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 x14ac:dyDescent="0.35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 x14ac:dyDescent="0.35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 x14ac:dyDescent="0.35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 x14ac:dyDescent="0.35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 x14ac:dyDescent="0.35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 x14ac:dyDescent="0.35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 x14ac:dyDescent="0.35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 x14ac:dyDescent="0.35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 x14ac:dyDescent="0.35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78"/>
    </row>
    <row r="798" spans="1:15" ht="15" customHeight="1" x14ac:dyDescent="0.35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 x14ac:dyDescent="0.35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 x14ac:dyDescent="0.35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 x14ac:dyDescent="0.35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 x14ac:dyDescent="0.35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 x14ac:dyDescent="0.35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 x14ac:dyDescent="0.35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 x14ac:dyDescent="0.35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 x14ac:dyDescent="0.35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 x14ac:dyDescent="0.35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 x14ac:dyDescent="0.35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 x14ac:dyDescent="0.35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 x14ac:dyDescent="0.35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 x14ac:dyDescent="0.35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241" zoomScale="70" zoomScaleNormal="70" workbookViewId="0">
      <selection activeCell="I258" sqref="I258:I264"/>
    </sheetView>
  </sheetViews>
  <sheetFormatPr defaultColWidth="8.54296875" defaultRowHeight="14.5" x14ac:dyDescent="0.3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4296875" style="20" customWidth="1"/>
    <col min="9" max="9" width="30.453125" style="20" customWidth="1"/>
    <col min="10" max="10" width="46.453125" style="20" customWidth="1"/>
    <col min="11" max="11" width="12" style="20" customWidth="1"/>
    <col min="12" max="12" width="16.453125" style="21" customWidth="1"/>
    <col min="13" max="13" width="14" style="20" customWidth="1"/>
    <col min="14" max="14" width="39.26953125" style="20" customWidth="1"/>
    <col min="15" max="15" width="14" customWidth="1"/>
  </cols>
  <sheetData>
    <row r="1" spans="1:15" ht="37.5" customHeight="1" x14ac:dyDescent="0.35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 x14ac:dyDescent="0.35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 x14ac:dyDescent="0.35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 x14ac:dyDescent="0.35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249</v>
      </c>
      <c r="O4" s="31"/>
    </row>
    <row r="5" spans="1:15" ht="15" customHeight="1" x14ac:dyDescent="0.35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 x14ac:dyDescent="0.35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250</v>
      </c>
      <c r="O6" s="31"/>
    </row>
    <row r="7" spans="1:15" ht="15" customHeight="1" x14ac:dyDescent="0.35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 x14ac:dyDescent="0.35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 x14ac:dyDescent="0.35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 x14ac:dyDescent="0.35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 x14ac:dyDescent="0.35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 x14ac:dyDescent="0.35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 x14ac:dyDescent="0.35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 x14ac:dyDescent="0.35">
      <c r="A14" s="91" t="s">
        <v>215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216</v>
      </c>
      <c r="O14" s="39">
        <v>292530</v>
      </c>
    </row>
    <row r="15" spans="1:15" ht="15" customHeight="1" x14ac:dyDescent="0.35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 x14ac:dyDescent="0.35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6:M26" ca="1" si="5">IFERROR(IF(K16="","",IF(L16="",MOD(NOW()-K16,1),IF(L16&gt;=K16,L16-K16,L16+1-K16))),"")</f>
        <v/>
      </c>
      <c r="N16" s="27"/>
      <c r="O16" s="31"/>
    </row>
    <row r="17" spans="1:15" ht="15" customHeight="1" x14ac:dyDescent="0.35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 x14ac:dyDescent="0.35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 x14ac:dyDescent="0.35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 x14ac:dyDescent="0.35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 x14ac:dyDescent="0.35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 x14ac:dyDescent="0.35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 x14ac:dyDescent="0.35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 x14ac:dyDescent="0.35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 x14ac:dyDescent="0.35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 x14ac:dyDescent="0.35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 x14ac:dyDescent="0.35">
      <c r="A27" s="91" t="s">
        <v>217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216</v>
      </c>
      <c r="O27" s="39">
        <v>308500</v>
      </c>
    </row>
    <row r="28" spans="1:15" ht="18" customHeight="1" x14ac:dyDescent="0.35">
      <c r="A28" s="94" t="s">
        <v>218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219</v>
      </c>
      <c r="O28" s="43">
        <f>IFERROR(O14+O27,"")</f>
        <v>601030</v>
      </c>
    </row>
    <row r="29" spans="1:15" ht="15" customHeight="1" x14ac:dyDescent="0.35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251</v>
      </c>
      <c r="O29" s="31"/>
    </row>
    <row r="30" spans="1:15" ht="15" customHeight="1" x14ac:dyDescent="0.35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 x14ac:dyDescent="0.35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 x14ac:dyDescent="0.35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 x14ac:dyDescent="0.35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 x14ac:dyDescent="0.35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 x14ac:dyDescent="0.35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 x14ac:dyDescent="0.35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 x14ac:dyDescent="0.35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 x14ac:dyDescent="0.35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 x14ac:dyDescent="0.35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 x14ac:dyDescent="0.35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 x14ac:dyDescent="0.35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216</v>
      </c>
      <c r="O41" s="39">
        <v>205590</v>
      </c>
    </row>
    <row r="42" spans="1:15" ht="15" customHeight="1" x14ac:dyDescent="0.35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 x14ac:dyDescent="0.35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 x14ac:dyDescent="0.35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 x14ac:dyDescent="0.35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 x14ac:dyDescent="0.35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 x14ac:dyDescent="0.35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 x14ac:dyDescent="0.35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 x14ac:dyDescent="0.35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 x14ac:dyDescent="0.35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 x14ac:dyDescent="0.35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 x14ac:dyDescent="0.35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 x14ac:dyDescent="0.35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 x14ac:dyDescent="0.35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39">
        <v>124290</v>
      </c>
    </row>
    <row r="55" spans="1:15" ht="18" customHeight="1" x14ac:dyDescent="0.35">
      <c r="A55" s="94" t="s">
        <v>218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219</v>
      </c>
      <c r="O55" s="43">
        <f>IFERROR(O41+O54,"")</f>
        <v>329880</v>
      </c>
    </row>
    <row r="56" spans="1:15" ht="15" customHeight="1" x14ac:dyDescent="0.35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 x14ac:dyDescent="0.35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 x14ac:dyDescent="0.35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 x14ac:dyDescent="0.35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252</v>
      </c>
      <c r="O59" s="31"/>
    </row>
    <row r="60" spans="1:15" ht="15" customHeight="1" x14ac:dyDescent="0.35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 x14ac:dyDescent="0.35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 x14ac:dyDescent="0.35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 x14ac:dyDescent="0.35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 x14ac:dyDescent="0.35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 x14ac:dyDescent="0.35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 x14ac:dyDescent="0.35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 x14ac:dyDescent="0.35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 x14ac:dyDescent="0.35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216</v>
      </c>
      <c r="O68" s="39">
        <v>441440</v>
      </c>
    </row>
    <row r="69" spans="1:15" ht="15" customHeight="1" x14ac:dyDescent="0.35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253</v>
      </c>
      <c r="O69" s="31"/>
    </row>
    <row r="70" spans="1:15" ht="15" customHeight="1" x14ac:dyDescent="0.35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 x14ac:dyDescent="0.35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 x14ac:dyDescent="0.35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 x14ac:dyDescent="0.35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 x14ac:dyDescent="0.35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 x14ac:dyDescent="0.35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 x14ac:dyDescent="0.35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 x14ac:dyDescent="0.35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 x14ac:dyDescent="0.35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 x14ac:dyDescent="0.35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 x14ac:dyDescent="0.35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 x14ac:dyDescent="0.35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216</v>
      </c>
      <c r="O81" s="39">
        <v>396340</v>
      </c>
    </row>
    <row r="82" spans="1:15" ht="18" customHeight="1" x14ac:dyDescent="0.35">
      <c r="A82" s="94" t="s">
        <v>218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219</v>
      </c>
      <c r="O82" s="43">
        <f>IFERROR(O68+O81,"")</f>
        <v>837780</v>
      </c>
    </row>
    <row r="83" spans="1:15" ht="15" customHeight="1" x14ac:dyDescent="0.35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 x14ac:dyDescent="0.35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 x14ac:dyDescent="0.35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 x14ac:dyDescent="0.35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 x14ac:dyDescent="0.35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 x14ac:dyDescent="0.35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254</v>
      </c>
      <c r="O88" s="31"/>
    </row>
    <row r="89" spans="1:15" ht="15" customHeight="1" x14ac:dyDescent="0.35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 x14ac:dyDescent="0.35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 x14ac:dyDescent="0.35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 x14ac:dyDescent="0.35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 x14ac:dyDescent="0.35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 x14ac:dyDescent="0.35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 x14ac:dyDescent="0.35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216</v>
      </c>
      <c r="O95" s="39">
        <v>536290</v>
      </c>
    </row>
    <row r="96" spans="1:15" ht="15" customHeight="1" x14ac:dyDescent="0.35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 x14ac:dyDescent="0.35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 x14ac:dyDescent="0.35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 x14ac:dyDescent="0.35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 x14ac:dyDescent="0.35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 x14ac:dyDescent="0.35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 x14ac:dyDescent="0.35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 x14ac:dyDescent="0.35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 x14ac:dyDescent="0.35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 x14ac:dyDescent="0.35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 x14ac:dyDescent="0.35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 x14ac:dyDescent="0.35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 x14ac:dyDescent="0.35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216</v>
      </c>
      <c r="O108" s="39">
        <v>41230</v>
      </c>
    </row>
    <row r="109" spans="1:15" ht="18" customHeight="1" x14ac:dyDescent="0.35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219</v>
      </c>
      <c r="O109" s="43">
        <f>IFERROR(O95+O108,"")</f>
        <v>577520</v>
      </c>
    </row>
    <row r="110" spans="1:15" ht="15" customHeight="1" x14ac:dyDescent="0.35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 x14ac:dyDescent="0.35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 x14ac:dyDescent="0.35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 x14ac:dyDescent="0.35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 x14ac:dyDescent="0.35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 x14ac:dyDescent="0.35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 x14ac:dyDescent="0.35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 x14ac:dyDescent="0.35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 x14ac:dyDescent="0.35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 x14ac:dyDescent="0.35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 x14ac:dyDescent="0.35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 x14ac:dyDescent="0.35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 x14ac:dyDescent="0.35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216</v>
      </c>
      <c r="O122" s="39">
        <v>51130</v>
      </c>
    </row>
    <row r="123" spans="1:15" ht="15" customHeight="1" x14ac:dyDescent="0.35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 x14ac:dyDescent="0.35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 x14ac:dyDescent="0.35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 x14ac:dyDescent="0.35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 x14ac:dyDescent="0.35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 x14ac:dyDescent="0.35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 x14ac:dyDescent="0.35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239</v>
      </c>
      <c r="O129" s="31"/>
    </row>
    <row r="130" spans="1:15" ht="15" customHeight="1" x14ac:dyDescent="0.35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 x14ac:dyDescent="0.35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 x14ac:dyDescent="0.35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 x14ac:dyDescent="0.35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 x14ac:dyDescent="0.35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 x14ac:dyDescent="0.35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216</v>
      </c>
      <c r="O135" s="39">
        <v>381250</v>
      </c>
    </row>
    <row r="136" spans="1:15" ht="18" customHeight="1" x14ac:dyDescent="0.35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219</v>
      </c>
      <c r="O136" s="43">
        <f>IFERROR(O122+O135,"")</f>
        <v>432380</v>
      </c>
    </row>
    <row r="137" spans="1:15" ht="15" customHeight="1" x14ac:dyDescent="0.35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 x14ac:dyDescent="0.35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 x14ac:dyDescent="0.35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 x14ac:dyDescent="0.35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 x14ac:dyDescent="0.35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255</v>
      </c>
      <c r="M141" s="35" t="str">
        <f t="shared" ca="1" si="31"/>
        <v/>
      </c>
      <c r="N141" s="27"/>
      <c r="O141" s="31"/>
    </row>
    <row r="142" spans="1:15" ht="15" customHeight="1" x14ac:dyDescent="0.35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 x14ac:dyDescent="0.35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 x14ac:dyDescent="0.35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 x14ac:dyDescent="0.35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 x14ac:dyDescent="0.35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 x14ac:dyDescent="0.35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 x14ac:dyDescent="0.35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 x14ac:dyDescent="0.35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216</v>
      </c>
      <c r="O149" s="39">
        <v>584680</v>
      </c>
    </row>
    <row r="150" spans="1:15" ht="15" customHeight="1" x14ac:dyDescent="0.35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256</v>
      </c>
      <c r="O150" s="31"/>
    </row>
    <row r="151" spans="1:15" ht="15" customHeight="1" x14ac:dyDescent="0.35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 x14ac:dyDescent="0.35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242</v>
      </c>
      <c r="O152" s="31"/>
    </row>
    <row r="153" spans="1:15" ht="15" customHeight="1" x14ac:dyDescent="0.35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 x14ac:dyDescent="0.35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 x14ac:dyDescent="0.35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 x14ac:dyDescent="0.35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 x14ac:dyDescent="0.35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 x14ac:dyDescent="0.35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 x14ac:dyDescent="0.35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 x14ac:dyDescent="0.35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 x14ac:dyDescent="0.35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 x14ac:dyDescent="0.35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216</v>
      </c>
      <c r="O162" s="39">
        <v>337120</v>
      </c>
    </row>
    <row r="163" spans="1:15" ht="18" customHeight="1" x14ac:dyDescent="0.35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219</v>
      </c>
      <c r="O163" s="43">
        <f>IFERROR(O149+O162,"")</f>
        <v>921800</v>
      </c>
    </row>
    <row r="164" spans="1:15" ht="15" customHeight="1" x14ac:dyDescent="0.35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 x14ac:dyDescent="0.35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226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 x14ac:dyDescent="0.35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226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257</v>
      </c>
      <c r="N166" s="27" t="s">
        <v>258</v>
      </c>
      <c r="O166" s="31"/>
    </row>
    <row r="167" spans="1:15" ht="15" customHeight="1" x14ac:dyDescent="0.35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226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 x14ac:dyDescent="0.35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226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 x14ac:dyDescent="0.35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226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 x14ac:dyDescent="0.35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226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 x14ac:dyDescent="0.35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226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 x14ac:dyDescent="0.35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226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 x14ac:dyDescent="0.35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 x14ac:dyDescent="0.35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226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 x14ac:dyDescent="0.35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226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 x14ac:dyDescent="0.35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216</v>
      </c>
      <c r="O176" s="39">
        <v>190950</v>
      </c>
    </row>
    <row r="177" spans="1:15" ht="15" customHeight="1" x14ac:dyDescent="0.35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226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 x14ac:dyDescent="0.35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226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 x14ac:dyDescent="0.35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226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 x14ac:dyDescent="0.35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226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 x14ac:dyDescent="0.35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226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 x14ac:dyDescent="0.35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226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 x14ac:dyDescent="0.35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226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 x14ac:dyDescent="0.35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226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 x14ac:dyDescent="0.35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226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 x14ac:dyDescent="0.35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226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 x14ac:dyDescent="0.35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226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 x14ac:dyDescent="0.35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226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 x14ac:dyDescent="0.35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216</v>
      </c>
      <c r="O189" s="39">
        <v>747210</v>
      </c>
    </row>
    <row r="190" spans="1:15" ht="18" customHeight="1" x14ac:dyDescent="0.35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219</v>
      </c>
      <c r="O190" s="43">
        <f>IFERROR(O176+O189,"")</f>
        <v>938160</v>
      </c>
    </row>
    <row r="191" spans="1:15" ht="15" customHeight="1" x14ac:dyDescent="0.35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226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 x14ac:dyDescent="0.35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226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259</v>
      </c>
      <c r="O192" s="31"/>
    </row>
    <row r="193" spans="1:15" ht="15" customHeight="1" x14ac:dyDescent="0.35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226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 x14ac:dyDescent="0.35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226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 x14ac:dyDescent="0.35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226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 x14ac:dyDescent="0.35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226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 x14ac:dyDescent="0.35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 x14ac:dyDescent="0.35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226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 x14ac:dyDescent="0.35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226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 x14ac:dyDescent="0.35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226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 x14ac:dyDescent="0.35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226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 x14ac:dyDescent="0.35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 x14ac:dyDescent="0.35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216</v>
      </c>
      <c r="O203" s="39">
        <v>324840</v>
      </c>
    </row>
    <row r="204" spans="1:15" ht="15" customHeight="1" x14ac:dyDescent="0.35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 x14ac:dyDescent="0.35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 x14ac:dyDescent="0.35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 x14ac:dyDescent="0.35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 x14ac:dyDescent="0.35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 x14ac:dyDescent="0.35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 x14ac:dyDescent="0.35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 x14ac:dyDescent="0.35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 x14ac:dyDescent="0.35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 x14ac:dyDescent="0.35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 x14ac:dyDescent="0.35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 x14ac:dyDescent="0.35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 x14ac:dyDescent="0.35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216</v>
      </c>
      <c r="O216" s="39">
        <v>468430</v>
      </c>
    </row>
    <row r="217" spans="1:15" ht="18" customHeight="1" x14ac:dyDescent="0.35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219</v>
      </c>
      <c r="O217" s="48">
        <f>IFERROR(O203+O216,"")</f>
        <v>793270</v>
      </c>
    </row>
    <row r="218" spans="1:15" ht="15" customHeight="1" x14ac:dyDescent="0.35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 x14ac:dyDescent="0.35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 x14ac:dyDescent="0.35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 x14ac:dyDescent="0.35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 x14ac:dyDescent="0.35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 x14ac:dyDescent="0.35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 x14ac:dyDescent="0.35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226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 x14ac:dyDescent="0.35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226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 x14ac:dyDescent="0.35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 x14ac:dyDescent="0.35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226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 x14ac:dyDescent="0.35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226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 x14ac:dyDescent="0.35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226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 x14ac:dyDescent="0.35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216</v>
      </c>
      <c r="O230" s="39">
        <v>469520</v>
      </c>
    </row>
    <row r="231" spans="1:15" ht="15" customHeight="1" x14ac:dyDescent="0.35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 x14ac:dyDescent="0.35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 x14ac:dyDescent="0.35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 x14ac:dyDescent="0.35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 x14ac:dyDescent="0.35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 x14ac:dyDescent="0.35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 x14ac:dyDescent="0.35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 x14ac:dyDescent="0.35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 x14ac:dyDescent="0.35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226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 x14ac:dyDescent="0.35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 x14ac:dyDescent="0.35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 x14ac:dyDescent="0.35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 x14ac:dyDescent="0.35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216</v>
      </c>
      <c r="O243" s="39">
        <v>575930</v>
      </c>
    </row>
    <row r="244" spans="1:15" ht="18" customHeight="1" x14ac:dyDescent="0.35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219</v>
      </c>
      <c r="O244" s="48">
        <f>IFERROR(O230+O243,"")</f>
        <v>1045450</v>
      </c>
    </row>
    <row r="245" spans="1:15" ht="15" customHeight="1" x14ac:dyDescent="0.35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 x14ac:dyDescent="0.35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 x14ac:dyDescent="0.35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 x14ac:dyDescent="0.35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 x14ac:dyDescent="0.35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 x14ac:dyDescent="0.35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226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 x14ac:dyDescent="0.35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226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 x14ac:dyDescent="0.35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226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 x14ac:dyDescent="0.35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226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 x14ac:dyDescent="0.35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226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 x14ac:dyDescent="0.35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226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 x14ac:dyDescent="0.35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 x14ac:dyDescent="0.35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216</v>
      </c>
      <c r="O257" s="39">
        <v>456270</v>
      </c>
    </row>
    <row r="258" spans="1:15" ht="15" customHeight="1" x14ac:dyDescent="0.35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226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 x14ac:dyDescent="0.35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260</v>
      </c>
      <c r="O259" s="47"/>
    </row>
    <row r="260" spans="1:15" ht="15" customHeight="1" x14ac:dyDescent="0.35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 x14ac:dyDescent="0.35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 x14ac:dyDescent="0.35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 x14ac:dyDescent="0.35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261</v>
      </c>
      <c r="O263" s="47"/>
    </row>
    <row r="264" spans="1:15" ht="15" customHeight="1" x14ac:dyDescent="0.35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 x14ac:dyDescent="0.35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 x14ac:dyDescent="0.35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 x14ac:dyDescent="0.35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 x14ac:dyDescent="0.35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 x14ac:dyDescent="0.35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 x14ac:dyDescent="0.35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216</v>
      </c>
      <c r="O270" s="39">
        <v>483510</v>
      </c>
    </row>
    <row r="271" spans="1:15" ht="18" customHeight="1" x14ac:dyDescent="0.35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219</v>
      </c>
      <c r="O271" s="48">
        <f>IFERROR(O257+O270,"")</f>
        <v>939780</v>
      </c>
    </row>
    <row r="272" spans="1:15" ht="15" customHeight="1" x14ac:dyDescent="0.35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226</v>
      </c>
      <c r="F272" s="27">
        <v>0</v>
      </c>
      <c r="G272" s="28">
        <f t="shared" ref="G272:G283" si="60">IF(F272="","",IF(E272="PC 17",F272*4.2,IF(E272="PC 19",F272*5,"")))</f>
        <v>0</v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 x14ac:dyDescent="0.35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226</v>
      </c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 x14ac:dyDescent="0.35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226</v>
      </c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 x14ac:dyDescent="0.35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226</v>
      </c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 x14ac:dyDescent="0.35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226</v>
      </c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 x14ac:dyDescent="0.35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226</v>
      </c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 x14ac:dyDescent="0.35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226</v>
      </c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 x14ac:dyDescent="0.35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226</v>
      </c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 x14ac:dyDescent="0.35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226</v>
      </c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 x14ac:dyDescent="0.35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226</v>
      </c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 x14ac:dyDescent="0.35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226</v>
      </c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 x14ac:dyDescent="0.35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226</v>
      </c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 x14ac:dyDescent="0.35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216</v>
      </c>
      <c r="O284" s="39"/>
    </row>
    <row r="285" spans="1:15" ht="15" customHeight="1" x14ac:dyDescent="0.35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 x14ac:dyDescent="0.35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 x14ac:dyDescent="0.35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 x14ac:dyDescent="0.35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 x14ac:dyDescent="0.35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 x14ac:dyDescent="0.35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 x14ac:dyDescent="0.35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 x14ac:dyDescent="0.35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 x14ac:dyDescent="0.35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 x14ac:dyDescent="0.35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 x14ac:dyDescent="0.35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 x14ac:dyDescent="0.35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 x14ac:dyDescent="0.35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216</v>
      </c>
      <c r="O297" s="39"/>
    </row>
    <row r="298" spans="1:15" ht="18" customHeight="1" x14ac:dyDescent="0.35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219</v>
      </c>
      <c r="O298" s="48">
        <f>IFERROR(O284+O297,"")</f>
        <v>0</v>
      </c>
    </row>
    <row r="299" spans="1:15" ht="15" customHeight="1" x14ac:dyDescent="0.35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 x14ac:dyDescent="0.35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 x14ac:dyDescent="0.35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 x14ac:dyDescent="0.35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 x14ac:dyDescent="0.35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 x14ac:dyDescent="0.35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 x14ac:dyDescent="0.35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 x14ac:dyDescent="0.35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 x14ac:dyDescent="0.35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 x14ac:dyDescent="0.35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 x14ac:dyDescent="0.35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 x14ac:dyDescent="0.35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 x14ac:dyDescent="0.35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 x14ac:dyDescent="0.35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 x14ac:dyDescent="0.35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 x14ac:dyDescent="0.35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 x14ac:dyDescent="0.35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 x14ac:dyDescent="0.35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 x14ac:dyDescent="0.35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 x14ac:dyDescent="0.35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 x14ac:dyDescent="0.35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 x14ac:dyDescent="0.35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 x14ac:dyDescent="0.35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 x14ac:dyDescent="0.35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 x14ac:dyDescent="0.35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 x14ac:dyDescent="0.35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 x14ac:dyDescent="0.35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 x14ac:dyDescent="0.35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 x14ac:dyDescent="0.35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 x14ac:dyDescent="0.35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 x14ac:dyDescent="0.35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 x14ac:dyDescent="0.35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 x14ac:dyDescent="0.35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 x14ac:dyDescent="0.35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 x14ac:dyDescent="0.35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 x14ac:dyDescent="0.35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 x14ac:dyDescent="0.35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 x14ac:dyDescent="0.35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 x14ac:dyDescent="0.35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 x14ac:dyDescent="0.35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 x14ac:dyDescent="0.35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 x14ac:dyDescent="0.35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 x14ac:dyDescent="0.35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 x14ac:dyDescent="0.35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 x14ac:dyDescent="0.35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 x14ac:dyDescent="0.35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 x14ac:dyDescent="0.35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 x14ac:dyDescent="0.35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 x14ac:dyDescent="0.35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 x14ac:dyDescent="0.35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 x14ac:dyDescent="0.35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 x14ac:dyDescent="0.35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 x14ac:dyDescent="0.35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 x14ac:dyDescent="0.35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 x14ac:dyDescent="0.35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 x14ac:dyDescent="0.35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 x14ac:dyDescent="0.35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 x14ac:dyDescent="0.35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 x14ac:dyDescent="0.35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 x14ac:dyDescent="0.35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 x14ac:dyDescent="0.35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 x14ac:dyDescent="0.35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 x14ac:dyDescent="0.35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 x14ac:dyDescent="0.35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 x14ac:dyDescent="0.35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 x14ac:dyDescent="0.35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 x14ac:dyDescent="0.35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 x14ac:dyDescent="0.35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 x14ac:dyDescent="0.35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 x14ac:dyDescent="0.35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 x14ac:dyDescent="0.35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 x14ac:dyDescent="0.35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 x14ac:dyDescent="0.35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 x14ac:dyDescent="0.35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 x14ac:dyDescent="0.35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 x14ac:dyDescent="0.35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 x14ac:dyDescent="0.35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 x14ac:dyDescent="0.35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 x14ac:dyDescent="0.35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 x14ac:dyDescent="0.35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 x14ac:dyDescent="0.35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 x14ac:dyDescent="0.35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 x14ac:dyDescent="0.35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 x14ac:dyDescent="0.35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 x14ac:dyDescent="0.35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 x14ac:dyDescent="0.35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 x14ac:dyDescent="0.35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 x14ac:dyDescent="0.35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 x14ac:dyDescent="0.35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 x14ac:dyDescent="0.35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 x14ac:dyDescent="0.35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 x14ac:dyDescent="0.35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 x14ac:dyDescent="0.35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 x14ac:dyDescent="0.35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 x14ac:dyDescent="0.35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 x14ac:dyDescent="0.35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 x14ac:dyDescent="0.35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 x14ac:dyDescent="0.35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 x14ac:dyDescent="0.35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 x14ac:dyDescent="0.35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 x14ac:dyDescent="0.35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 x14ac:dyDescent="0.35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 x14ac:dyDescent="0.35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 x14ac:dyDescent="0.35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 x14ac:dyDescent="0.35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 x14ac:dyDescent="0.35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 x14ac:dyDescent="0.35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 x14ac:dyDescent="0.35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 x14ac:dyDescent="0.35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 x14ac:dyDescent="0.35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 x14ac:dyDescent="0.35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 x14ac:dyDescent="0.35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 x14ac:dyDescent="0.35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 x14ac:dyDescent="0.35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 x14ac:dyDescent="0.35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 x14ac:dyDescent="0.35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 x14ac:dyDescent="0.35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 x14ac:dyDescent="0.35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 x14ac:dyDescent="0.35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 x14ac:dyDescent="0.35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 x14ac:dyDescent="0.35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 x14ac:dyDescent="0.35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 x14ac:dyDescent="0.35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 x14ac:dyDescent="0.35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 x14ac:dyDescent="0.35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 x14ac:dyDescent="0.35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 x14ac:dyDescent="0.35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 x14ac:dyDescent="0.35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 x14ac:dyDescent="0.35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 x14ac:dyDescent="0.35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 x14ac:dyDescent="0.35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 x14ac:dyDescent="0.35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 x14ac:dyDescent="0.35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 x14ac:dyDescent="0.35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 x14ac:dyDescent="0.35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 x14ac:dyDescent="0.35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 x14ac:dyDescent="0.35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 x14ac:dyDescent="0.35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 x14ac:dyDescent="0.35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 x14ac:dyDescent="0.35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 x14ac:dyDescent="0.35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 x14ac:dyDescent="0.35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 x14ac:dyDescent="0.35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 x14ac:dyDescent="0.35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 x14ac:dyDescent="0.35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 x14ac:dyDescent="0.35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 x14ac:dyDescent="0.35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 x14ac:dyDescent="0.35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 x14ac:dyDescent="0.35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 x14ac:dyDescent="0.35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 x14ac:dyDescent="0.35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 x14ac:dyDescent="0.35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 x14ac:dyDescent="0.35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 x14ac:dyDescent="0.35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 x14ac:dyDescent="0.35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 x14ac:dyDescent="0.35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 x14ac:dyDescent="0.35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 x14ac:dyDescent="0.35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 x14ac:dyDescent="0.35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 x14ac:dyDescent="0.35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 x14ac:dyDescent="0.35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 x14ac:dyDescent="0.35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 x14ac:dyDescent="0.35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 x14ac:dyDescent="0.35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 x14ac:dyDescent="0.35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 x14ac:dyDescent="0.35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 x14ac:dyDescent="0.35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 x14ac:dyDescent="0.35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 x14ac:dyDescent="0.35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 x14ac:dyDescent="0.35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 x14ac:dyDescent="0.35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 x14ac:dyDescent="0.35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 x14ac:dyDescent="0.35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 x14ac:dyDescent="0.35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 x14ac:dyDescent="0.35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 x14ac:dyDescent="0.35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 x14ac:dyDescent="0.35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 x14ac:dyDescent="0.35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 x14ac:dyDescent="0.35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 x14ac:dyDescent="0.35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 x14ac:dyDescent="0.35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 x14ac:dyDescent="0.35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 x14ac:dyDescent="0.35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 x14ac:dyDescent="0.35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 x14ac:dyDescent="0.35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 x14ac:dyDescent="0.35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 x14ac:dyDescent="0.35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 x14ac:dyDescent="0.35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 x14ac:dyDescent="0.35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 x14ac:dyDescent="0.35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 x14ac:dyDescent="0.35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 x14ac:dyDescent="0.35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 x14ac:dyDescent="0.35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 x14ac:dyDescent="0.35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 x14ac:dyDescent="0.35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 x14ac:dyDescent="0.35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 x14ac:dyDescent="0.35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 x14ac:dyDescent="0.35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 x14ac:dyDescent="0.35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 x14ac:dyDescent="0.35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 x14ac:dyDescent="0.35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 x14ac:dyDescent="0.35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 x14ac:dyDescent="0.35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 x14ac:dyDescent="0.35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 x14ac:dyDescent="0.35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 x14ac:dyDescent="0.35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 x14ac:dyDescent="0.35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 x14ac:dyDescent="0.35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 x14ac:dyDescent="0.35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 x14ac:dyDescent="0.35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 x14ac:dyDescent="0.35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 x14ac:dyDescent="0.35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 x14ac:dyDescent="0.35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 x14ac:dyDescent="0.35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 x14ac:dyDescent="0.35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 x14ac:dyDescent="0.35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 x14ac:dyDescent="0.35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 x14ac:dyDescent="0.35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 x14ac:dyDescent="0.35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 x14ac:dyDescent="0.35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 x14ac:dyDescent="0.35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 x14ac:dyDescent="0.35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 x14ac:dyDescent="0.35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 x14ac:dyDescent="0.35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 x14ac:dyDescent="0.35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 x14ac:dyDescent="0.35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 x14ac:dyDescent="0.35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 x14ac:dyDescent="0.35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 x14ac:dyDescent="0.35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 x14ac:dyDescent="0.35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 x14ac:dyDescent="0.35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 x14ac:dyDescent="0.35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 x14ac:dyDescent="0.35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 x14ac:dyDescent="0.35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 x14ac:dyDescent="0.35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 x14ac:dyDescent="0.35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 x14ac:dyDescent="0.35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 x14ac:dyDescent="0.35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 x14ac:dyDescent="0.35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 x14ac:dyDescent="0.35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 x14ac:dyDescent="0.35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 x14ac:dyDescent="0.35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 x14ac:dyDescent="0.35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 x14ac:dyDescent="0.35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 x14ac:dyDescent="0.35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 x14ac:dyDescent="0.35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 x14ac:dyDescent="0.35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 x14ac:dyDescent="0.35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 x14ac:dyDescent="0.35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 x14ac:dyDescent="0.35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 x14ac:dyDescent="0.35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 x14ac:dyDescent="0.35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 x14ac:dyDescent="0.35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 x14ac:dyDescent="0.35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 x14ac:dyDescent="0.35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 x14ac:dyDescent="0.35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 x14ac:dyDescent="0.35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 x14ac:dyDescent="0.35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 x14ac:dyDescent="0.35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 x14ac:dyDescent="0.35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 x14ac:dyDescent="0.35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 x14ac:dyDescent="0.35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 x14ac:dyDescent="0.35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 x14ac:dyDescent="0.35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 x14ac:dyDescent="0.35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 x14ac:dyDescent="0.35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 x14ac:dyDescent="0.35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 x14ac:dyDescent="0.35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 x14ac:dyDescent="0.35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 x14ac:dyDescent="0.35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 x14ac:dyDescent="0.35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 x14ac:dyDescent="0.35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 x14ac:dyDescent="0.35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 x14ac:dyDescent="0.35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 x14ac:dyDescent="0.35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 x14ac:dyDescent="0.35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 x14ac:dyDescent="0.35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 x14ac:dyDescent="0.35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 x14ac:dyDescent="0.35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 x14ac:dyDescent="0.35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 x14ac:dyDescent="0.35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 x14ac:dyDescent="0.35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 x14ac:dyDescent="0.35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 x14ac:dyDescent="0.35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 x14ac:dyDescent="0.35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 x14ac:dyDescent="0.35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 x14ac:dyDescent="0.35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 x14ac:dyDescent="0.35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 x14ac:dyDescent="0.35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 x14ac:dyDescent="0.35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 x14ac:dyDescent="0.35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 x14ac:dyDescent="0.35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 x14ac:dyDescent="0.35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 x14ac:dyDescent="0.35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 x14ac:dyDescent="0.35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 x14ac:dyDescent="0.35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 x14ac:dyDescent="0.35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 x14ac:dyDescent="0.35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 x14ac:dyDescent="0.35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 x14ac:dyDescent="0.35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 x14ac:dyDescent="0.35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 x14ac:dyDescent="0.35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 x14ac:dyDescent="0.35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 x14ac:dyDescent="0.35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 x14ac:dyDescent="0.35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 x14ac:dyDescent="0.35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 x14ac:dyDescent="0.35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 x14ac:dyDescent="0.35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 x14ac:dyDescent="0.35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 x14ac:dyDescent="0.35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 x14ac:dyDescent="0.35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 x14ac:dyDescent="0.35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 x14ac:dyDescent="0.35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 x14ac:dyDescent="0.35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 x14ac:dyDescent="0.35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 x14ac:dyDescent="0.35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 x14ac:dyDescent="0.35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 x14ac:dyDescent="0.35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 x14ac:dyDescent="0.35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 x14ac:dyDescent="0.35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 x14ac:dyDescent="0.35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 x14ac:dyDescent="0.35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 x14ac:dyDescent="0.35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 x14ac:dyDescent="0.35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 x14ac:dyDescent="0.35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 x14ac:dyDescent="0.35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 x14ac:dyDescent="0.35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 x14ac:dyDescent="0.35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 x14ac:dyDescent="0.35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 x14ac:dyDescent="0.35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 x14ac:dyDescent="0.35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 x14ac:dyDescent="0.35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 x14ac:dyDescent="0.35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 x14ac:dyDescent="0.35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 x14ac:dyDescent="0.35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 x14ac:dyDescent="0.35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 x14ac:dyDescent="0.35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 x14ac:dyDescent="0.35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 x14ac:dyDescent="0.35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 x14ac:dyDescent="0.35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 x14ac:dyDescent="0.35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 x14ac:dyDescent="0.35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 x14ac:dyDescent="0.35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 x14ac:dyDescent="0.35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 x14ac:dyDescent="0.35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 x14ac:dyDescent="0.35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 x14ac:dyDescent="0.35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 x14ac:dyDescent="0.35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 x14ac:dyDescent="0.35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 x14ac:dyDescent="0.35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 x14ac:dyDescent="0.35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 x14ac:dyDescent="0.35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 x14ac:dyDescent="0.35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 x14ac:dyDescent="0.35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 x14ac:dyDescent="0.35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 x14ac:dyDescent="0.35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 x14ac:dyDescent="0.35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 x14ac:dyDescent="0.35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 x14ac:dyDescent="0.35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 x14ac:dyDescent="0.35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 x14ac:dyDescent="0.35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 x14ac:dyDescent="0.35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 x14ac:dyDescent="0.35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 x14ac:dyDescent="0.35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 x14ac:dyDescent="0.35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 x14ac:dyDescent="0.35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 x14ac:dyDescent="0.35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 x14ac:dyDescent="0.35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 x14ac:dyDescent="0.35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 x14ac:dyDescent="0.35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 x14ac:dyDescent="0.35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 x14ac:dyDescent="0.35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 x14ac:dyDescent="0.35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 x14ac:dyDescent="0.35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 x14ac:dyDescent="0.35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 x14ac:dyDescent="0.35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 x14ac:dyDescent="0.35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 x14ac:dyDescent="0.35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 x14ac:dyDescent="0.35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 x14ac:dyDescent="0.35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 x14ac:dyDescent="0.35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 x14ac:dyDescent="0.35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 x14ac:dyDescent="0.35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 x14ac:dyDescent="0.35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 x14ac:dyDescent="0.35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 x14ac:dyDescent="0.35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 x14ac:dyDescent="0.35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 x14ac:dyDescent="0.35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 x14ac:dyDescent="0.35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 x14ac:dyDescent="0.35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 x14ac:dyDescent="0.35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 x14ac:dyDescent="0.35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 x14ac:dyDescent="0.35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 x14ac:dyDescent="0.35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 x14ac:dyDescent="0.35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 x14ac:dyDescent="0.35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 x14ac:dyDescent="0.35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 x14ac:dyDescent="0.35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 x14ac:dyDescent="0.35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 x14ac:dyDescent="0.35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 x14ac:dyDescent="0.35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 x14ac:dyDescent="0.35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 x14ac:dyDescent="0.35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 x14ac:dyDescent="0.35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 x14ac:dyDescent="0.35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 x14ac:dyDescent="0.35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 x14ac:dyDescent="0.35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 x14ac:dyDescent="0.35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 x14ac:dyDescent="0.35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 x14ac:dyDescent="0.35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 x14ac:dyDescent="0.35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 x14ac:dyDescent="0.35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 x14ac:dyDescent="0.35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 x14ac:dyDescent="0.35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 x14ac:dyDescent="0.35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 x14ac:dyDescent="0.35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 x14ac:dyDescent="0.35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 x14ac:dyDescent="0.35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 x14ac:dyDescent="0.35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 x14ac:dyDescent="0.35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 x14ac:dyDescent="0.35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 x14ac:dyDescent="0.35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 x14ac:dyDescent="0.35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 x14ac:dyDescent="0.35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 x14ac:dyDescent="0.35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 x14ac:dyDescent="0.35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 x14ac:dyDescent="0.35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 x14ac:dyDescent="0.35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 x14ac:dyDescent="0.35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 x14ac:dyDescent="0.35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 x14ac:dyDescent="0.35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 x14ac:dyDescent="0.35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 x14ac:dyDescent="0.35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 x14ac:dyDescent="0.35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 x14ac:dyDescent="0.35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 x14ac:dyDescent="0.35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 x14ac:dyDescent="0.35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 x14ac:dyDescent="0.35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 x14ac:dyDescent="0.35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 x14ac:dyDescent="0.35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 x14ac:dyDescent="0.35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 x14ac:dyDescent="0.35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 x14ac:dyDescent="0.35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 x14ac:dyDescent="0.35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 x14ac:dyDescent="0.35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 x14ac:dyDescent="0.35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 x14ac:dyDescent="0.35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 x14ac:dyDescent="0.35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 x14ac:dyDescent="0.35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 x14ac:dyDescent="0.35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 x14ac:dyDescent="0.35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 x14ac:dyDescent="0.35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 x14ac:dyDescent="0.35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 x14ac:dyDescent="0.35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 x14ac:dyDescent="0.35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 x14ac:dyDescent="0.35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 x14ac:dyDescent="0.35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 x14ac:dyDescent="0.35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 x14ac:dyDescent="0.35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 x14ac:dyDescent="0.35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 x14ac:dyDescent="0.35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 x14ac:dyDescent="0.35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 x14ac:dyDescent="0.35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 x14ac:dyDescent="0.35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 x14ac:dyDescent="0.35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 x14ac:dyDescent="0.35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 x14ac:dyDescent="0.35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 x14ac:dyDescent="0.35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 x14ac:dyDescent="0.35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 x14ac:dyDescent="0.35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 x14ac:dyDescent="0.35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 x14ac:dyDescent="0.35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 x14ac:dyDescent="0.35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 x14ac:dyDescent="0.35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 x14ac:dyDescent="0.35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 x14ac:dyDescent="0.35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 x14ac:dyDescent="0.35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 x14ac:dyDescent="0.35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 x14ac:dyDescent="0.35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 x14ac:dyDescent="0.35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 x14ac:dyDescent="0.35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 x14ac:dyDescent="0.35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 x14ac:dyDescent="0.35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 x14ac:dyDescent="0.35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 x14ac:dyDescent="0.35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 x14ac:dyDescent="0.35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 x14ac:dyDescent="0.35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 x14ac:dyDescent="0.35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 x14ac:dyDescent="0.35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 x14ac:dyDescent="0.35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 x14ac:dyDescent="0.35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 x14ac:dyDescent="0.35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 x14ac:dyDescent="0.35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 x14ac:dyDescent="0.35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 x14ac:dyDescent="0.35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 x14ac:dyDescent="0.35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 x14ac:dyDescent="0.35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 x14ac:dyDescent="0.35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 x14ac:dyDescent="0.35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 x14ac:dyDescent="0.35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 x14ac:dyDescent="0.35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 x14ac:dyDescent="0.35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 x14ac:dyDescent="0.35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 x14ac:dyDescent="0.35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 x14ac:dyDescent="0.35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 x14ac:dyDescent="0.35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 x14ac:dyDescent="0.35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 x14ac:dyDescent="0.35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 x14ac:dyDescent="0.35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 x14ac:dyDescent="0.35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 x14ac:dyDescent="0.35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 x14ac:dyDescent="0.35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 x14ac:dyDescent="0.35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70" zoomScaleNormal="70" workbookViewId="0">
      <pane ySplit="1" topLeftCell="A244" activePane="bottomLeft" state="frozen"/>
      <selection pane="bottomLeft" activeCell="F273" sqref="F273"/>
    </sheetView>
  </sheetViews>
  <sheetFormatPr defaultColWidth="8.54296875" defaultRowHeight="14.5" x14ac:dyDescent="0.3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796875" style="57" customWidth="1"/>
    <col min="10" max="10" width="52.1796875" style="57" customWidth="1"/>
    <col min="11" max="11" width="18.453125" style="57" customWidth="1"/>
    <col min="12" max="12" width="14" style="58" customWidth="1"/>
    <col min="13" max="13" width="14" style="57" customWidth="1"/>
    <col min="14" max="14" width="43.54296875" style="57" customWidth="1"/>
    <col min="15" max="15" width="14" customWidth="1"/>
  </cols>
  <sheetData>
    <row r="1" spans="1:15" ht="37.5" customHeight="1" x14ac:dyDescent="0.35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 x14ac:dyDescent="0.35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262</v>
      </c>
      <c r="O2" s="60"/>
    </row>
    <row r="3" spans="1:15" ht="15" customHeight="1" x14ac:dyDescent="0.35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253</v>
      </c>
      <c r="O3" s="60"/>
    </row>
    <row r="4" spans="1:15" ht="15" customHeight="1" x14ac:dyDescent="0.35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 x14ac:dyDescent="0.35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 x14ac:dyDescent="0.35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 x14ac:dyDescent="0.35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 x14ac:dyDescent="0.35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 x14ac:dyDescent="0.35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 x14ac:dyDescent="0.35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 x14ac:dyDescent="0.35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 x14ac:dyDescent="0.35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 x14ac:dyDescent="0.35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 x14ac:dyDescent="0.35">
      <c r="A14" s="91" t="s">
        <v>215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216</v>
      </c>
      <c r="O14" s="39">
        <v>327070</v>
      </c>
    </row>
    <row r="15" spans="1:15" ht="15" customHeight="1" x14ac:dyDescent="0.35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 x14ac:dyDescent="0.35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263</v>
      </c>
      <c r="O16" s="60"/>
    </row>
    <row r="17" spans="1:15" ht="15" customHeight="1" x14ac:dyDescent="0.35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 x14ac:dyDescent="0.35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 x14ac:dyDescent="0.35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 x14ac:dyDescent="0.35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 x14ac:dyDescent="0.35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 x14ac:dyDescent="0.35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 x14ac:dyDescent="0.35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 x14ac:dyDescent="0.35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 x14ac:dyDescent="0.35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 x14ac:dyDescent="0.35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 x14ac:dyDescent="0.35">
      <c r="A27" s="91" t="s">
        <v>217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216</v>
      </c>
      <c r="O27" s="39">
        <v>202230</v>
      </c>
    </row>
    <row r="28" spans="1:15" ht="18" customHeight="1" x14ac:dyDescent="0.35">
      <c r="A28" s="94" t="s">
        <v>218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219</v>
      </c>
      <c r="O28" s="48">
        <f>IFERROR(O14+O27,"")</f>
        <v>529300</v>
      </c>
    </row>
    <row r="29" spans="1:15" ht="15" customHeight="1" x14ac:dyDescent="0.35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264</v>
      </c>
      <c r="O29" s="60"/>
    </row>
    <row r="30" spans="1:15" ht="15" customHeight="1" x14ac:dyDescent="0.35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 x14ac:dyDescent="0.35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 x14ac:dyDescent="0.35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 x14ac:dyDescent="0.35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 x14ac:dyDescent="0.35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265</v>
      </c>
      <c r="O34" s="60"/>
    </row>
    <row r="35" spans="1:15" ht="15" customHeight="1" x14ac:dyDescent="0.35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 x14ac:dyDescent="0.35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 x14ac:dyDescent="0.35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 x14ac:dyDescent="0.35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 x14ac:dyDescent="0.35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 x14ac:dyDescent="0.35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 x14ac:dyDescent="0.35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216</v>
      </c>
      <c r="O41" s="39">
        <v>304990</v>
      </c>
    </row>
    <row r="42" spans="1:15" ht="15" customHeight="1" x14ac:dyDescent="0.35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 x14ac:dyDescent="0.35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 x14ac:dyDescent="0.35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 x14ac:dyDescent="0.35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 x14ac:dyDescent="0.35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 x14ac:dyDescent="0.35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 x14ac:dyDescent="0.35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 x14ac:dyDescent="0.35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 x14ac:dyDescent="0.35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 x14ac:dyDescent="0.35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 x14ac:dyDescent="0.35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 x14ac:dyDescent="0.35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 x14ac:dyDescent="0.35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216</v>
      </c>
      <c r="O54" s="39">
        <v>473910</v>
      </c>
    </row>
    <row r="55" spans="1:15" ht="18" customHeight="1" x14ac:dyDescent="0.35">
      <c r="A55" s="94" t="s">
        <v>218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219</v>
      </c>
      <c r="O55" s="48">
        <f>IFERROR(O41+O54,"")</f>
        <v>778900</v>
      </c>
    </row>
    <row r="56" spans="1:15" ht="15" customHeight="1" x14ac:dyDescent="0.35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 x14ac:dyDescent="0.35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 x14ac:dyDescent="0.35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266</v>
      </c>
      <c r="L58" s="29">
        <v>0.54097222222222219</v>
      </c>
      <c r="M58" s="30" t="str">
        <f t="shared" ca="1" si="13"/>
        <v/>
      </c>
      <c r="N58" s="27" t="s">
        <v>267</v>
      </c>
      <c r="O58" s="60"/>
    </row>
    <row r="59" spans="1:15" ht="15" customHeight="1" x14ac:dyDescent="0.35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 x14ac:dyDescent="0.35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 x14ac:dyDescent="0.35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 x14ac:dyDescent="0.35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 x14ac:dyDescent="0.35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 x14ac:dyDescent="0.35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 x14ac:dyDescent="0.35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 x14ac:dyDescent="0.35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 x14ac:dyDescent="0.35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 x14ac:dyDescent="0.35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216</v>
      </c>
      <c r="O68" s="39">
        <v>763370</v>
      </c>
    </row>
    <row r="69" spans="1:15" ht="15" customHeight="1" x14ac:dyDescent="0.35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 x14ac:dyDescent="0.35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249</v>
      </c>
      <c r="O70" s="60"/>
    </row>
    <row r="71" spans="1:15" ht="15" customHeight="1" x14ac:dyDescent="0.35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 x14ac:dyDescent="0.35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268</v>
      </c>
      <c r="O72" s="60"/>
    </row>
    <row r="73" spans="1:15" ht="15" customHeight="1" x14ac:dyDescent="0.35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269</v>
      </c>
      <c r="O73" s="60"/>
    </row>
    <row r="74" spans="1:15" ht="15" customHeight="1" x14ac:dyDescent="0.35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270</v>
      </c>
      <c r="O74" s="60"/>
    </row>
    <row r="75" spans="1:15" ht="15" customHeight="1" x14ac:dyDescent="0.35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271</v>
      </c>
      <c r="O75" s="60"/>
    </row>
    <row r="76" spans="1:15" ht="15" customHeight="1" x14ac:dyDescent="0.35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 x14ac:dyDescent="0.35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 x14ac:dyDescent="0.35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 x14ac:dyDescent="0.35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 x14ac:dyDescent="0.35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 x14ac:dyDescent="0.35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216</v>
      </c>
      <c r="O81" s="39">
        <v>565120</v>
      </c>
    </row>
    <row r="82" spans="1:15" ht="18" customHeight="1" x14ac:dyDescent="0.35">
      <c r="A82" s="94" t="s">
        <v>218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219</v>
      </c>
      <c r="O82" s="48">
        <f>IFERROR(O68+O81,"")</f>
        <v>1328490</v>
      </c>
    </row>
    <row r="83" spans="1:15" ht="15" customHeight="1" x14ac:dyDescent="0.35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272</v>
      </c>
      <c r="O83" s="60"/>
    </row>
    <row r="84" spans="1:15" ht="15" customHeight="1" x14ac:dyDescent="0.35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 x14ac:dyDescent="0.35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 x14ac:dyDescent="0.35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 x14ac:dyDescent="0.35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 x14ac:dyDescent="0.35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 x14ac:dyDescent="0.35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 x14ac:dyDescent="0.35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 x14ac:dyDescent="0.35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 x14ac:dyDescent="0.35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 x14ac:dyDescent="0.35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 x14ac:dyDescent="0.35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 x14ac:dyDescent="0.35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216</v>
      </c>
      <c r="O95" s="39">
        <v>776910</v>
      </c>
    </row>
    <row r="96" spans="1:15" ht="15" customHeight="1" x14ac:dyDescent="0.35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 x14ac:dyDescent="0.35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 x14ac:dyDescent="0.35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 x14ac:dyDescent="0.35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 x14ac:dyDescent="0.35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 x14ac:dyDescent="0.35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 x14ac:dyDescent="0.35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 x14ac:dyDescent="0.35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 x14ac:dyDescent="0.35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 x14ac:dyDescent="0.35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 x14ac:dyDescent="0.35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 x14ac:dyDescent="0.35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 x14ac:dyDescent="0.35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216</v>
      </c>
      <c r="O108" s="39">
        <v>558590</v>
      </c>
    </row>
    <row r="109" spans="1:15" ht="18" customHeight="1" x14ac:dyDescent="0.35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219</v>
      </c>
      <c r="O109" s="48">
        <f>IFERROR(O95+O108,"")</f>
        <v>1335500</v>
      </c>
    </row>
    <row r="110" spans="1:15" ht="15" customHeight="1" x14ac:dyDescent="0.35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273</v>
      </c>
      <c r="O110" s="60"/>
    </row>
    <row r="111" spans="1:15" ht="15" customHeight="1" x14ac:dyDescent="0.35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 x14ac:dyDescent="0.35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 x14ac:dyDescent="0.35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 x14ac:dyDescent="0.35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 x14ac:dyDescent="0.35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 x14ac:dyDescent="0.35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 x14ac:dyDescent="0.35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 x14ac:dyDescent="0.35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 x14ac:dyDescent="0.35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 x14ac:dyDescent="0.35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 x14ac:dyDescent="0.35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 x14ac:dyDescent="0.35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216</v>
      </c>
      <c r="O122" s="39">
        <v>274450</v>
      </c>
    </row>
    <row r="123" spans="1:15" ht="15" customHeight="1" x14ac:dyDescent="0.35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 x14ac:dyDescent="0.35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274</v>
      </c>
      <c r="O124" s="60"/>
    </row>
    <row r="125" spans="1:15" ht="15" customHeight="1" x14ac:dyDescent="0.35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275</v>
      </c>
      <c r="O125" s="60"/>
    </row>
    <row r="126" spans="1:15" ht="15" customHeight="1" x14ac:dyDescent="0.35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 x14ac:dyDescent="0.35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 x14ac:dyDescent="0.35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0.10128043981967494</v>
      </c>
      <c r="N128" s="27"/>
      <c r="O128" s="60"/>
    </row>
    <row r="129" spans="1:18" ht="15" customHeight="1" x14ac:dyDescent="0.35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239</v>
      </c>
      <c r="O129" s="60"/>
    </row>
    <row r="130" spans="1:18" ht="15" customHeight="1" x14ac:dyDescent="0.35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 x14ac:dyDescent="0.35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 x14ac:dyDescent="0.35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 x14ac:dyDescent="0.35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 x14ac:dyDescent="0.35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 x14ac:dyDescent="0.35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0.30058599537523056</v>
      </c>
      <c r="N135" s="36" t="s">
        <v>216</v>
      </c>
      <c r="O135" s="39">
        <v>729290</v>
      </c>
    </row>
    <row r="136" spans="1:18" ht="18" customHeight="1" x14ac:dyDescent="0.35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0.66794710648634159</v>
      </c>
      <c r="N136" s="40" t="s">
        <v>219</v>
      </c>
      <c r="O136" s="48">
        <f>IFERROR(O122+O135,"")</f>
        <v>1003740</v>
      </c>
    </row>
    <row r="137" spans="1:18" ht="15" customHeight="1" x14ac:dyDescent="0.35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 x14ac:dyDescent="0.35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 x14ac:dyDescent="0.35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276</v>
      </c>
      <c r="O139" s="31"/>
    </row>
    <row r="140" spans="1:18" ht="15" customHeight="1" x14ac:dyDescent="0.35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 x14ac:dyDescent="0.35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 x14ac:dyDescent="0.35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 x14ac:dyDescent="0.35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 x14ac:dyDescent="0.35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 x14ac:dyDescent="0.35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 x14ac:dyDescent="0.35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 x14ac:dyDescent="0.35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 x14ac:dyDescent="0.35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 x14ac:dyDescent="0.35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216</v>
      </c>
      <c r="O149" s="39">
        <v>1058340</v>
      </c>
    </row>
    <row r="150" spans="1:15" ht="15" customHeight="1" x14ac:dyDescent="0.35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 x14ac:dyDescent="0.35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 x14ac:dyDescent="0.35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277</v>
      </c>
      <c r="O152" s="31"/>
    </row>
    <row r="153" spans="1:15" ht="15" customHeight="1" x14ac:dyDescent="0.35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 x14ac:dyDescent="0.35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 x14ac:dyDescent="0.35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 x14ac:dyDescent="0.35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 x14ac:dyDescent="0.35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 x14ac:dyDescent="0.35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 x14ac:dyDescent="0.35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 x14ac:dyDescent="0.35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 x14ac:dyDescent="0.35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226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 x14ac:dyDescent="0.35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216</v>
      </c>
      <c r="O162" s="39">
        <v>697320</v>
      </c>
    </row>
    <row r="163" spans="1:15" ht="18" customHeight="1" x14ac:dyDescent="0.35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219</v>
      </c>
      <c r="O163" s="43">
        <f>IFERROR(O149+O162,"")</f>
        <v>1755660</v>
      </c>
    </row>
    <row r="164" spans="1:15" ht="15" customHeight="1" x14ac:dyDescent="0.35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 x14ac:dyDescent="0.35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226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 x14ac:dyDescent="0.35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226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 x14ac:dyDescent="0.35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226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 x14ac:dyDescent="0.35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226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278</v>
      </c>
      <c r="O168" s="31"/>
    </row>
    <row r="169" spans="1:15" ht="15" customHeight="1" x14ac:dyDescent="0.35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226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 x14ac:dyDescent="0.35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226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 x14ac:dyDescent="0.35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226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 x14ac:dyDescent="0.35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226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 x14ac:dyDescent="0.35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 x14ac:dyDescent="0.35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226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 x14ac:dyDescent="0.35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 x14ac:dyDescent="0.35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216</v>
      </c>
      <c r="O176" s="39">
        <v>500370</v>
      </c>
    </row>
    <row r="177" spans="1:15" ht="15" customHeight="1" x14ac:dyDescent="0.35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226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 x14ac:dyDescent="0.35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226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 x14ac:dyDescent="0.35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226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 x14ac:dyDescent="0.35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226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 x14ac:dyDescent="0.35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226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 x14ac:dyDescent="0.35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226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 x14ac:dyDescent="0.35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226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 x14ac:dyDescent="0.35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226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 x14ac:dyDescent="0.35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226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 x14ac:dyDescent="0.35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226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 x14ac:dyDescent="0.35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226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 x14ac:dyDescent="0.35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226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 x14ac:dyDescent="0.35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216</v>
      </c>
      <c r="O189" s="39">
        <v>973580</v>
      </c>
    </row>
    <row r="190" spans="1:15" ht="18" customHeight="1" x14ac:dyDescent="0.35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219</v>
      </c>
      <c r="O190" s="43">
        <f>IFERROR(O176+O189,"")</f>
        <v>1473950</v>
      </c>
    </row>
    <row r="191" spans="1:15" ht="15" customHeight="1" x14ac:dyDescent="0.35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226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 x14ac:dyDescent="0.35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226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 x14ac:dyDescent="0.35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226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279</v>
      </c>
      <c r="O193" s="31"/>
    </row>
    <row r="194" spans="1:15" ht="15" customHeight="1" x14ac:dyDescent="0.35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226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280</v>
      </c>
      <c r="O194" s="31"/>
    </row>
    <row r="195" spans="1:15" ht="15" customHeight="1" x14ac:dyDescent="0.35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226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 x14ac:dyDescent="0.35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226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 x14ac:dyDescent="0.35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 x14ac:dyDescent="0.35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226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 x14ac:dyDescent="0.35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 x14ac:dyDescent="0.35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226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 x14ac:dyDescent="0.35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226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 x14ac:dyDescent="0.35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 x14ac:dyDescent="0.35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216</v>
      </c>
      <c r="O203" s="45">
        <v>674440</v>
      </c>
    </row>
    <row r="204" spans="1:15" ht="15" customHeight="1" x14ac:dyDescent="0.35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 x14ac:dyDescent="0.35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 x14ac:dyDescent="0.35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281</v>
      </c>
      <c r="O206" s="60"/>
    </row>
    <row r="207" spans="1:15" ht="15" customHeight="1" x14ac:dyDescent="0.35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 x14ac:dyDescent="0.35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 x14ac:dyDescent="0.35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 x14ac:dyDescent="0.35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 x14ac:dyDescent="0.35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 x14ac:dyDescent="0.35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 x14ac:dyDescent="0.35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 x14ac:dyDescent="0.35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 x14ac:dyDescent="0.35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 x14ac:dyDescent="0.35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216</v>
      </c>
      <c r="O216" s="45">
        <v>1060630</v>
      </c>
    </row>
    <row r="217" spans="1:15" ht="18" customHeight="1" x14ac:dyDescent="0.35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219</v>
      </c>
      <c r="O217" s="48">
        <f>IFERROR(O203+O216,"")</f>
        <v>1735070</v>
      </c>
    </row>
    <row r="218" spans="1:15" ht="15" customHeight="1" x14ac:dyDescent="0.35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282</v>
      </c>
      <c r="O218" s="60"/>
    </row>
    <row r="219" spans="1:15" ht="15" customHeight="1" x14ac:dyDescent="0.35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 x14ac:dyDescent="0.35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283</v>
      </c>
      <c r="O220" s="60"/>
    </row>
    <row r="221" spans="1:15" ht="15" customHeight="1" x14ac:dyDescent="0.35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 x14ac:dyDescent="0.35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 x14ac:dyDescent="0.35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 x14ac:dyDescent="0.35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226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 x14ac:dyDescent="0.35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226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284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 x14ac:dyDescent="0.35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 x14ac:dyDescent="0.35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226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 x14ac:dyDescent="0.35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226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 x14ac:dyDescent="0.35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226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 x14ac:dyDescent="0.35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216</v>
      </c>
      <c r="O230" s="39">
        <v>587230</v>
      </c>
    </row>
    <row r="231" spans="1:15" ht="15" customHeight="1" x14ac:dyDescent="0.35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 x14ac:dyDescent="0.35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285</v>
      </c>
      <c r="O232" s="60"/>
    </row>
    <row r="233" spans="1:15" ht="15" customHeight="1" x14ac:dyDescent="0.35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 x14ac:dyDescent="0.35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 x14ac:dyDescent="0.35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 x14ac:dyDescent="0.35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 x14ac:dyDescent="0.35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 x14ac:dyDescent="0.35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 x14ac:dyDescent="0.35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 x14ac:dyDescent="0.35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 x14ac:dyDescent="0.35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 x14ac:dyDescent="0.35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 x14ac:dyDescent="0.35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216</v>
      </c>
      <c r="O243" s="39">
        <v>982340</v>
      </c>
    </row>
    <row r="244" spans="1:15" ht="18" customHeight="1" x14ac:dyDescent="0.35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219</v>
      </c>
      <c r="O244" s="48">
        <f>IFERROR(O230+O243,"")</f>
        <v>1569570</v>
      </c>
    </row>
    <row r="245" spans="1:15" ht="15" customHeight="1" x14ac:dyDescent="0.35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286</v>
      </c>
      <c r="O245" s="60"/>
    </row>
    <row r="246" spans="1:15" ht="15" customHeight="1" x14ac:dyDescent="0.35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 x14ac:dyDescent="0.35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 x14ac:dyDescent="0.35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 x14ac:dyDescent="0.35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 x14ac:dyDescent="0.35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226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 x14ac:dyDescent="0.35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226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 x14ac:dyDescent="0.35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226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 x14ac:dyDescent="0.35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226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 x14ac:dyDescent="0.35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 x14ac:dyDescent="0.35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226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 x14ac:dyDescent="0.35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 x14ac:dyDescent="0.35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216</v>
      </c>
      <c r="O257" s="39">
        <v>874480</v>
      </c>
    </row>
    <row r="258" spans="1:15" ht="15" customHeight="1" x14ac:dyDescent="0.35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226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 x14ac:dyDescent="0.35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 x14ac:dyDescent="0.35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 x14ac:dyDescent="0.35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 x14ac:dyDescent="0.35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 x14ac:dyDescent="0.35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 x14ac:dyDescent="0.35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 x14ac:dyDescent="0.35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 x14ac:dyDescent="0.35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 x14ac:dyDescent="0.35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 x14ac:dyDescent="0.35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 x14ac:dyDescent="0.35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 x14ac:dyDescent="0.35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216</v>
      </c>
      <c r="O270" s="39">
        <v>1208450</v>
      </c>
    </row>
    <row r="271" spans="1:15" ht="18" customHeight="1" x14ac:dyDescent="0.35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219</v>
      </c>
      <c r="O271" s="48">
        <f>IFERROR(O257+O270,"")</f>
        <v>2082930</v>
      </c>
    </row>
    <row r="272" spans="1:15" ht="15" customHeight="1" x14ac:dyDescent="0.35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226</v>
      </c>
      <c r="F272" s="27">
        <v>16</v>
      </c>
      <c r="G272" s="28">
        <f t="shared" ref="G272:G283" si="60">IF(F272="","",IF(E272="PC 17",F272*4.2,IF(E272="PC 19",F272*5,"")))</f>
        <v>67.2</v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 x14ac:dyDescent="0.35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226</v>
      </c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 x14ac:dyDescent="0.35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226</v>
      </c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 x14ac:dyDescent="0.35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226</v>
      </c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 x14ac:dyDescent="0.35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226</v>
      </c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 x14ac:dyDescent="0.35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226</v>
      </c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 x14ac:dyDescent="0.35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226</v>
      </c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 x14ac:dyDescent="0.35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226</v>
      </c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 x14ac:dyDescent="0.35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226</v>
      </c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 x14ac:dyDescent="0.35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226</v>
      </c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 x14ac:dyDescent="0.35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226</v>
      </c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 x14ac:dyDescent="0.35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226</v>
      </c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 x14ac:dyDescent="0.35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16</v>
      </c>
      <c r="G284" s="36">
        <f>SUM(G272:G283)</f>
        <v>67.2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216</v>
      </c>
      <c r="O284" s="39"/>
    </row>
    <row r="285" spans="1:15" ht="15" customHeight="1" x14ac:dyDescent="0.35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 x14ac:dyDescent="0.35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 x14ac:dyDescent="0.35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 x14ac:dyDescent="0.35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 x14ac:dyDescent="0.35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 x14ac:dyDescent="0.35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 x14ac:dyDescent="0.35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 x14ac:dyDescent="0.35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 x14ac:dyDescent="0.35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 x14ac:dyDescent="0.35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 x14ac:dyDescent="0.35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 x14ac:dyDescent="0.35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 x14ac:dyDescent="0.35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216</v>
      </c>
      <c r="O297" s="39"/>
    </row>
    <row r="298" spans="1:15" ht="18" customHeight="1" x14ac:dyDescent="0.35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16</v>
      </c>
      <c r="G298" s="40">
        <f>G284+G297</f>
        <v>67.2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219</v>
      </c>
      <c r="O298" s="48">
        <f>IFERROR(O284+O297,"")</f>
        <v>0</v>
      </c>
    </row>
    <row r="299" spans="1:15" ht="15" customHeight="1" x14ac:dyDescent="0.35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 x14ac:dyDescent="0.35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 x14ac:dyDescent="0.35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 x14ac:dyDescent="0.35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 x14ac:dyDescent="0.35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 x14ac:dyDescent="0.35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 x14ac:dyDescent="0.35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 x14ac:dyDescent="0.35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 x14ac:dyDescent="0.35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 x14ac:dyDescent="0.35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 x14ac:dyDescent="0.35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 x14ac:dyDescent="0.35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 x14ac:dyDescent="0.35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216</v>
      </c>
      <c r="O311" s="39"/>
    </row>
    <row r="312" spans="1:15" ht="15" customHeight="1" x14ac:dyDescent="0.35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 x14ac:dyDescent="0.35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 x14ac:dyDescent="0.35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 x14ac:dyDescent="0.35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 x14ac:dyDescent="0.35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 x14ac:dyDescent="0.35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 x14ac:dyDescent="0.35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 x14ac:dyDescent="0.35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 x14ac:dyDescent="0.35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 x14ac:dyDescent="0.35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 x14ac:dyDescent="0.35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 x14ac:dyDescent="0.35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 x14ac:dyDescent="0.35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216</v>
      </c>
      <c r="O324" s="39"/>
    </row>
    <row r="325" spans="1:15" ht="18" customHeight="1" x14ac:dyDescent="0.35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 x14ac:dyDescent="0.35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 x14ac:dyDescent="0.35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 x14ac:dyDescent="0.35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 x14ac:dyDescent="0.35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 x14ac:dyDescent="0.35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 x14ac:dyDescent="0.35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 x14ac:dyDescent="0.35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 x14ac:dyDescent="0.35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 x14ac:dyDescent="0.35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 x14ac:dyDescent="0.35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 x14ac:dyDescent="0.35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 x14ac:dyDescent="0.35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 x14ac:dyDescent="0.35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216</v>
      </c>
      <c r="O338" s="39"/>
    </row>
    <row r="339" spans="1:15" ht="15" customHeight="1" x14ac:dyDescent="0.35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 x14ac:dyDescent="0.35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 x14ac:dyDescent="0.35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 x14ac:dyDescent="0.35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 x14ac:dyDescent="0.35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 x14ac:dyDescent="0.35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 x14ac:dyDescent="0.35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 x14ac:dyDescent="0.35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 x14ac:dyDescent="0.35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 x14ac:dyDescent="0.35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 x14ac:dyDescent="0.35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 x14ac:dyDescent="0.35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 x14ac:dyDescent="0.35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216</v>
      </c>
      <c r="O351" s="39"/>
    </row>
    <row r="352" spans="1:15" ht="18" customHeight="1" x14ac:dyDescent="0.35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 x14ac:dyDescent="0.35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 x14ac:dyDescent="0.35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 x14ac:dyDescent="0.35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 x14ac:dyDescent="0.35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 x14ac:dyDescent="0.35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 x14ac:dyDescent="0.35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 x14ac:dyDescent="0.35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 x14ac:dyDescent="0.35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 x14ac:dyDescent="0.35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 x14ac:dyDescent="0.35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 x14ac:dyDescent="0.35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 x14ac:dyDescent="0.35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 x14ac:dyDescent="0.35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216</v>
      </c>
      <c r="O365" s="39"/>
    </row>
    <row r="366" spans="1:15" ht="15" customHeight="1" x14ac:dyDescent="0.35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 x14ac:dyDescent="0.35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 x14ac:dyDescent="0.35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 x14ac:dyDescent="0.35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 x14ac:dyDescent="0.35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 x14ac:dyDescent="0.35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 x14ac:dyDescent="0.35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 x14ac:dyDescent="0.35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 x14ac:dyDescent="0.35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 x14ac:dyDescent="0.35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 x14ac:dyDescent="0.35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 x14ac:dyDescent="0.35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 x14ac:dyDescent="0.35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216</v>
      </c>
      <c r="O378" s="39"/>
    </row>
    <row r="379" spans="1:15" ht="18" customHeight="1" x14ac:dyDescent="0.35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 x14ac:dyDescent="0.35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 x14ac:dyDescent="0.35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 x14ac:dyDescent="0.35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 x14ac:dyDescent="0.35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 x14ac:dyDescent="0.35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 x14ac:dyDescent="0.35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 x14ac:dyDescent="0.35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 x14ac:dyDescent="0.35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 x14ac:dyDescent="0.35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 x14ac:dyDescent="0.35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 x14ac:dyDescent="0.35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 x14ac:dyDescent="0.35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 x14ac:dyDescent="0.35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216</v>
      </c>
      <c r="O392" s="39"/>
    </row>
    <row r="393" spans="1:15" ht="15" customHeight="1" x14ac:dyDescent="0.35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 x14ac:dyDescent="0.35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 x14ac:dyDescent="0.35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 x14ac:dyDescent="0.35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 x14ac:dyDescent="0.35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 x14ac:dyDescent="0.35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 x14ac:dyDescent="0.35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 x14ac:dyDescent="0.35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 x14ac:dyDescent="0.35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 x14ac:dyDescent="0.35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 x14ac:dyDescent="0.35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 x14ac:dyDescent="0.35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 x14ac:dyDescent="0.35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216</v>
      </c>
      <c r="O405" s="39"/>
    </row>
    <row r="406" spans="1:15" ht="18" customHeight="1" x14ac:dyDescent="0.35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 x14ac:dyDescent="0.35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 x14ac:dyDescent="0.35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 x14ac:dyDescent="0.35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 x14ac:dyDescent="0.35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 x14ac:dyDescent="0.35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 x14ac:dyDescent="0.35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 x14ac:dyDescent="0.35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 x14ac:dyDescent="0.35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 x14ac:dyDescent="0.35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 x14ac:dyDescent="0.35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 x14ac:dyDescent="0.35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 x14ac:dyDescent="0.35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 x14ac:dyDescent="0.35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216</v>
      </c>
      <c r="O419" s="39"/>
    </row>
    <row r="420" spans="1:15" ht="15" customHeight="1" x14ac:dyDescent="0.35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 x14ac:dyDescent="0.35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 x14ac:dyDescent="0.35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 x14ac:dyDescent="0.35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 x14ac:dyDescent="0.35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 x14ac:dyDescent="0.35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 x14ac:dyDescent="0.35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 x14ac:dyDescent="0.35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 x14ac:dyDescent="0.35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 x14ac:dyDescent="0.35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 x14ac:dyDescent="0.35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 x14ac:dyDescent="0.35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 x14ac:dyDescent="0.35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216</v>
      </c>
      <c r="O432" s="39"/>
    </row>
    <row r="433" spans="1:17" ht="18" customHeight="1" x14ac:dyDescent="0.35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7" ht="15" customHeight="1" x14ac:dyDescent="0.35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 x14ac:dyDescent="0.35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 x14ac:dyDescent="0.35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 x14ac:dyDescent="0.35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 x14ac:dyDescent="0.35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 x14ac:dyDescent="0.35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 x14ac:dyDescent="0.35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 x14ac:dyDescent="0.35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 x14ac:dyDescent="0.35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 x14ac:dyDescent="0.35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 x14ac:dyDescent="0.35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 x14ac:dyDescent="0.35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 x14ac:dyDescent="0.35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216</v>
      </c>
      <c r="O446" s="39"/>
    </row>
    <row r="447" spans="1:17" ht="15" customHeight="1" x14ac:dyDescent="0.35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 x14ac:dyDescent="0.35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 x14ac:dyDescent="0.35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 x14ac:dyDescent="0.35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 x14ac:dyDescent="0.35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 x14ac:dyDescent="0.35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 x14ac:dyDescent="0.35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 x14ac:dyDescent="0.35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 x14ac:dyDescent="0.35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 x14ac:dyDescent="0.35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 x14ac:dyDescent="0.35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 x14ac:dyDescent="0.35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 x14ac:dyDescent="0.35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216</v>
      </c>
      <c r="O459" s="39"/>
    </row>
    <row r="460" spans="1:15" ht="18" customHeight="1" x14ac:dyDescent="0.35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 x14ac:dyDescent="0.35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 x14ac:dyDescent="0.35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 x14ac:dyDescent="0.35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 x14ac:dyDescent="0.35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 x14ac:dyDescent="0.35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 x14ac:dyDescent="0.35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 x14ac:dyDescent="0.35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 x14ac:dyDescent="0.35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 x14ac:dyDescent="0.35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 x14ac:dyDescent="0.35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 x14ac:dyDescent="0.35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 x14ac:dyDescent="0.35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 x14ac:dyDescent="0.35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216</v>
      </c>
      <c r="O473" s="39"/>
    </row>
    <row r="474" spans="1:15" ht="15" customHeight="1" x14ac:dyDescent="0.35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 x14ac:dyDescent="0.35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 x14ac:dyDescent="0.35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 x14ac:dyDescent="0.35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 x14ac:dyDescent="0.35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 x14ac:dyDescent="0.35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 x14ac:dyDescent="0.35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 x14ac:dyDescent="0.35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 x14ac:dyDescent="0.35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 x14ac:dyDescent="0.35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 x14ac:dyDescent="0.35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 x14ac:dyDescent="0.35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 x14ac:dyDescent="0.35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216</v>
      </c>
      <c r="O486" s="39"/>
    </row>
    <row r="487" spans="1:15" ht="18" customHeight="1" x14ac:dyDescent="0.35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 x14ac:dyDescent="0.35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 x14ac:dyDescent="0.35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 x14ac:dyDescent="0.35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 x14ac:dyDescent="0.35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 x14ac:dyDescent="0.35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 x14ac:dyDescent="0.35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 x14ac:dyDescent="0.35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 x14ac:dyDescent="0.35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 x14ac:dyDescent="0.35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 x14ac:dyDescent="0.35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 x14ac:dyDescent="0.35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 x14ac:dyDescent="0.35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 x14ac:dyDescent="0.35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216</v>
      </c>
      <c r="O500" s="39"/>
    </row>
    <row r="501" spans="1:15" ht="15" customHeight="1" x14ac:dyDescent="0.35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 x14ac:dyDescent="0.35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 x14ac:dyDescent="0.35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 x14ac:dyDescent="0.35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 x14ac:dyDescent="0.35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 x14ac:dyDescent="0.35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 x14ac:dyDescent="0.35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 x14ac:dyDescent="0.35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 x14ac:dyDescent="0.35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 x14ac:dyDescent="0.35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 x14ac:dyDescent="0.35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 x14ac:dyDescent="0.35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 x14ac:dyDescent="0.35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216</v>
      </c>
      <c r="O513" s="39"/>
    </row>
    <row r="514" spans="1:15" ht="18" customHeight="1" x14ac:dyDescent="0.35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 x14ac:dyDescent="0.35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 x14ac:dyDescent="0.35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 x14ac:dyDescent="0.35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 x14ac:dyDescent="0.35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 x14ac:dyDescent="0.35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 x14ac:dyDescent="0.35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 x14ac:dyDescent="0.35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 x14ac:dyDescent="0.35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 x14ac:dyDescent="0.35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 x14ac:dyDescent="0.35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 x14ac:dyDescent="0.35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 x14ac:dyDescent="0.35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 x14ac:dyDescent="0.35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216</v>
      </c>
      <c r="O527" s="39"/>
    </row>
    <row r="528" spans="1:15" ht="15" customHeight="1" x14ac:dyDescent="0.35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 x14ac:dyDescent="0.35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 x14ac:dyDescent="0.35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 x14ac:dyDescent="0.35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 x14ac:dyDescent="0.35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 x14ac:dyDescent="0.35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 x14ac:dyDescent="0.35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 x14ac:dyDescent="0.35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 x14ac:dyDescent="0.35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 x14ac:dyDescent="0.35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 x14ac:dyDescent="0.35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 x14ac:dyDescent="0.35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 x14ac:dyDescent="0.35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216</v>
      </c>
      <c r="O540" s="39"/>
    </row>
    <row r="541" spans="1:15" ht="18" customHeight="1" x14ac:dyDescent="0.35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 x14ac:dyDescent="0.35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 x14ac:dyDescent="0.35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 x14ac:dyDescent="0.35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 x14ac:dyDescent="0.35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 x14ac:dyDescent="0.35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 x14ac:dyDescent="0.35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 x14ac:dyDescent="0.35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 x14ac:dyDescent="0.35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 x14ac:dyDescent="0.35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 x14ac:dyDescent="0.35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 x14ac:dyDescent="0.35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 x14ac:dyDescent="0.35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 x14ac:dyDescent="0.35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216</v>
      </c>
      <c r="O554" s="39"/>
    </row>
    <row r="555" spans="1:15" ht="15" customHeight="1" x14ac:dyDescent="0.35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 x14ac:dyDescent="0.35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 x14ac:dyDescent="0.35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 x14ac:dyDescent="0.35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 x14ac:dyDescent="0.35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 x14ac:dyDescent="0.35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 x14ac:dyDescent="0.35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 x14ac:dyDescent="0.35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 x14ac:dyDescent="0.35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 x14ac:dyDescent="0.35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 x14ac:dyDescent="0.35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 x14ac:dyDescent="0.35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 x14ac:dyDescent="0.35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216</v>
      </c>
      <c r="O567" s="39"/>
    </row>
    <row r="568" spans="1:15" ht="18" customHeight="1" x14ac:dyDescent="0.35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 x14ac:dyDescent="0.35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 x14ac:dyDescent="0.35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 x14ac:dyDescent="0.35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 x14ac:dyDescent="0.35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 x14ac:dyDescent="0.35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 x14ac:dyDescent="0.35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 x14ac:dyDescent="0.35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 x14ac:dyDescent="0.35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 x14ac:dyDescent="0.35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 x14ac:dyDescent="0.35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 x14ac:dyDescent="0.35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 x14ac:dyDescent="0.35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 x14ac:dyDescent="0.35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216</v>
      </c>
      <c r="O581" s="39"/>
    </row>
    <row r="582" spans="1:15" ht="15" customHeight="1" x14ac:dyDescent="0.35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 x14ac:dyDescent="0.35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 x14ac:dyDescent="0.35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 x14ac:dyDescent="0.35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 x14ac:dyDescent="0.35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 x14ac:dyDescent="0.35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 x14ac:dyDescent="0.35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 x14ac:dyDescent="0.35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 x14ac:dyDescent="0.35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 x14ac:dyDescent="0.35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 x14ac:dyDescent="0.35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 x14ac:dyDescent="0.35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 x14ac:dyDescent="0.35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216</v>
      </c>
      <c r="O594" s="39"/>
    </row>
    <row r="595" spans="1:15" ht="18" customHeight="1" x14ac:dyDescent="0.35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 x14ac:dyDescent="0.35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 x14ac:dyDescent="0.35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 x14ac:dyDescent="0.35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 x14ac:dyDescent="0.35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 x14ac:dyDescent="0.35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 x14ac:dyDescent="0.35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 x14ac:dyDescent="0.35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 x14ac:dyDescent="0.35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 x14ac:dyDescent="0.35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 x14ac:dyDescent="0.35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 x14ac:dyDescent="0.35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 x14ac:dyDescent="0.35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 x14ac:dyDescent="0.35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216</v>
      </c>
      <c r="O608" s="39"/>
    </row>
    <row r="609" spans="1:15" ht="15" customHeight="1" x14ac:dyDescent="0.35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 x14ac:dyDescent="0.35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 x14ac:dyDescent="0.35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 x14ac:dyDescent="0.35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 x14ac:dyDescent="0.35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 x14ac:dyDescent="0.35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 x14ac:dyDescent="0.35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 x14ac:dyDescent="0.35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 x14ac:dyDescent="0.35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 x14ac:dyDescent="0.35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 x14ac:dyDescent="0.35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 x14ac:dyDescent="0.35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 x14ac:dyDescent="0.35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216</v>
      </c>
      <c r="O621" s="39"/>
    </row>
    <row r="622" spans="1:15" ht="18" customHeight="1" x14ac:dyDescent="0.35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 x14ac:dyDescent="0.35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 x14ac:dyDescent="0.35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 x14ac:dyDescent="0.35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 x14ac:dyDescent="0.35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 x14ac:dyDescent="0.35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 x14ac:dyDescent="0.35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 x14ac:dyDescent="0.35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 x14ac:dyDescent="0.35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 x14ac:dyDescent="0.35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 x14ac:dyDescent="0.35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 x14ac:dyDescent="0.35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 x14ac:dyDescent="0.35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 x14ac:dyDescent="0.35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216</v>
      </c>
      <c r="O635" s="39"/>
    </row>
    <row r="636" spans="1:15" ht="15" customHeight="1" x14ac:dyDescent="0.35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 x14ac:dyDescent="0.35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 x14ac:dyDescent="0.35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 x14ac:dyDescent="0.35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 x14ac:dyDescent="0.35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 x14ac:dyDescent="0.35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 x14ac:dyDescent="0.35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 x14ac:dyDescent="0.35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 x14ac:dyDescent="0.35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 x14ac:dyDescent="0.35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 x14ac:dyDescent="0.35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 x14ac:dyDescent="0.35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 x14ac:dyDescent="0.35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216</v>
      </c>
      <c r="O648" s="39"/>
    </row>
    <row r="649" spans="1:15" ht="18" customHeight="1" x14ac:dyDescent="0.35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 x14ac:dyDescent="0.35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 x14ac:dyDescent="0.35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 x14ac:dyDescent="0.35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 x14ac:dyDescent="0.35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 x14ac:dyDescent="0.35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 x14ac:dyDescent="0.35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 x14ac:dyDescent="0.35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 x14ac:dyDescent="0.35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 x14ac:dyDescent="0.35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 x14ac:dyDescent="0.35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 x14ac:dyDescent="0.35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 x14ac:dyDescent="0.35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 x14ac:dyDescent="0.35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216</v>
      </c>
      <c r="O662" s="39"/>
    </row>
    <row r="663" spans="1:15" ht="15" customHeight="1" x14ac:dyDescent="0.35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 x14ac:dyDescent="0.35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 x14ac:dyDescent="0.35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 x14ac:dyDescent="0.35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 x14ac:dyDescent="0.35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 x14ac:dyDescent="0.35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 x14ac:dyDescent="0.35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 x14ac:dyDescent="0.35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 x14ac:dyDescent="0.35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 x14ac:dyDescent="0.35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 x14ac:dyDescent="0.35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 x14ac:dyDescent="0.35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 x14ac:dyDescent="0.35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216</v>
      </c>
      <c r="O675" s="39"/>
    </row>
    <row r="676" spans="1:15" ht="18" customHeight="1" x14ac:dyDescent="0.35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 x14ac:dyDescent="0.35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 x14ac:dyDescent="0.35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 x14ac:dyDescent="0.35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 x14ac:dyDescent="0.35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 x14ac:dyDescent="0.35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 x14ac:dyDescent="0.35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 x14ac:dyDescent="0.35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 x14ac:dyDescent="0.35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 x14ac:dyDescent="0.35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 x14ac:dyDescent="0.35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 x14ac:dyDescent="0.35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 x14ac:dyDescent="0.35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 x14ac:dyDescent="0.35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216</v>
      </c>
      <c r="O689" s="39"/>
    </row>
    <row r="690" spans="1:15" ht="15" customHeight="1" x14ac:dyDescent="0.35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 x14ac:dyDescent="0.35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 x14ac:dyDescent="0.35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 x14ac:dyDescent="0.35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 x14ac:dyDescent="0.35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 x14ac:dyDescent="0.35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 x14ac:dyDescent="0.35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 x14ac:dyDescent="0.35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 x14ac:dyDescent="0.35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 x14ac:dyDescent="0.35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 x14ac:dyDescent="0.35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 x14ac:dyDescent="0.35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 x14ac:dyDescent="0.35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216</v>
      </c>
      <c r="O702" s="39"/>
    </row>
    <row r="703" spans="1:15" ht="18" customHeight="1" x14ac:dyDescent="0.35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 x14ac:dyDescent="0.35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 x14ac:dyDescent="0.35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 x14ac:dyDescent="0.35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 x14ac:dyDescent="0.35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 x14ac:dyDescent="0.35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 x14ac:dyDescent="0.35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 x14ac:dyDescent="0.35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 x14ac:dyDescent="0.35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 x14ac:dyDescent="0.35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 x14ac:dyDescent="0.35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 x14ac:dyDescent="0.35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 x14ac:dyDescent="0.35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 x14ac:dyDescent="0.35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216</v>
      </c>
      <c r="O716" s="39"/>
    </row>
    <row r="717" spans="1:15" ht="15" customHeight="1" x14ac:dyDescent="0.35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 x14ac:dyDescent="0.35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 x14ac:dyDescent="0.35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 x14ac:dyDescent="0.35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 x14ac:dyDescent="0.35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 x14ac:dyDescent="0.35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 x14ac:dyDescent="0.35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 x14ac:dyDescent="0.35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 x14ac:dyDescent="0.35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 x14ac:dyDescent="0.35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 x14ac:dyDescent="0.35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 x14ac:dyDescent="0.35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 x14ac:dyDescent="0.35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216</v>
      </c>
      <c r="O729" s="39"/>
    </row>
    <row r="730" spans="1:15" ht="18" customHeight="1" x14ac:dyDescent="0.35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 x14ac:dyDescent="0.35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 x14ac:dyDescent="0.35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 x14ac:dyDescent="0.35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 x14ac:dyDescent="0.35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 x14ac:dyDescent="0.35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 x14ac:dyDescent="0.35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 x14ac:dyDescent="0.35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 x14ac:dyDescent="0.35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 x14ac:dyDescent="0.35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 x14ac:dyDescent="0.35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 x14ac:dyDescent="0.35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 x14ac:dyDescent="0.35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 x14ac:dyDescent="0.35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216</v>
      </c>
      <c r="O743" s="39"/>
    </row>
    <row r="744" spans="1:15" ht="15" customHeight="1" x14ac:dyDescent="0.35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 x14ac:dyDescent="0.35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 x14ac:dyDescent="0.35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 x14ac:dyDescent="0.35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 x14ac:dyDescent="0.35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 x14ac:dyDescent="0.35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 x14ac:dyDescent="0.35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 x14ac:dyDescent="0.35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 x14ac:dyDescent="0.35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 x14ac:dyDescent="0.35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 x14ac:dyDescent="0.35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 x14ac:dyDescent="0.35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 x14ac:dyDescent="0.35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216</v>
      </c>
      <c r="O756" s="39"/>
    </row>
    <row r="757" spans="1:15" ht="18" customHeight="1" x14ac:dyDescent="0.35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 x14ac:dyDescent="0.35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 x14ac:dyDescent="0.35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 x14ac:dyDescent="0.35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 x14ac:dyDescent="0.35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 x14ac:dyDescent="0.35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 x14ac:dyDescent="0.35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 x14ac:dyDescent="0.35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 x14ac:dyDescent="0.35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 x14ac:dyDescent="0.35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 x14ac:dyDescent="0.35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 x14ac:dyDescent="0.35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 x14ac:dyDescent="0.35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 x14ac:dyDescent="0.35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216</v>
      </c>
      <c r="O770" s="39"/>
    </row>
    <row r="771" spans="1:15" ht="15" customHeight="1" x14ac:dyDescent="0.35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 x14ac:dyDescent="0.35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 x14ac:dyDescent="0.35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 x14ac:dyDescent="0.35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 x14ac:dyDescent="0.35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 x14ac:dyDescent="0.35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 x14ac:dyDescent="0.35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 x14ac:dyDescent="0.35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 x14ac:dyDescent="0.35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 x14ac:dyDescent="0.35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 x14ac:dyDescent="0.35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 x14ac:dyDescent="0.35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 x14ac:dyDescent="0.35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216</v>
      </c>
      <c r="O783" s="39"/>
    </row>
    <row r="784" spans="1:15" ht="18" customHeight="1" x14ac:dyDescent="0.35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 x14ac:dyDescent="0.35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 x14ac:dyDescent="0.35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 x14ac:dyDescent="0.35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 x14ac:dyDescent="0.35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 x14ac:dyDescent="0.35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 x14ac:dyDescent="0.35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 x14ac:dyDescent="0.35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 x14ac:dyDescent="0.35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 x14ac:dyDescent="0.35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 x14ac:dyDescent="0.35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 x14ac:dyDescent="0.35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 x14ac:dyDescent="0.35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 x14ac:dyDescent="0.35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216</v>
      </c>
      <c r="O797" s="39"/>
    </row>
    <row r="798" spans="1:15" ht="15" customHeight="1" x14ac:dyDescent="0.35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 x14ac:dyDescent="0.35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 x14ac:dyDescent="0.35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 x14ac:dyDescent="0.35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 x14ac:dyDescent="0.35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 x14ac:dyDescent="0.35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 x14ac:dyDescent="0.35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 x14ac:dyDescent="0.35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 x14ac:dyDescent="0.35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 x14ac:dyDescent="0.35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 x14ac:dyDescent="0.35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 x14ac:dyDescent="0.35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 x14ac:dyDescent="0.35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216</v>
      </c>
      <c r="O810" s="39"/>
    </row>
    <row r="811" spans="1:15" ht="18" customHeight="1" x14ac:dyDescent="0.35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>
  <ds:schemaRefs>
    <ds:schemaRef ds:uri="http://schemas.microsoft.com/office/2006/metadata/properties"/>
    <ds:schemaRef ds:uri="http://schemas.microsoft.com/office/infopath/2007/PartnerControls"/>
    <ds:schemaRef ds:uri="771c9ca5-affe-4166-ad8c-7e4536f98f4b"/>
    <ds:schemaRef ds:uri="96dcb152-1051-46f1-b38f-17beadf9ed92"/>
  </ds:schemaRefs>
</ds:datastoreItem>
</file>

<file path=customXml/itemProps2.xml><?xml version="1.0" encoding="utf-8"?>
<ds:datastoreItem xmlns:ds="http://schemas.openxmlformats.org/officeDocument/2006/customXml" ds:itemID="{288F5DF9-2BBC-43A5-A79A-7C7087BA3892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2878EAE7-5404-4D83-90A8-98DF7BC2EF4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1c9ca5-affe-4166-ad8c-7e4536f98f4b"/>
    <ds:schemaRef ds:uri="96dcb152-1051-46f1-b38f-17beadf9ed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6</vt:i4>
      </vt:variant>
      <vt:variant>
        <vt:lpstr>Intervalos Nomeados</vt:lpstr>
      </vt:variant>
      <vt:variant>
        <vt:i4>6</vt:i4>
      </vt:variant>
    </vt:vector>
  </HeadingPairs>
  <TitlesOfParts>
    <vt:vector size="12" baseType="lpstr">
      <vt:lpstr>Resumo</vt:lpstr>
      <vt:lpstr>Cadastro</vt:lpstr>
      <vt:lpstr>Britador</vt:lpstr>
      <vt:lpstr>Linha 1</vt:lpstr>
      <vt:lpstr>Linha 2</vt:lpstr>
      <vt:lpstr>Linha 3</vt:lpstr>
      <vt:lpstr>Desc_</vt:lpstr>
      <vt:lpstr>Desc_Corretiva_eletrica</vt:lpstr>
      <vt:lpstr>Desc_Corretiva_mecanica</vt:lpstr>
      <vt:lpstr>Desc_Operacional</vt:lpstr>
      <vt:lpstr>Desc_Preventiva</vt:lpstr>
      <vt:lpstr>Desc_Troca_de_componente_de_desgaste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Desktop CCO01</cp:lastModifiedBy>
  <cp:revision>0</cp:revision>
  <dcterms:created xsi:type="dcterms:W3CDTF">2026-06-05T19:56:02Z</dcterms:created>
  <dcterms:modified xsi:type="dcterms:W3CDTF">2026-07-11T12:29:40Z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