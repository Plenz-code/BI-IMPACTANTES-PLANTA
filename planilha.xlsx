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50" documentId="8_{AF585B22-221D-4780-BB9C-493D365A6A02}" xr6:coauthVersionLast="47" xr6:coauthVersionMax="47" xr10:uidLastSave="{414C017D-3EE2-4FE2-9932-98C48001153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<sst xmlns="http://schemas.openxmlformats.org/spreadsheetml/2006/main" count="4923" uniqueCount="293">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</sst>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I291" sqref="I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132.4</v>
      </c>
      <c r="G297" s="36">
        <f>SUM(G285:G296)</f>
        <v>662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448.4</v>
      </c>
      <c r="G298" s="40">
        <f>G284+G297</f>
        <v>2242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83</v>
      </c>
      <c r="G297" s="36">
        <f>SUM(G285:G296)</f>
        <v>348.6</v>
      </c>
      <c r="H297" s="37"/>
      <c r="I297" s="37"/>
      <c r="J297" s="37"/>
      <c r="K297" s="37"/>
      <c r="L297" s="37"/>
      <c r="M297" s="38">
        <f ca="1">IFERROR(SUM(M285:M296),"")</f>
        <v>3.472222222222221E-2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266</v>
      </c>
      <c r="G298" s="40">
        <f>G284+G297</f>
        <v>1117.1999999999998</v>
      </c>
      <c r="H298" s="41"/>
      <c r="I298" s="41"/>
      <c r="J298" s="41"/>
      <c r="K298" s="41"/>
      <c r="L298" s="41"/>
      <c r="M298" s="42">
        <f ca="1">IFERROR(M284+M297,"")</f>
        <v>0.19236111111111104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L291" sqref="L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</v>
      </c>
      <c r="G297" s="36">
        <f>SUM(G285:G296)</f>
        <v>130.20000000000002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</v>
      </c>
      <c r="G298" s="40">
        <f>G284+G297</f>
        <v>436.79999999999995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H287" sqref="H2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0.76586516203678912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0.96517071759234474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1.3325318287034558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/>
      <c r="J287" s="33"/>
      <c r="K287" s="29">
        <v>1.3888888888888888E-2</v>
      </c>
      <c r="L287" s="29"/>
      <c r="M287" s="64">
        <f t="shared" ca="1" si="64"/>
        <v>1.2818286995752715E-3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71.400000000000006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74</v>
      </c>
      <c r="G297" s="36">
        <f>SUM(G285:G296)</f>
        <v>310.79999999999995</v>
      </c>
      <c r="H297" s="37"/>
      <c r="I297" s="37"/>
      <c r="J297" s="37"/>
      <c r="K297" s="61"/>
      <c r="L297" s="61"/>
      <c r="M297" s="38">
        <f ca="1">IFERROR(SUM(M285:M296),"")</f>
        <v>8.1142939810686432E-2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261</v>
      </c>
      <c r="G298" s="40">
        <f>G284+G297</f>
        <v>1096.2</v>
      </c>
      <c r="H298" s="41"/>
      <c r="I298" s="41"/>
      <c r="J298" s="41"/>
      <c r="K298" s="63"/>
      <c r="L298" s="63"/>
      <c r="M298" s="42">
        <f ca="1">IFERROR(M284+M297,"")</f>
        <v>0.14503182869957526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2026-07-12T04:22:00Z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