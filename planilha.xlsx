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1" documentId="8_{C51EB6CB-002B-4D6B-B68F-DDEBDB4460C0}" xr6:coauthVersionLast="47" xr6:coauthVersionMax="47" xr10:uidLastSave="{C6A014A7-92FE-4D23-AB52-E9D6EB308D19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<sst xmlns="http://schemas.openxmlformats.org/spreadsheetml/2006/main" count="1396" uniqueCount="242">
  <si>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</si>
  <si>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</si>
  <si>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</si>
  <si>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</si>
  <si>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</si>
  <si>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</si>
  <si>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</si>
  <si>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</si>
  <si>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</si>
  <si>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</si>
  <si>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</si>
  <si>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</si>
  <si>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</si>
  <si>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</si>
  <si>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</si>
  <si>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</si>
  <si>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</si>
  <si>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</si>
  <si>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</si>
  <si>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</si>
  <si>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</si>
  <si>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</si>
  <si>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</si>
  <si>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</si>
  <si>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</si>
  <si>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</si>
  <si>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</si>
  <si>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</si>
  <si>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</si>
  <si>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</si>
  <si>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</si>
  <si>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</si>
  <si>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</si>
  <si>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</si>
  <si>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</si>
  <si>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</si>
  <si>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</si>
  <si>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</si>
  <si>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</si>
  <si>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</si>
  <si>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</si>
  <si>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</si>
  <si>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</si>
  <si>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</si>
  <si>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</si>
  <si>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</si>
  <si>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</si>
  <si>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</si>
  <si>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</si>
  <si>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</si>
  <si>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</si>
  <si>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</si>
  <si>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</si>
  <si>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</si>
  <si>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</si>
  <si>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</si>
  <si>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</si>
  <si>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</si>
  <si>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</si>
  <si>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</si>
  <si>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</si>
  <si>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</si>
  <si>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</si>
  <si>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</si>
  <si>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</si>
  <si>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</si>
  <si>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</si>
  <si>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</si>
  <si>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</si>
  <si>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</si>
  <si>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</si>
  <si>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</si>
  <si>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</si>
  <si>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</si>
  <si>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</si>
  <si>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</si>
  <si>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</si>
  <si>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</si>
  <si>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</si>
  <si>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</si>
  <si>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</si>
  <si>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</si>
  <si>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</si>
  <si>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</si>
  <si>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</si>
  <si>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</si>
  <si>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</si>
  <si>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</si>
  <si>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</si>
  <si>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</si>
  <si>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</si>
  <si>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</si>
  <si>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</si>
  <si>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</si>
  <si>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</si>
  <si>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</si>
  <si>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</si>
  <si>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</si>
  <si>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</si>
  <si>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</si>
  <si>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</si>
  <si>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</si>
  <si>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</si>
  <si>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</si>
  <si>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</si>
  <si>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</si>
  <si>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</si>
  <si>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</si>
  <si>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</si>
  <si>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</si>
  <si>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</si>
  <si>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</si>
  <si>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</si>
  <si>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</si>
  <si>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</si>
  <si>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</si>
  <si>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</si>
  <si>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</si>
  <si>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</si>
  <si>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</si>
  <si>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</si>
  <si>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</si>
  <si>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</si>
  <si>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</si>
  <si>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</si>
  <si>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</si>
  <si>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</si>
  <si>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</si>
  <si>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</si>
  <si>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</si>
  <si>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</si>
  <si>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</si>
  <si>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</si>
  <si>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</si>
  <si>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</si>
  <si>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</si>
  <si>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</si>
  <si>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</si>
  <si>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</si>
  <si>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</si>
  <si>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</si>
  <si>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</si>
  <si>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</si>
  <si>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</si>
  <si>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</si>
  <si>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</si>
  <si>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</si>
  <si>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</si>
  <si>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</si>
  <si>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</si>
  <si>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</si>
  <si>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</si>
  <si>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</si>
  <si>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</si>
  <si>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</si>
  <si>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</si>
  <si>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</si>
  <si>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</si>
  <si>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</si>
  <si>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</si>
  <si>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</si>
  <si>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</si>
  <si>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</si>
  <si>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</si>
  <si>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</si>
  <si>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</si>
  <si>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</si>
  <si>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</si>
  <si>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</si>
  <si>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</si>
  <si>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</si>
  <si>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</si>
  <si>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</si>
  <si>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</si>
  <si>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</si>
  <si>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</si>
  <si>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</si>
  <si>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</si>
  <si>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</si>
  <si>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</si>
  <si>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</si>
  <si>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</si>
  <si>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</si>
  <si>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</si>
  <si>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</si>
  <si>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</si>
  <si>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</si>
  <si>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</si>
  <si>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</si>
  <si>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</si>
  <si>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</si>
  <si>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</si>
  <si>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</si>
  <si>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</si>
  <si>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</si>
  <si>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</si>
  <si>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</si>
  <si>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</si>
  <si>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</si>
  <si>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</si>
  <si>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</si>
  <si>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</si>
  <si>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</si>
  <si>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</si>
  <si>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</si>
  <si>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</si>
  <si>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</si>
  <si>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</si>
  <si>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</si>
  <si>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</si>
  <si>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</si>
  <si>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</si>
  <si>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</si>
  <si>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</si>
  <si>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</si>
  <si>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</si>
  <si>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</si>
  <si>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</si>
  <si>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</si>
  <si>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</si>
  <si>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</si>
  <si>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</si>
  <si>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</si>
  <si>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</si>
  <si>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</si>
  <si>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</si>
  <si>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</si>
  <si>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</si>
  <si>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</si>
  <si>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</si>
  <si>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</si>
  <si>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</si>
  <si>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</si>
  <si>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</si>
  <si>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</si>
  <si>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</si>
  <si>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</si>
  <si>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</t>
  </si>
  <si>
    <t>colocar chapa na bica</t>
  </si>
  <si>
    <t>martelo soltou</t>
  </si>
  <si>
    <t>solda no queixo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</si>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</sst>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9" sqref="F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86</v>
      </c>
      <c r="G27" s="36">
        <f>SUM(G15:G26)</f>
        <v>430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282</v>
      </c>
      <c r="G28" s="40">
        <f>G14+G27</f>
        <v>1410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5</v>
      </c>
      <c r="G17" s="34">
        <f t="shared" si="3"/>
        <v>21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26</v>
      </c>
      <c r="G18" s="34">
        <f t="shared" si="3"/>
        <v>109.2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66</v>
      </c>
      <c r="G27" s="36">
        <f>SUM(G15:G26)</f>
        <v>277.2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178</v>
      </c>
      <c r="G28" s="40">
        <f>G14+G27</f>
        <v>747.6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0" sqref="F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3</v>
      </c>
      <c r="G17" s="34">
        <f t="shared" si="3"/>
        <v>12.600000000000001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5</v>
      </c>
      <c r="G18" s="28">
        <f t="shared" si="3"/>
        <v>21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33</v>
      </c>
      <c r="G27" s="36">
        <f>SUM(G15:G26)</f>
        <v>138.6</v>
      </c>
      <c r="H27" s="37"/>
      <c r="I27" s="37"/>
      <c r="J27" s="37"/>
      <c r="K27" s="37"/>
      <c r="L27" s="37"/>
      <c r="M27" s="38">
        <f ca="1">IFERROR(SUM(M15:M26),"")</f>
        <v>3.472222222222221E-2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114</v>
      </c>
      <c r="G28" s="40">
        <f>G14+G27</f>
        <v>478.80000000000007</v>
      </c>
      <c r="H28" s="41"/>
      <c r="I28" s="41"/>
      <c r="J28" s="41"/>
      <c r="K28" s="41"/>
      <c r="L28" s="41"/>
      <c r="M28" s="42">
        <f ca="1">IFERROR(M14+M27,"")</f>
        <v>4.7916666666666718E-2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13</v>
      </c>
      <c r="G18" s="28">
        <f t="shared" si="3"/>
        <v>54.6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16</v>
      </c>
      <c r="G19" s="34">
        <f t="shared" si="3"/>
        <v>67.2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192</v>
      </c>
      <c r="G28" s="40">
        <f>G14+G27</f>
        <v>806.40000000000009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2026-08-02T03:21:45Z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