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10" documentId="13_ncr:1_{A6DBCFB4-28D9-4249-9038-216934055CA6}" xr6:coauthVersionLast="47" xr6:coauthVersionMax="47" xr10:uidLastSave="{68DF4E1C-8992-414D-B307-D88879E106B6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32" i="6" l="1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<sst xmlns="http://schemas.openxmlformats.org/spreadsheetml/2006/main" count="9017" uniqueCount="401">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</sst>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21" activePane="bottomLeft" state="frozen"/>
      <selection pane="bottomLeft" activeCell="J531" sqref="J53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29</v>
      </c>
      <c r="I531" s="70" t="s">
        <v>32</v>
      </c>
      <c r="J531" s="70" t="s">
        <v>53</v>
      </c>
      <c r="K531" s="65">
        <v>5.8333333333333334E-2</v>
      </c>
      <c r="L531" s="65"/>
      <c r="M531" s="71">
        <f t="shared" ca="1" si="115"/>
        <v>5.2789352048421279E-4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3.1083449076039771E-2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7.6222337964928721E-2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L540" sqref="L54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0.93733344907377614</v>
      </c>
      <c r="R53" s="80" t="s">
        <v>306</v>
      </c>
      <c r="S53" s="67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1.0762223379626639</v>
      </c>
      <c r="R54" s="2" t="s">
        <v>261</v>
      </c>
      <c r="S54" s="113">
        <v>352430</v>
      </c>
      <c r="T54" s="114"/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1.1609445601848867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260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260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58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255.60000000000002</v>
      </c>
      <c r="L540" s="72"/>
      <c r="M540" s="72"/>
      <c r="N540" s="72"/>
      <c r="O540" s="72"/>
      <c r="P540" s="72"/>
      <c r="Q540" s="73">
        <f ca="1">IFERROR(SUM(Q528:Q539),"")</f>
        <v>3.9583333333333443E-2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237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1081</v>
      </c>
      <c r="L541" s="76"/>
      <c r="M541" s="76"/>
      <c r="N541" s="76"/>
      <c r="O541" s="76"/>
      <c r="P541" s="76"/>
      <c r="Q541" s="77">
        <f ca="1">IFERROR(Q527+Q540,"")</f>
        <v>0.10416666666666671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15" activePane="bottomLeft" state="frozen"/>
      <selection pane="bottomLeft" activeCell="G533" sqref="G53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260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260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263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6" t="s">
        <v>249</v>
      </c>
      <c r="B433" s="156"/>
      <c r="C433" s="156"/>
      <c r="D433" s="156"/>
      <c r="E433" s="15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263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6" t="s">
        <v>249</v>
      </c>
      <c r="B514" s="156"/>
      <c r="C514" s="156"/>
      <c r="D514" s="156"/>
      <c r="E514" s="15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1"/>
        <v>0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1"/>
        <v>0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1"/>
        <v>0</v>
      </c>
      <c r="K533" s="69">
        <f t="shared" si="132"/>
        <v>8.4</v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/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39</v>
      </c>
      <c r="E537" s="87"/>
      <c r="F537" s="88">
        <f>IFERROR(IF($D537="","",VLOOKUP($D537,Cadastro!$C$4:$E$7,3,FALSE())),"")</f>
        <v>0.24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39</v>
      </c>
      <c r="E538" s="87"/>
      <c r="F538" s="88">
        <f>IFERROR(IF($D538="","",VLOOKUP($D538,Cadastro!$C$4:$E$7,3,FALSE())),"")</f>
        <v>0.24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39</v>
      </c>
      <c r="E539" s="87"/>
      <c r="F539" s="92">
        <f>IFERROR(IF($D539="","",VLOOKUP($D539,Cadastro!$C$4:$E$7,3,FALSE())),"")</f>
        <v>0.24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41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176.20000000000002</v>
      </c>
      <c r="L540" s="72"/>
      <c r="M540" s="72"/>
      <c r="N540" s="72"/>
      <c r="O540" s="72"/>
      <c r="P540" s="72"/>
      <c r="Q540" s="73">
        <f ca="1">IFERROR(SUM(Q528:Q539),"")</f>
        <v>3.6111111111111122E-2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118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525.20000000000005</v>
      </c>
      <c r="L541" s="76"/>
      <c r="M541" s="76"/>
      <c r="N541" s="76"/>
      <c r="O541" s="76"/>
      <c r="P541" s="76"/>
      <c r="Q541" s="77">
        <f ca="1">IFERROR(Q527+Q540,"")</f>
        <v>0.10486111111111104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17" activePane="bottomLeft" state="frozen"/>
      <selection pane="bottomLeft" activeCell="E549" sqref="E549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263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6" t="s">
        <v>249</v>
      </c>
      <c r="B433" s="156"/>
      <c r="C433" s="156"/>
      <c r="D433" s="156"/>
      <c r="E433" s="15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263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6" t="s">
        <v>249</v>
      </c>
      <c r="B514" s="156"/>
      <c r="C514" s="156"/>
      <c r="D514" s="156"/>
      <c r="E514" s="15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84</v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84</v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/>
      <c r="F534" s="88">
        <f>IFERROR(IF($D534="","",VLOOKUP($D534,Cadastro!$C$4:$E$7,3,FALSE())),"")</f>
        <v>0.24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/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39</v>
      </c>
      <c r="E537" s="87"/>
      <c r="F537" s="88">
        <f>IFERROR(IF($D537="","",VLOOKUP($D537,Cadastro!$C$4:$E$7,3,FALSE())),"")</f>
        <v>0.24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39</v>
      </c>
      <c r="E538" s="87"/>
      <c r="F538" s="88">
        <f>IFERROR(IF($D538="","",VLOOKUP($D538,Cadastro!$C$4:$E$7,3,FALSE())),"")</f>
        <v>0.24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39</v>
      </c>
      <c r="E539" s="87"/>
      <c r="F539" s="92">
        <f>IFERROR(IF($D539="","",VLOOKUP($D539,Cadastro!$C$4:$E$7,3,FALSE())),"")</f>
        <v>0.24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96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418.4</v>
      </c>
      <c r="L540" s="72"/>
      <c r="M540" s="72"/>
      <c r="N540" s="72"/>
      <c r="O540" s="134"/>
      <c r="P540" s="134"/>
      <c r="Q540" s="73">
        <f ca="1">IFERROR(SUM(Q528:Q539),"")</f>
        <v>3.2638888888888995E-2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293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1319.4</v>
      </c>
      <c r="L541" s="76"/>
      <c r="M541" s="76"/>
      <c r="N541" s="76"/>
      <c r="O541" s="135"/>
      <c r="P541" s="135"/>
      <c r="Q541" s="77">
        <f ca="1">IFERROR(Q527+Q540,"")</f>
        <v>8.2638888888889095E-2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2026-08-21T05:24:57Z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