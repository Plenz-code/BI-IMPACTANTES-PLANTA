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370" documentId="8_{AF585B22-221D-4780-BB9C-493D365A6A02}" xr6:coauthVersionLast="47" xr6:coauthVersionMax="47" xr10:uidLastSave="{1D8F5622-AD6E-457D-9DB8-A623D59E0803}"/>
  <bookViews>
    <workbookView xWindow="-108" yWindow="-108" windowWidth="23256" windowHeight="12456" tabRatio="500" firstSheet="1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797" i="4"/>
  <c r="F797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F743" i="4"/>
  <c r="G742" i="4"/>
  <c r="G741" i="4"/>
  <c r="G740" i="4"/>
  <c r="G739" i="4"/>
  <c r="G738" i="4"/>
  <c r="G737" i="4"/>
  <c r="G736" i="4"/>
  <c r="G735" i="4"/>
  <c r="G734" i="4"/>
  <c r="G733" i="4"/>
  <c r="G732" i="4"/>
  <c r="G731" i="4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F689" i="4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F581" i="4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F527" i="4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F392" i="4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F284" i="4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F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F95" i="4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F14" i="4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D32" i="1" s="1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D31" i="1" s="1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D25" i="1" s="1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D19" i="1" s="1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D18" i="1" s="1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D15" i="1" s="1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D14" i="1" s="1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D13" i="1" s="1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D7" i="1" s="1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D6" i="1" s="1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D5" i="1" s="1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E31" i="1"/>
  <c r="C31" i="1"/>
  <c r="E30" i="1"/>
  <c r="E29" i="1"/>
  <c r="E28" i="1"/>
  <c r="E27" i="1"/>
  <c r="C27" i="1"/>
  <c r="E26" i="1"/>
  <c r="C26" i="1"/>
  <c r="E25" i="1"/>
  <c r="C25" i="1"/>
  <c r="D24" i="1"/>
  <c r="E23" i="1"/>
  <c r="E22" i="1"/>
  <c r="E21" i="1"/>
  <c r="D21" i="1"/>
  <c r="C21" i="1"/>
  <c r="E20" i="1"/>
  <c r="C20" i="1"/>
  <c r="E19" i="1"/>
  <c r="C19" i="1"/>
  <c r="E18" i="1"/>
  <c r="C18" i="1"/>
  <c r="D17" i="1"/>
  <c r="C16" i="1"/>
  <c r="E15" i="1"/>
  <c r="E14" i="1"/>
  <c r="C13" i="1"/>
  <c r="C12" i="1"/>
  <c r="E10" i="1"/>
  <c r="D10" i="1"/>
  <c r="E9" i="1"/>
  <c r="D9" i="1"/>
  <c r="E8" i="1"/>
  <c r="D8" i="1"/>
  <c r="C8" i="1"/>
  <c r="E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E541" i="4" l="1"/>
  <c r="G216" i="4"/>
  <c r="G513" i="4"/>
  <c r="G743" i="4"/>
  <c r="G757" i="4" s="1"/>
  <c r="G149" i="4"/>
  <c r="G163" i="4" s="1"/>
  <c r="G446" i="4"/>
  <c r="G675" i="4"/>
  <c r="G11" i="1"/>
  <c r="F244" i="4"/>
  <c r="F541" i="4"/>
  <c r="F28" i="4"/>
  <c r="G243" i="4"/>
  <c r="G540" i="4"/>
  <c r="F703" i="4"/>
  <c r="E163" i="4"/>
  <c r="E757" i="4"/>
  <c r="G27" i="4"/>
  <c r="F109" i="4"/>
  <c r="G176" i="4"/>
  <c r="G190" i="4" s="1"/>
  <c r="F406" i="4"/>
  <c r="G473" i="4"/>
  <c r="G487" i="4" s="1"/>
  <c r="G702" i="4"/>
  <c r="G108" i="4"/>
  <c r="G405" i="4"/>
  <c r="G635" i="4"/>
  <c r="F811" i="4"/>
  <c r="G203" i="4"/>
  <c r="G500" i="4"/>
  <c r="G32" i="1"/>
  <c r="G662" i="4"/>
  <c r="G676" i="4" s="1"/>
  <c r="G810" i="4"/>
  <c r="G811" i="4" s="1"/>
  <c r="E352" i="4"/>
  <c r="G68" i="4"/>
  <c r="F298" i="4"/>
  <c r="G365" i="4"/>
  <c r="F595" i="4"/>
  <c r="G297" i="4"/>
  <c r="G298" i="4" s="1"/>
  <c r="G594" i="4"/>
  <c r="G595" i="4" s="1"/>
  <c r="F757" i="4"/>
  <c r="E217" i="4"/>
  <c r="E811" i="4"/>
  <c r="G756" i="4"/>
  <c r="G162" i="4"/>
  <c r="G459" i="4"/>
  <c r="G12" i="1"/>
  <c r="G5" i="1"/>
  <c r="G176" i="6"/>
  <c r="G176" i="3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5" i="4" s="1"/>
  <c r="G54" i="4"/>
  <c r="F55" i="4"/>
  <c r="G81" i="4"/>
  <c r="G82" i="4" s="1"/>
  <c r="G95" i="4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92" i="4"/>
  <c r="G406" i="4" s="1"/>
  <c r="G432" i="4"/>
  <c r="G433" i="4" s="1"/>
  <c r="F433" i="4"/>
  <c r="F514" i="4"/>
  <c r="G527" i="4"/>
  <c r="G541" i="4" s="1"/>
  <c r="G567" i="4"/>
  <c r="G568" i="4" s="1"/>
  <c r="F568" i="4"/>
  <c r="G608" i="4"/>
  <c r="G622" i="4" s="1"/>
  <c r="G648" i="4"/>
  <c r="G649" i="4" s="1"/>
  <c r="F649" i="4"/>
  <c r="G689" i="4"/>
  <c r="G703" i="4" s="1"/>
  <c r="G729" i="4"/>
  <c r="G730" i="4" s="1"/>
  <c r="F730" i="4"/>
  <c r="G770" i="4"/>
  <c r="G784" i="4" s="1"/>
  <c r="G14" i="5"/>
  <c r="G28" i="5" s="1"/>
  <c r="F28" i="5"/>
  <c r="G14" i="4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379" i="4" l="1"/>
  <c r="G514" i="4"/>
  <c r="G28" i="4"/>
  <c r="G217" i="4"/>
  <c r="G460" i="4"/>
  <c r="G109" i="4"/>
  <c r="G541" i="6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<sst xmlns="http://schemas.openxmlformats.org/spreadsheetml/2006/main" count="3302" uniqueCount="260">
  <si>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</si>
  <si>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</si>
  <si>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</si>
  <si>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</si>
  <si>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</si>
  <si>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</si>
  <si>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</si>
  <si>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</si>
  <si>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</si>
  <si>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</si>
  <si>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</si>
  <si>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</si>
  <si>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</si>
  <si>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</si>
  <si>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</si>
  <si>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</si>
  <si>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</si>
  <si>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</si>
  <si>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</si>
  <si>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</si>
  <si>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</si>
  <si>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</si>
  <si>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</si>
  <si>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</si>
  <si>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</si>
  <si>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</si>
  <si>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</si>
  <si>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</si>
  <si>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</si>
  <si>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</si>
  <si>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</si>
  <si>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</si>
  <si>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</si>
  <si>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</si>
  <si>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</si>
  <si>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</si>
  <si>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</si>
  <si>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</si>
  <si>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</si>
  <si>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</si>
  <si>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</si>
  <si>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</si>
  <si>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</si>
  <si>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</si>
  <si>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</si>
  <si>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</si>
  <si>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</si>
  <si>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</si>
  <si>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</si>
  <si>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</si>
  <si>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</si>
  <si>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</si>
  <si>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</si>
  <si>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</si>
  <si>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</si>
  <si>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</si>
  <si>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</si>
  <si>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</si>
  <si>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</si>
  <si>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</si>
  <si>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</si>
  <si>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</si>
  <si>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</si>
  <si>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</si>
  <si>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</si>
  <si>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</si>
  <si>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</si>
  <si>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</si>
  <si>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</si>
  <si>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</si>
  <si>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</si>
  <si>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</si>
  <si>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</si>
  <si>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</si>
  <si>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</si>
  <si>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</si>
  <si>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</si>
  <si>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</si>
  <si>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</si>
  <si>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</si>
  <si>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</si>
  <si>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</si>
  <si>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</si>
  <si>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</si>
  <si>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</si>
  <si>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</si>
  <si>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</si>
  <si>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</si>
  <si>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</si>
  <si>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</si>
  <si>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</si>
  <si>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</si>
  <si>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</si>
  <si>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</si>
  <si>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</si>
  <si>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</si>
  <si>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</si>
  <si>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</si>
  <si>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</si>
  <si>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</si>
  <si>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</si>
  <si>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</si>
  <si>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</si>
  <si>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</si>
  <si>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</si>
  <si>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</si>
  <si>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</si>
  <si>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</si>
  <si>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</si>
  <si>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</si>
  <si>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</si>
  <si>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</si>
  <si>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</si>
  <si>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</si>
  <si>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</si>
  <si>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</si>
  <si>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</si>
  <si>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</si>
  <si>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</si>
  <si>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</si>
  <si>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</si>
  <si>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</si>
  <si>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</si>
  <si>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</si>
  <si>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</si>
  <si>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</si>
  <si>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</si>
  <si>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</si>
  <si>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</si>
  <si>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</si>
  <si>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</si>
  <si>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</si>
  <si>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</si>
  <si>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</si>
  <si>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</si>
  <si>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</si>
  <si>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</si>
  <si>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</si>
  <si>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</si>
  <si>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</si>
  <si>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</si>
  <si>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</si>
  <si>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</si>
  <si>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</si>
  <si>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</si>
  <si>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</si>
  <si>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</si>
  <si>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</si>
  <si>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</si>
  <si>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</si>
  <si>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</si>
  <si>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</si>
  <si>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</si>
  <si>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</si>
  <si>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</si>
  <si>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</si>
  <si>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</si>
  <si>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</si>
  <si>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</si>
  <si>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</si>
  <si>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</si>
  <si>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</si>
  <si>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</si>
  <si>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</si>
  <si>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</si>
  <si>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</si>
  <si>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</si>
  <si>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</si>
  <si>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</si>
  <si>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</si>
  <si>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</si>
  <si>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</si>
  <si>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</si>
  <si>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</si>
  <si>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</si>
  <si>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</si>
  <si>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</si>
  <si>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</si>
  <si>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</si>
  <si>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</si>
  <si>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</si>
  <si>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</si>
  <si>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</si>
  <si>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</si>
  <si>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</si>
  <si>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</si>
  <si>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</si>
  <si>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</si>
  <si>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</si>
  <si>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</si>
  <si>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</si>
  <si>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</si>
  <si>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</si>
  <si>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</si>
  <si>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</si>
  <si>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</si>
  <si>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</si>
  <si>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</si>
  <si>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</si>
  <si>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</si>
  <si>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</si>
  <si>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</si>
  <si>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</si>
  <si>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</si>
  <si>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</si>
  <si>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</si>
  <si>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</si>
  <si>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</si>
  <si>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</si>
  <si>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</si>
  <si>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</si>
  <si>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</si>
  <si>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</si>
  <si>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</si>
  <si>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</si>
  <si>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</si>
  <si>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</si>
  <si>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</si>
  <si>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</si>
  <si>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</si>
  <si>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</si>
  <si>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</si>
  <si>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</si>
  <si>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</si>
  <si>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</si>
  <si>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</si>
  <si>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</si>
  <si>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</si>
  <si>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</si>
  <si>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</si>
  <si>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</si>
  <si>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</si>
  <si>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</si>
  <si>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</si>
  <si>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</si>
  <si>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</si>
  <si>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</si>
  <si>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</si>
  <si>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</si>
  <si>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</si>
  <si>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</si>
  <si>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</si>
  <si>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</si>
  <si>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</si>
  <si>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</si>
  <si>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</si>
  <si>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</si>
  <si>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</si>
  <si>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</si>
  <si>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</si>
  <si>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</si>
  <si>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</si>
  <si>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</si>
  <si>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</si>
  <si>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</si>
  <si>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</si>
  <si>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</si>
  <si>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</si>
  <si>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</si>
  <si>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Manutenção Programada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</si>
</sst>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546875" defaultRowHeight="14.4" x14ac:dyDescent="0.3"/>
  <cols>
    <col min="2" max="2" width="17.44140625" style="71" customWidth="1"/>
    <col min="3" max="3" width="21.44140625" customWidth="1"/>
    <col min="4" max="6" width="16" hidden="1" customWidth="1"/>
    <col min="7" max="7" width="34" customWidth="1"/>
  </cols>
  <sheetData>
    <row r="1" spans="1:7" ht="31.5" customHeight="1" x14ac:dyDescent="0.3">
      <c r="A1" s="93" t="s">
        <v>0</v>
      </c>
      <c r="B1" s="93"/>
      <c r="C1" s="93"/>
      <c r="D1" s="93"/>
      <c r="E1" s="93"/>
      <c r="F1" s="93"/>
      <c r="G1" s="93"/>
    </row>
    <row r="2" spans="1:7" ht="24.75" customHeight="1" x14ac:dyDescent="0.3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 x14ac:dyDescent="0.3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 x14ac:dyDescent="0.3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 x14ac:dyDescent="0.3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 x14ac:dyDescent="0.3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 x14ac:dyDescent="0.3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 x14ac:dyDescent="0.3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 x14ac:dyDescent="0.3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 x14ac:dyDescent="0.3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 x14ac:dyDescent="0.3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 x14ac:dyDescent="0.3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 x14ac:dyDescent="0.3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 x14ac:dyDescent="0.3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 x14ac:dyDescent="0.3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 x14ac:dyDescent="0.3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 x14ac:dyDescent="0.3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 x14ac:dyDescent="0.3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 x14ac:dyDescent="0.3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 x14ac:dyDescent="0.3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 x14ac:dyDescent="0.3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 x14ac:dyDescent="0.3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 x14ac:dyDescent="0.3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 x14ac:dyDescent="0.3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 x14ac:dyDescent="0.3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 x14ac:dyDescent="0.3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 x14ac:dyDescent="0.3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 x14ac:dyDescent="0.3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 x14ac:dyDescent="0.3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 x14ac:dyDescent="0.3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 x14ac:dyDescent="0.3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 x14ac:dyDescent="0.3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 x14ac:dyDescent="0.3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 x14ac:dyDescent="0.3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 x14ac:dyDescent="0.3">
      <c r="A35" s="95" t="s">
        <v>9</v>
      </c>
      <c r="B35" s="95"/>
      <c r="C35" s="13">
        <f>IFERROR(SUM(C4:C34),"")</f>
        <v>15131070</v>
      </c>
      <c r="D35" s="13">
        <f>IFERROR(SUM(D4:D34),"")</f>
        <v>7238930</v>
      </c>
      <c r="E35" s="13">
        <f>IFERROR(SUM(E4:E34),"")</f>
        <v>3700390</v>
      </c>
      <c r="F35" s="13">
        <f>IFERROR(SUM(F4:F34),"")</f>
        <v>6731590</v>
      </c>
      <c r="G35" s="13">
        <f>IFERROR(SUM(G4:G34),"")</f>
        <v>17670910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zoomScale="50" zoomScaleNormal="50" workbookViewId="0">
      <selection activeCell="Q19" sqref="Q19"/>
    </sheetView>
  </sheetViews>
  <sheetFormatPr defaultColWidth="8.5546875" defaultRowHeight="14.4" x14ac:dyDescent="0.3"/>
  <cols>
    <col min="1" max="1" width="14" customWidth="1"/>
    <col min="2" max="2" width="2" customWidth="1"/>
    <col min="3" max="3" width="17.554687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09375" customWidth="1"/>
    <col min="10" max="10" width="45.44140625" customWidth="1"/>
    <col min="11" max="11" width="42.109375" customWidth="1"/>
    <col min="12" max="12" width="36" customWidth="1"/>
    <col min="13" max="13" width="45.88671875" customWidth="1"/>
  </cols>
  <sheetData>
    <row r="1" spans="1:13" ht="27.75" customHeight="1" x14ac:dyDescent="0.3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 x14ac:dyDescent="0.3">
      <c r="H2" s="97"/>
    </row>
    <row r="3" spans="1:13" ht="21.75" customHeight="1" x14ac:dyDescent="0.3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 x14ac:dyDescent="0.3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 x14ac:dyDescent="0.3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 x14ac:dyDescent="0.3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 x14ac:dyDescent="0.3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 x14ac:dyDescent="0.3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 x14ac:dyDescent="0.3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 x14ac:dyDescent="0.3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 x14ac:dyDescent="0.3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 x14ac:dyDescent="0.3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 x14ac:dyDescent="0.3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 x14ac:dyDescent="0.3">
      <c r="A14" s="16"/>
      <c r="C14" s="16"/>
      <c r="E14" s="16"/>
      <c r="G14" s="16" t="s">
        <v>86</v>
      </c>
      <c r="H14" s="97"/>
      <c r="I14" s="16" t="s">
        <v>259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 x14ac:dyDescent="0.3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 x14ac:dyDescent="0.3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 x14ac:dyDescent="0.3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 x14ac:dyDescent="0.3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 x14ac:dyDescent="0.3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 x14ac:dyDescent="0.3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 x14ac:dyDescent="0.3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 x14ac:dyDescent="0.3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 x14ac:dyDescent="0.3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 x14ac:dyDescent="0.3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 x14ac:dyDescent="0.3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 x14ac:dyDescent="0.3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 x14ac:dyDescent="0.3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 x14ac:dyDescent="0.3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 x14ac:dyDescent="0.3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 x14ac:dyDescent="0.3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 x14ac:dyDescent="0.3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 x14ac:dyDescent="0.3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 x14ac:dyDescent="0.3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 x14ac:dyDescent="0.3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 x14ac:dyDescent="0.3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 x14ac:dyDescent="0.3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 x14ac:dyDescent="0.3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 x14ac:dyDescent="0.3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 x14ac:dyDescent="0.3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 x14ac:dyDescent="0.3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 x14ac:dyDescent="0.3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 x14ac:dyDescent="0.3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 x14ac:dyDescent="0.3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 x14ac:dyDescent="0.3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 x14ac:dyDescent="0.3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 x14ac:dyDescent="0.3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 x14ac:dyDescent="0.3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 x14ac:dyDescent="0.3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 x14ac:dyDescent="0.3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 x14ac:dyDescent="0.3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 x14ac:dyDescent="0.3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 x14ac:dyDescent="0.3">
      <c r="H52" s="97"/>
      <c r="I52" s="16"/>
      <c r="J52" s="16"/>
      <c r="K52" s="16" t="s">
        <v>187</v>
      </c>
      <c r="L52" s="16"/>
      <c r="M52" s="16"/>
    </row>
    <row r="53" spans="1:13" ht="36" customHeight="1" x14ac:dyDescent="0.3">
      <c r="H53" s="97"/>
      <c r="I53" s="17"/>
      <c r="J53" s="17"/>
      <c r="K53" s="17" t="s">
        <v>188</v>
      </c>
      <c r="L53" s="17"/>
      <c r="M53" s="17"/>
    </row>
    <row r="54" spans="1:13" ht="15" customHeight="1" x14ac:dyDescent="0.3">
      <c r="H54" s="97"/>
      <c r="I54" s="16"/>
      <c r="J54" s="16"/>
      <c r="K54" s="16" t="s">
        <v>189</v>
      </c>
      <c r="L54" s="16"/>
      <c r="M54" s="16"/>
    </row>
    <row r="55" spans="1:13" ht="15" customHeight="1" x14ac:dyDescent="0.3">
      <c r="H55" s="97"/>
      <c r="I55" s="17"/>
      <c r="J55" s="17"/>
      <c r="K55" s="17" t="s">
        <v>190</v>
      </c>
      <c r="L55" s="17"/>
      <c r="M55" s="17"/>
    </row>
    <row r="56" spans="1:13" ht="15" customHeight="1" x14ac:dyDescent="0.3">
      <c r="H56" s="97"/>
      <c r="I56" s="16"/>
      <c r="J56" s="16"/>
      <c r="K56" s="16" t="s">
        <v>191</v>
      </c>
      <c r="L56" s="16"/>
      <c r="M56" s="16"/>
    </row>
    <row r="57" spans="1:13" ht="15" customHeight="1" x14ac:dyDescent="0.3">
      <c r="H57" s="97"/>
      <c r="I57" s="17"/>
      <c r="J57" s="17"/>
      <c r="K57" s="17" t="s">
        <v>50</v>
      </c>
      <c r="L57" s="17"/>
      <c r="M57" s="17"/>
    </row>
    <row r="58" spans="1:13" ht="15" customHeight="1" x14ac:dyDescent="0.3">
      <c r="H58" s="97"/>
      <c r="I58" s="16"/>
      <c r="J58" s="16"/>
      <c r="K58" s="16" t="s">
        <v>192</v>
      </c>
      <c r="L58" s="16"/>
      <c r="M58" s="16"/>
    </row>
    <row r="59" spans="1:13" ht="15" customHeight="1" x14ac:dyDescent="0.3">
      <c r="H59" s="97"/>
      <c r="I59" s="17"/>
      <c r="J59" s="17"/>
      <c r="K59" s="17" t="s">
        <v>193</v>
      </c>
      <c r="L59" s="17"/>
      <c r="M59" s="17"/>
    </row>
    <row r="60" spans="1:13" ht="15" customHeight="1" x14ac:dyDescent="0.3">
      <c r="H60" s="97"/>
      <c r="I60" s="16"/>
      <c r="J60" s="16"/>
      <c r="K60" s="16"/>
      <c r="L60" s="16"/>
      <c r="M60" s="16"/>
    </row>
    <row r="61" spans="1:13" ht="15" customHeight="1" x14ac:dyDescent="0.3">
      <c r="H61" s="97"/>
      <c r="I61" s="17"/>
      <c r="J61" s="17"/>
      <c r="K61" s="17"/>
      <c r="L61" s="17"/>
      <c r="M61" s="17"/>
    </row>
    <row r="62" spans="1:13" ht="15" customHeight="1" x14ac:dyDescent="0.3">
      <c r="H62" s="97"/>
      <c r="I62" s="16"/>
      <c r="J62" s="16"/>
      <c r="K62" s="16"/>
      <c r="L62" s="16"/>
      <c r="M62" s="16"/>
    </row>
    <row r="63" spans="1:13" ht="15" customHeight="1" x14ac:dyDescent="0.3">
      <c r="H63" s="97"/>
      <c r="I63" s="17"/>
      <c r="J63" s="17"/>
      <c r="K63" s="17"/>
      <c r="L63" s="17"/>
      <c r="M63" s="17"/>
    </row>
    <row r="64" spans="1:13" ht="15" customHeight="1" x14ac:dyDescent="0.3">
      <c r="H64" s="97"/>
      <c r="I64" s="16"/>
      <c r="J64" s="16"/>
      <c r="K64" s="16"/>
      <c r="L64" s="16"/>
      <c r="M64" s="16"/>
    </row>
    <row r="65" spans="8:13" ht="15" customHeight="1" x14ac:dyDescent="0.3">
      <c r="H65" s="97"/>
      <c r="I65" s="17"/>
      <c r="J65" s="17"/>
      <c r="K65" s="17"/>
      <c r="L65" s="17"/>
      <c r="M65" s="17"/>
    </row>
    <row r="66" spans="8:13" ht="15" customHeight="1" x14ac:dyDescent="0.3">
      <c r="H66" s="97"/>
      <c r="I66" s="16"/>
      <c r="J66" s="16"/>
      <c r="K66" s="16"/>
      <c r="L66" s="16"/>
      <c r="M66" s="16"/>
    </row>
    <row r="67" spans="8:13" ht="15" customHeight="1" x14ac:dyDescent="0.3">
      <c r="H67" s="97"/>
      <c r="I67" s="17"/>
      <c r="J67" s="17"/>
      <c r="K67" s="17"/>
      <c r="L67" s="17"/>
      <c r="M67" s="17"/>
    </row>
    <row r="68" spans="8:13" ht="15" customHeight="1" x14ac:dyDescent="0.3">
      <c r="H68" s="97"/>
      <c r="I68" s="16"/>
      <c r="J68" s="16"/>
      <c r="K68" s="16"/>
      <c r="L68" s="16"/>
      <c r="M68" s="16"/>
    </row>
    <row r="69" spans="8:13" ht="15" customHeight="1" x14ac:dyDescent="0.3">
      <c r="H69" s="97"/>
      <c r="I69" s="17"/>
      <c r="J69" s="17"/>
      <c r="K69" s="17"/>
      <c r="L69" s="17"/>
      <c r="M69" s="17"/>
    </row>
    <row r="70" spans="8:13" ht="15" customHeight="1" x14ac:dyDescent="0.3">
      <c r="H70" s="97"/>
      <c r="I70" s="16"/>
      <c r="J70" s="16"/>
      <c r="K70" s="16"/>
      <c r="L70" s="16"/>
      <c r="M70" s="16"/>
    </row>
    <row r="71" spans="8:13" ht="15" customHeight="1" x14ac:dyDescent="0.3">
      <c r="H71" s="97"/>
      <c r="I71" s="17"/>
      <c r="J71" s="17"/>
      <c r="K71" s="17"/>
      <c r="L71" s="17"/>
      <c r="M71" s="17"/>
    </row>
    <row r="72" spans="8:13" ht="15" customHeight="1" x14ac:dyDescent="0.3">
      <c r="H72" s="97"/>
      <c r="I72" s="16"/>
      <c r="J72" s="16"/>
      <c r="K72" s="16"/>
      <c r="L72" s="16"/>
      <c r="M72" s="16"/>
    </row>
    <row r="73" spans="8:13" ht="15" customHeight="1" x14ac:dyDescent="0.3">
      <c r="H73" s="97"/>
      <c r="I73" s="17"/>
      <c r="J73" s="17"/>
      <c r="K73" s="17"/>
      <c r="L73" s="17"/>
      <c r="M73" s="17"/>
    </row>
    <row r="74" spans="8:13" ht="15" customHeight="1" x14ac:dyDescent="0.3">
      <c r="H74" s="97"/>
      <c r="I74" s="16"/>
      <c r="J74" s="16"/>
      <c r="K74" s="16"/>
      <c r="L74" s="16"/>
      <c r="M74" s="16"/>
    </row>
    <row r="75" spans="8:13" ht="15" customHeight="1" x14ac:dyDescent="0.3">
      <c r="H75" s="97"/>
      <c r="I75" s="17"/>
      <c r="J75" s="17"/>
      <c r="K75" s="17"/>
      <c r="L75" s="17"/>
      <c r="M75" s="17"/>
    </row>
    <row r="76" spans="8:13" ht="15" customHeight="1" x14ac:dyDescent="0.3"/>
    <row r="77" spans="8:13" ht="15" customHeight="1" x14ac:dyDescent="0.3"/>
    <row r="78" spans="8:13" ht="15" customHeight="1" x14ac:dyDescent="0.3"/>
    <row r="79" spans="8:13" ht="15" customHeight="1" x14ac:dyDescent="0.3"/>
    <row r="80" spans="8:13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43" activePane="bottomLeft" state="frozen"/>
      <selection pane="bottomLeft" activeCell="Q159" sqref="Q159"/>
    </sheetView>
  </sheetViews>
  <sheetFormatPr defaultColWidth="8.5546875" defaultRowHeight="14.4" x14ac:dyDescent="0.3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09375" style="20" customWidth="1"/>
    <col min="9" max="9" width="23.44140625" style="20" customWidth="1"/>
    <col min="10" max="10" width="43.109375" style="20" customWidth="1"/>
    <col min="11" max="11" width="14" style="20" customWidth="1"/>
    <col min="12" max="12" width="13.109375" style="21" customWidth="1"/>
    <col min="13" max="13" width="14" style="20" customWidth="1"/>
    <col min="14" max="14" width="50.44140625" style="20" customWidth="1"/>
    <col min="15" max="15" width="14" customWidth="1"/>
  </cols>
  <sheetData>
    <row r="1" spans="1:15" ht="37.5" customHeight="1" x14ac:dyDescent="0.3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 x14ac:dyDescent="0.3">
      <c r="A2" s="69">
        <v>46204</v>
      </c>
      <c r="B2" s="25">
        <v>0.33333333333333298</v>
      </c>
      <c r="C2" s="26" t="s">
        <v>29</v>
      </c>
      <c r="D2" s="20" t="s">
        <v>204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206</v>
      </c>
      <c r="O2" s="31"/>
    </row>
    <row r="3" spans="1:15" ht="15" customHeight="1" x14ac:dyDescent="0.3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3:M13" ca="1" si="2">IFERROR(IF(K3="","",IF(L3="",MOD(NOW()-K3,1),IF(L3&gt;=K3,L3-K3,L3+1-K3))),"")</f>
        <v>4.7916666666666663E-2</v>
      </c>
      <c r="N3" s="27"/>
      <c r="O3" s="31"/>
    </row>
    <row r="4" spans="1:15" ht="15" customHeight="1" x14ac:dyDescent="0.3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3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3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3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3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3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3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3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3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3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3">
      <c r="A14" s="87" t="s">
        <v>207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208</v>
      </c>
      <c r="O14" s="39">
        <v>1489420</v>
      </c>
    </row>
    <row r="15" spans="1:15" ht="15" customHeight="1" x14ac:dyDescent="0.3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 x14ac:dyDescent="0.3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 x14ac:dyDescent="0.3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 x14ac:dyDescent="0.3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3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3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3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3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3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3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3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3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3">
      <c r="A27" s="87" t="s">
        <v>209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208</v>
      </c>
      <c r="O27" s="39">
        <v>1183060</v>
      </c>
    </row>
    <row r="28" spans="1:15" ht="18" customHeight="1" x14ac:dyDescent="0.3">
      <c r="A28" s="90" t="s">
        <v>210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211</v>
      </c>
      <c r="O28" s="43">
        <f>IFERROR(O14+O27,"")</f>
        <v>2672480</v>
      </c>
    </row>
    <row r="29" spans="1:15" ht="15" customHeight="1" x14ac:dyDescent="0.3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 x14ac:dyDescent="0.3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212</v>
      </c>
      <c r="O30" s="31"/>
    </row>
    <row r="31" spans="1:15" ht="15" customHeight="1" x14ac:dyDescent="0.3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3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208</v>
      </c>
      <c r="O41" s="39">
        <v>108620</v>
      </c>
    </row>
    <row r="42" spans="1:15" ht="15" customHeight="1" x14ac:dyDescent="0.3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 x14ac:dyDescent="0.3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 x14ac:dyDescent="0.3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3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3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3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3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3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3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3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3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3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3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208</v>
      </c>
      <c r="O54" s="39">
        <v>959290</v>
      </c>
    </row>
    <row r="55" spans="1:15" ht="18" customHeight="1" x14ac:dyDescent="0.3">
      <c r="A55" s="90" t="s">
        <v>210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211</v>
      </c>
      <c r="O55" s="43">
        <f>IFERROR(O41+O54,"")</f>
        <v>1067910</v>
      </c>
    </row>
    <row r="56" spans="1:15" ht="15" customHeight="1" x14ac:dyDescent="0.3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 x14ac:dyDescent="0.3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 x14ac:dyDescent="0.3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3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3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3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3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3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208</v>
      </c>
      <c r="O68" s="39">
        <v>1953130</v>
      </c>
    </row>
    <row r="69" spans="1:15" ht="15" customHeight="1" x14ac:dyDescent="0.3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 x14ac:dyDescent="0.3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213</v>
      </c>
      <c r="O70" s="31"/>
    </row>
    <row r="71" spans="1:15" ht="15" customHeight="1" x14ac:dyDescent="0.3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3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3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3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208</v>
      </c>
      <c r="O81" s="39">
        <v>878050</v>
      </c>
    </row>
    <row r="82" spans="1:15" ht="18" customHeight="1" x14ac:dyDescent="0.3">
      <c r="A82" s="90" t="s">
        <v>210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211</v>
      </c>
      <c r="O82" s="43">
        <f>IFERROR(O68+O81,"")</f>
        <v>2831180</v>
      </c>
    </row>
    <row r="83" spans="1:15" ht="15" customHeight="1" x14ac:dyDescent="0.3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214</v>
      </c>
      <c r="O83" s="31"/>
    </row>
    <row r="84" spans="1:15" ht="15" customHeight="1" x14ac:dyDescent="0.3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 x14ac:dyDescent="0.3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 x14ac:dyDescent="0.3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 x14ac:dyDescent="0.3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3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208</v>
      </c>
      <c r="O95" s="39">
        <v>1704450</v>
      </c>
    </row>
    <row r="96" spans="1:15" ht="15" customHeight="1" x14ac:dyDescent="0.3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215</v>
      </c>
      <c r="O96" s="31"/>
    </row>
    <row r="97" spans="1:15" ht="15" customHeight="1" x14ac:dyDescent="0.3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3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3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3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3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208</v>
      </c>
      <c r="O108" s="39">
        <v>1700000</v>
      </c>
    </row>
    <row r="109" spans="1:15" ht="18" customHeight="1" x14ac:dyDescent="0.3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211</v>
      </c>
      <c r="O109" s="43">
        <f>IFERROR(O95+O108,"")</f>
        <v>3404450</v>
      </c>
    </row>
    <row r="110" spans="1:15" ht="15" customHeight="1" x14ac:dyDescent="0.3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 x14ac:dyDescent="0.3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208</v>
      </c>
      <c r="O122" s="39">
        <v>1625420</v>
      </c>
    </row>
    <row r="123" spans="1:15" ht="15" customHeight="1" x14ac:dyDescent="0.3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 x14ac:dyDescent="0.3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 x14ac:dyDescent="0.3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3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3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3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3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3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3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3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208</v>
      </c>
      <c r="O135" s="39">
        <v>862330</v>
      </c>
    </row>
    <row r="136" spans="1:15" ht="18" customHeight="1" x14ac:dyDescent="0.3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211</v>
      </c>
      <c r="O136" s="43">
        <f>IFERROR(O122+O135,"")</f>
        <v>2487750</v>
      </c>
    </row>
    <row r="137" spans="1:15" ht="15" customHeight="1" x14ac:dyDescent="0.3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 x14ac:dyDescent="0.3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 x14ac:dyDescent="0.3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 x14ac:dyDescent="0.3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 x14ac:dyDescent="0.3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3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5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208</v>
      </c>
      <c r="O149" s="44">
        <v>1121220</v>
      </c>
    </row>
    <row r="150" spans="1:15" ht="15" customHeight="1" x14ac:dyDescent="0.3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157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 x14ac:dyDescent="0.3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136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 x14ac:dyDescent="0.3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3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3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5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208</v>
      </c>
      <c r="O162" s="44">
        <v>1546080</v>
      </c>
    </row>
    <row r="163" spans="1:15" ht="18" customHeight="1" x14ac:dyDescent="0.3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211</v>
      </c>
      <c r="O163" s="43">
        <f>IFERROR(O149+O162,"")</f>
        <v>2667300</v>
      </c>
    </row>
    <row r="164" spans="1:15" ht="15" customHeight="1" x14ac:dyDescent="0.3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121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 x14ac:dyDescent="0.3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3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3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3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3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205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205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205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265</v>
      </c>
      <c r="G176" s="36">
        <f>SUM(G164:G175)</f>
        <v>1325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208</v>
      </c>
      <c r="O176" s="39"/>
    </row>
    <row r="177" spans="1:15" ht="15" customHeight="1" x14ac:dyDescent="0.3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3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3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 x14ac:dyDescent="0.3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265</v>
      </c>
      <c r="G190" s="40">
        <f>G176+G189</f>
        <v>1325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211</v>
      </c>
      <c r="O190" s="43">
        <f>IFERROR(O176+O189,"")</f>
        <v>0</v>
      </c>
    </row>
    <row r="191" spans="1:15" ht="15" customHeight="1" x14ac:dyDescent="0.3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3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3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3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3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45"/>
    </row>
    <row r="204" spans="1:15" ht="15" customHeight="1" x14ac:dyDescent="0.3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3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3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3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3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45"/>
    </row>
    <row r="217" spans="1:15" ht="18" customHeight="1" x14ac:dyDescent="0.3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 x14ac:dyDescent="0.3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 x14ac:dyDescent="0.3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3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3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3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3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3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3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3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3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3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3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3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 x14ac:dyDescent="0.3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 x14ac:dyDescent="0.3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3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3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3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3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3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3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3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3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 x14ac:dyDescent="0.3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 x14ac:dyDescent="0.3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 x14ac:dyDescent="0.3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3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3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3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3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 x14ac:dyDescent="0.3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 x14ac:dyDescent="0.3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3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3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3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3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3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3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3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3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3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3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 x14ac:dyDescent="0.3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 x14ac:dyDescent="0.3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 x14ac:dyDescent="0.3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3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3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3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3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3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3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3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3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3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3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3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 x14ac:dyDescent="0.3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 x14ac:dyDescent="0.3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 x14ac:dyDescent="0.3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3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3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 x14ac:dyDescent="0.3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 x14ac:dyDescent="0.3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3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3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3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3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3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3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 x14ac:dyDescent="0.3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 x14ac:dyDescent="0.3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 x14ac:dyDescent="0.3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 x14ac:dyDescent="0.3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 x14ac:dyDescent="0.3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3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3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3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3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3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3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3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3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3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 x14ac:dyDescent="0.3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3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3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3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3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3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3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3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3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3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3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3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3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 x14ac:dyDescent="0.3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 x14ac:dyDescent="0.3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3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3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3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3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3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3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3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3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3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3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3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3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 x14ac:dyDescent="0.3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3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3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3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3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3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3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3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3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3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3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3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3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 x14ac:dyDescent="0.3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 x14ac:dyDescent="0.3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3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3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3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3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3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3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3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 x14ac:dyDescent="0.3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 x14ac:dyDescent="0.3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3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3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 x14ac:dyDescent="0.3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3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3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3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3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3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3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3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3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3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3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3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3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 x14ac:dyDescent="0.3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 x14ac:dyDescent="0.3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3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3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3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3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3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3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3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3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3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3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3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3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 x14ac:dyDescent="0.3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3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3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3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3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3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3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3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3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3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3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3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3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 x14ac:dyDescent="0.3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 x14ac:dyDescent="0.3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3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3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3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3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3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3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3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3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3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3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3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3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 x14ac:dyDescent="0.3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3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3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3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3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3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3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3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3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3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3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3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3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 x14ac:dyDescent="0.3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 x14ac:dyDescent="0.3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3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3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3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3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3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3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3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3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3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3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3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 x14ac:dyDescent="0.3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3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3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3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3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3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3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3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3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3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3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3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3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 x14ac:dyDescent="0.3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 x14ac:dyDescent="0.3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3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3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 x14ac:dyDescent="0.3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3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 x14ac:dyDescent="0.3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 x14ac:dyDescent="0.3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3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3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3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3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3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3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 x14ac:dyDescent="0.3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3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3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3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3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3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3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3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3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3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3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3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3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 x14ac:dyDescent="0.3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 x14ac:dyDescent="0.3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3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3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3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3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3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3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3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3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3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3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3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3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 x14ac:dyDescent="0.3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3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3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3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3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3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3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3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3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3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3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3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3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 x14ac:dyDescent="0.3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 x14ac:dyDescent="0.3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3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3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3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3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3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3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3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3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3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3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3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3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 x14ac:dyDescent="0.3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3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3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3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3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3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3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3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3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3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3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3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3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 x14ac:dyDescent="0.3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 x14ac:dyDescent="0.3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3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3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3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3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3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3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3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3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3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3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3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3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 x14ac:dyDescent="0.3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3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3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3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3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3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3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3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3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3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3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3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3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 x14ac:dyDescent="0.3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 x14ac:dyDescent="0.3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3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3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3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3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3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3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3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3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3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3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3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3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 x14ac:dyDescent="0.3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3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3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3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3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3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3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3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3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3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3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3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3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 x14ac:dyDescent="0.3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 x14ac:dyDescent="0.3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3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3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3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3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3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3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3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3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3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3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3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3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 x14ac:dyDescent="0.3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3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3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3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3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3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3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3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3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3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3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3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3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 x14ac:dyDescent="0.3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 x14ac:dyDescent="0.3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3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3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3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3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3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3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3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3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3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3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3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3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 x14ac:dyDescent="0.3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3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3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3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3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3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3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3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3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3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3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3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3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 x14ac:dyDescent="0.3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 x14ac:dyDescent="0.3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3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3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3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3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3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3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3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3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3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3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3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3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 x14ac:dyDescent="0.3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3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3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3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3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3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3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3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3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3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3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3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3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 x14ac:dyDescent="0.3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 x14ac:dyDescent="0.3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3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 x14ac:dyDescent="0.3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3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 x14ac:dyDescent="0.3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3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 x14ac:dyDescent="0.3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3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3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3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3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3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3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 x14ac:dyDescent="0.3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3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3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3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3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3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3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3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3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3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3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3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3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 x14ac:dyDescent="0.3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 x14ac:dyDescent="0.3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3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3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3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3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3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3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3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3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3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3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3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3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 x14ac:dyDescent="0.3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3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3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3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3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3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3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3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3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3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3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3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3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 x14ac:dyDescent="0.3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 x14ac:dyDescent="0.3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3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3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3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3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3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3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3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3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3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3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3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3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 x14ac:dyDescent="0.3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3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3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3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3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3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3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3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3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3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3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3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3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 x14ac:dyDescent="0.3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 x14ac:dyDescent="0.3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3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3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3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3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3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3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3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3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3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3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3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3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 x14ac:dyDescent="0.3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3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3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3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3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3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3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3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3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3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3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3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3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 x14ac:dyDescent="0.3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 x14ac:dyDescent="0.3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3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3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3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3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3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3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3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3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3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3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3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3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 x14ac:dyDescent="0.3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3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3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3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3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3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3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3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3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3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3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3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3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 x14ac:dyDescent="0.3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147" activePane="bottomLeft" state="frozen"/>
      <selection pane="bottomLeft" activeCell="T164" sqref="T164"/>
    </sheetView>
  </sheetViews>
  <sheetFormatPr defaultColWidth="8.5546875" defaultRowHeight="14.4" x14ac:dyDescent="0.3"/>
  <cols>
    <col min="1" max="1" width="13" style="75" customWidth="1"/>
    <col min="2" max="2" width="9" style="20" customWidth="1"/>
    <col min="3" max="3" width="14" style="20" customWidth="1"/>
    <col min="4" max="5" width="16.109375" style="20" customWidth="1"/>
    <col min="6" max="6" width="13" style="20" customWidth="1"/>
    <col min="7" max="7" width="14" style="20" customWidth="1"/>
    <col min="8" max="8" width="29.44140625" style="20" customWidth="1"/>
    <col min="9" max="9" width="25" style="20" customWidth="1"/>
    <col min="10" max="10" width="48.5546875" style="20" customWidth="1"/>
    <col min="11" max="11" width="15.44140625" style="20" customWidth="1"/>
    <col min="12" max="12" width="12" style="21" customWidth="1"/>
    <col min="13" max="13" width="15.5546875" style="20" customWidth="1"/>
    <col min="14" max="14" width="75.109375" style="20" customWidth="1"/>
    <col min="15" max="15" width="20" customWidth="1"/>
  </cols>
  <sheetData>
    <row r="1" spans="1:15" ht="37.5" customHeight="1" x14ac:dyDescent="0.3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 x14ac:dyDescent="0.3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 x14ac:dyDescent="0.3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 x14ac:dyDescent="0.3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 x14ac:dyDescent="0.3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 x14ac:dyDescent="0.3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 x14ac:dyDescent="0.3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 x14ac:dyDescent="0.3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 x14ac:dyDescent="0.3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 x14ac:dyDescent="0.3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 x14ac:dyDescent="0.3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 x14ac:dyDescent="0.3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 x14ac:dyDescent="0.3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 x14ac:dyDescent="0.3">
      <c r="A14" s="87" t="s">
        <v>207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208</v>
      </c>
      <c r="O14" s="78">
        <v>627260</v>
      </c>
    </row>
    <row r="15" spans="1:15" ht="15" customHeight="1" x14ac:dyDescent="0.3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 x14ac:dyDescent="0.3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 x14ac:dyDescent="0.3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 x14ac:dyDescent="0.3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 x14ac:dyDescent="0.3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 x14ac:dyDescent="0.3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 x14ac:dyDescent="0.3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 x14ac:dyDescent="0.3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 x14ac:dyDescent="0.3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 x14ac:dyDescent="0.3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 x14ac:dyDescent="0.3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 x14ac:dyDescent="0.3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 x14ac:dyDescent="0.3">
      <c r="A27" s="87" t="s">
        <v>209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208</v>
      </c>
      <c r="O27" s="78">
        <v>393200</v>
      </c>
    </row>
    <row r="28" spans="1:15" ht="18" customHeight="1" x14ac:dyDescent="0.3">
      <c r="A28" s="90" t="s">
        <v>210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211</v>
      </c>
      <c r="O28" s="83">
        <f>O14+O27</f>
        <v>1020460</v>
      </c>
    </row>
    <row r="29" spans="1:15" ht="15" customHeight="1" x14ac:dyDescent="0.3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217</v>
      </c>
      <c r="O29" s="31"/>
    </row>
    <row r="30" spans="1:15" ht="15" customHeight="1" x14ac:dyDescent="0.3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 x14ac:dyDescent="0.3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 x14ac:dyDescent="0.3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 x14ac:dyDescent="0.3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 x14ac:dyDescent="0.3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 x14ac:dyDescent="0.3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 x14ac:dyDescent="0.3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 x14ac:dyDescent="0.3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 x14ac:dyDescent="0.3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 x14ac:dyDescent="0.3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 x14ac:dyDescent="0.3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 x14ac:dyDescent="0.3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208</v>
      </c>
      <c r="O41" s="85">
        <v>351740</v>
      </c>
    </row>
    <row r="42" spans="1:15" ht="15" customHeight="1" x14ac:dyDescent="0.3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 x14ac:dyDescent="0.3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 x14ac:dyDescent="0.3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218</v>
      </c>
      <c r="O44" s="31"/>
    </row>
    <row r="45" spans="1:15" ht="15" customHeight="1" x14ac:dyDescent="0.3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216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 x14ac:dyDescent="0.3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 x14ac:dyDescent="0.3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 x14ac:dyDescent="0.3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 x14ac:dyDescent="0.3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 x14ac:dyDescent="0.3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 x14ac:dyDescent="0.3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 x14ac:dyDescent="0.3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 x14ac:dyDescent="0.3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 x14ac:dyDescent="0.3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85">
        <v>276360</v>
      </c>
    </row>
    <row r="55" spans="1:15" ht="18" customHeight="1" x14ac:dyDescent="0.3">
      <c r="A55" s="90" t="s">
        <v>210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211</v>
      </c>
      <c r="O55" s="83">
        <f>IFERROR(O41+O54,"")</f>
        <v>628100</v>
      </c>
    </row>
    <row r="56" spans="1:15" ht="15" customHeight="1" x14ac:dyDescent="0.3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 x14ac:dyDescent="0.3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219</v>
      </c>
      <c r="O57" s="31"/>
    </row>
    <row r="58" spans="1:15" ht="15" customHeight="1" x14ac:dyDescent="0.3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220</v>
      </c>
      <c r="O58" s="31"/>
    </row>
    <row r="59" spans="1:15" ht="15" customHeight="1" x14ac:dyDescent="0.3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 x14ac:dyDescent="0.3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 x14ac:dyDescent="0.3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 x14ac:dyDescent="0.3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 x14ac:dyDescent="0.3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 x14ac:dyDescent="0.3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 x14ac:dyDescent="0.3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 x14ac:dyDescent="0.3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 x14ac:dyDescent="0.3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 x14ac:dyDescent="0.4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208</v>
      </c>
      <c r="O68" s="54">
        <v>0</v>
      </c>
    </row>
    <row r="69" spans="1:15" ht="15" customHeight="1" x14ac:dyDescent="0.3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 x14ac:dyDescent="0.3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 x14ac:dyDescent="0.3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 x14ac:dyDescent="0.3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 x14ac:dyDescent="0.3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 x14ac:dyDescent="0.3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 x14ac:dyDescent="0.3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 x14ac:dyDescent="0.3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 x14ac:dyDescent="0.3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 x14ac:dyDescent="0.3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 x14ac:dyDescent="0.3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 x14ac:dyDescent="0.3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 x14ac:dyDescent="0.4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208</v>
      </c>
      <c r="O81" s="54">
        <v>787860</v>
      </c>
    </row>
    <row r="82" spans="1:15" ht="18" customHeight="1" x14ac:dyDescent="0.3">
      <c r="A82" s="90" t="s">
        <v>210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211</v>
      </c>
      <c r="O82" s="83">
        <f>IFERROR(O68+O81,"")</f>
        <v>787860</v>
      </c>
    </row>
    <row r="83" spans="1:15" ht="15" customHeight="1" x14ac:dyDescent="0.3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221</v>
      </c>
      <c r="O83" s="31"/>
    </row>
    <row r="84" spans="1:15" ht="15" customHeight="1" x14ac:dyDescent="0.3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 x14ac:dyDescent="0.3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 x14ac:dyDescent="0.3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 x14ac:dyDescent="0.3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 x14ac:dyDescent="0.3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 x14ac:dyDescent="0.3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 x14ac:dyDescent="0.3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 x14ac:dyDescent="0.3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 x14ac:dyDescent="0.3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 x14ac:dyDescent="0.3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 x14ac:dyDescent="0.3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 x14ac:dyDescent="0.4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208</v>
      </c>
      <c r="O95" s="54">
        <v>577610</v>
      </c>
    </row>
    <row r="96" spans="1:15" ht="15" customHeight="1" x14ac:dyDescent="0.3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222</v>
      </c>
      <c r="O96" s="31"/>
    </row>
    <row r="97" spans="1:15" ht="15" customHeight="1" x14ac:dyDescent="0.3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223</v>
      </c>
      <c r="O97" s="31"/>
    </row>
    <row r="98" spans="1:15" ht="15" customHeight="1" x14ac:dyDescent="0.3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224</v>
      </c>
      <c r="O98" s="31"/>
    </row>
    <row r="99" spans="1:15" ht="15" customHeight="1" x14ac:dyDescent="0.3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 x14ac:dyDescent="0.3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 x14ac:dyDescent="0.3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 x14ac:dyDescent="0.3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 x14ac:dyDescent="0.3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 x14ac:dyDescent="0.3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 x14ac:dyDescent="0.3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 x14ac:dyDescent="0.3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 x14ac:dyDescent="0.3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 x14ac:dyDescent="0.4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208</v>
      </c>
      <c r="O108" s="54">
        <v>1087080</v>
      </c>
    </row>
    <row r="109" spans="1:15" ht="18" customHeight="1" x14ac:dyDescent="0.3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211</v>
      </c>
      <c r="O109" s="83">
        <f>IFERROR(O95+O108,"")</f>
        <v>1664690</v>
      </c>
    </row>
    <row r="110" spans="1:15" ht="15" customHeight="1" x14ac:dyDescent="0.3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 x14ac:dyDescent="0.3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225</v>
      </c>
      <c r="O111" s="31"/>
    </row>
    <row r="112" spans="1:15" ht="15" customHeight="1" x14ac:dyDescent="0.3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 x14ac:dyDescent="0.3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 x14ac:dyDescent="0.3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 x14ac:dyDescent="0.3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 x14ac:dyDescent="0.3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 x14ac:dyDescent="0.3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 x14ac:dyDescent="0.3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 x14ac:dyDescent="0.3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 x14ac:dyDescent="0.3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 x14ac:dyDescent="0.3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 x14ac:dyDescent="0.4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208</v>
      </c>
      <c r="O122" s="54">
        <v>869260</v>
      </c>
    </row>
    <row r="123" spans="1:15" ht="15" customHeight="1" x14ac:dyDescent="0.3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226</v>
      </c>
      <c r="O123" s="31"/>
    </row>
    <row r="124" spans="1:15" ht="15" customHeight="1" x14ac:dyDescent="0.3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 x14ac:dyDescent="0.3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227</v>
      </c>
      <c r="O125" s="31"/>
    </row>
    <row r="126" spans="1:15" ht="15" customHeight="1" x14ac:dyDescent="0.3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228</v>
      </c>
      <c r="O126" s="31"/>
    </row>
    <row r="127" spans="1:15" ht="15" customHeight="1" x14ac:dyDescent="0.3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 x14ac:dyDescent="0.3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 x14ac:dyDescent="0.3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229</v>
      </c>
      <c r="O129" s="31"/>
    </row>
    <row r="130" spans="1:15" ht="15" customHeight="1" x14ac:dyDescent="0.3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 x14ac:dyDescent="0.3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 x14ac:dyDescent="0.3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 x14ac:dyDescent="0.3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 x14ac:dyDescent="0.3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 x14ac:dyDescent="0.4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208</v>
      </c>
      <c r="O135" s="54">
        <v>794480</v>
      </c>
    </row>
    <row r="136" spans="1:15" ht="18" customHeight="1" x14ac:dyDescent="0.3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211</v>
      </c>
      <c r="O136" s="83">
        <f>IFERROR(O122+O135,"")</f>
        <v>1663740</v>
      </c>
    </row>
    <row r="137" spans="1:15" ht="15" customHeight="1" x14ac:dyDescent="0.3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 x14ac:dyDescent="0.3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 x14ac:dyDescent="0.3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230</v>
      </c>
      <c r="O139" s="31"/>
    </row>
    <row r="140" spans="1:15" ht="15" customHeight="1" x14ac:dyDescent="0.3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 x14ac:dyDescent="0.3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 x14ac:dyDescent="0.3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 x14ac:dyDescent="0.3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 x14ac:dyDescent="0.3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 x14ac:dyDescent="0.3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 x14ac:dyDescent="0.3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 x14ac:dyDescent="0.3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 x14ac:dyDescent="0.3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 x14ac:dyDescent="0.4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208</v>
      </c>
      <c r="O149" s="54">
        <v>591800</v>
      </c>
    </row>
    <row r="150" spans="1:15" ht="15" customHeight="1" x14ac:dyDescent="0.3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231</v>
      </c>
      <c r="O150" s="31"/>
    </row>
    <row r="151" spans="1:15" ht="15" customHeight="1" x14ac:dyDescent="0.3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 x14ac:dyDescent="0.3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 x14ac:dyDescent="0.3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 x14ac:dyDescent="0.3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 x14ac:dyDescent="0.3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 x14ac:dyDescent="0.3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 x14ac:dyDescent="0.3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 x14ac:dyDescent="0.3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 x14ac:dyDescent="0.3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 x14ac:dyDescent="0.3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 x14ac:dyDescent="0.3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 x14ac:dyDescent="0.4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208</v>
      </c>
      <c r="O162" s="54">
        <v>882280</v>
      </c>
    </row>
    <row r="163" spans="1:15" ht="18" customHeight="1" x14ac:dyDescent="0.3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211</v>
      </c>
      <c r="O163" s="83">
        <f>IFERROR(O149+O162,"")</f>
        <v>1474080</v>
      </c>
    </row>
    <row r="164" spans="1:15" ht="15" customHeight="1" x14ac:dyDescent="0.3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259</v>
      </c>
      <c r="K164" s="29">
        <v>0.29166666666666669</v>
      </c>
      <c r="L164" s="29"/>
      <c r="M164" s="30">
        <f t="shared" ref="M164:M175" ca="1" si="37">IFERROR(IF(K164="","",IF(L164="",MOD(NOW()-K164,1),IF(L164&gt;=K164,L164-K164,L164+1-K164))),"")</f>
        <v>0.38866585648065666</v>
      </c>
      <c r="N164" s="46"/>
      <c r="O164" s="31"/>
    </row>
    <row r="165" spans="1:15" ht="15" customHeight="1" x14ac:dyDescent="0.3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 x14ac:dyDescent="0.3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 x14ac:dyDescent="0.3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 x14ac:dyDescent="0.3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 x14ac:dyDescent="0.3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 x14ac:dyDescent="0.3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 x14ac:dyDescent="0.3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 x14ac:dyDescent="0.3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 x14ac:dyDescent="0.3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 x14ac:dyDescent="0.3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 x14ac:dyDescent="0.3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 x14ac:dyDescent="0.3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0.38866585648065666</v>
      </c>
      <c r="N176" s="36" t="s">
        <v>208</v>
      </c>
      <c r="O176" s="78"/>
    </row>
    <row r="177" spans="1:15" ht="15" customHeight="1" x14ac:dyDescent="0.3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 x14ac:dyDescent="0.3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 x14ac:dyDescent="0.3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 x14ac:dyDescent="0.3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 x14ac:dyDescent="0.3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 x14ac:dyDescent="0.3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 x14ac:dyDescent="0.3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 x14ac:dyDescent="0.3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 x14ac:dyDescent="0.3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 x14ac:dyDescent="0.3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 x14ac:dyDescent="0.3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 x14ac:dyDescent="0.3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 x14ac:dyDescent="0.3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78"/>
    </row>
    <row r="190" spans="1:15" ht="18" customHeight="1" x14ac:dyDescent="0.3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0.38866585648065666</v>
      </c>
      <c r="N190" s="40" t="s">
        <v>211</v>
      </c>
      <c r="O190" s="83">
        <f>IFERROR(O176+O189,"")</f>
        <v>0</v>
      </c>
    </row>
    <row r="191" spans="1:15" ht="15" customHeight="1" x14ac:dyDescent="0.3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 x14ac:dyDescent="0.3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 x14ac:dyDescent="0.3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 x14ac:dyDescent="0.3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 x14ac:dyDescent="0.3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 x14ac:dyDescent="0.3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 x14ac:dyDescent="0.3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 x14ac:dyDescent="0.3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 x14ac:dyDescent="0.3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 x14ac:dyDescent="0.3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 x14ac:dyDescent="0.3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 x14ac:dyDescent="0.3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 x14ac:dyDescent="0.3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78"/>
    </row>
    <row r="204" spans="1:15" ht="15" customHeight="1" x14ac:dyDescent="0.3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3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3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3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3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78"/>
    </row>
    <row r="217" spans="1:15" ht="18" customHeight="1" x14ac:dyDescent="0.3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84">
        <f>IFERROR(O203+O216,"")</f>
        <v>0</v>
      </c>
    </row>
    <row r="218" spans="1:15" ht="15" customHeight="1" x14ac:dyDescent="0.3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 x14ac:dyDescent="0.3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3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3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3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3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3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3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3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3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3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3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3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78"/>
    </row>
    <row r="231" spans="1:15" ht="15" customHeight="1" x14ac:dyDescent="0.3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 x14ac:dyDescent="0.3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3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3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3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3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3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3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3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3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78"/>
    </row>
    <row r="244" spans="1:15" ht="18" customHeight="1" x14ac:dyDescent="0.3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84">
        <f>IFERROR(O230+O243,"")</f>
        <v>0</v>
      </c>
    </row>
    <row r="245" spans="1:15" ht="15" customHeight="1" x14ac:dyDescent="0.3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 x14ac:dyDescent="0.3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3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3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3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3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78"/>
    </row>
    <row r="258" spans="1:15" ht="15" customHeight="1" x14ac:dyDescent="0.3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 x14ac:dyDescent="0.3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3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3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3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3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3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3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3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3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3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3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78"/>
    </row>
    <row r="271" spans="1:15" ht="18" customHeight="1" x14ac:dyDescent="0.3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84">
        <f>IFERROR(O257+O270,"")</f>
        <v>0</v>
      </c>
    </row>
    <row r="272" spans="1:15" ht="15" customHeight="1" x14ac:dyDescent="0.3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 x14ac:dyDescent="0.3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3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3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3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3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3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3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3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3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3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3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3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78"/>
    </row>
    <row r="285" spans="1:15" ht="15" customHeight="1" x14ac:dyDescent="0.3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 x14ac:dyDescent="0.3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 x14ac:dyDescent="0.3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3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3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 x14ac:dyDescent="0.3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 x14ac:dyDescent="0.3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3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3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3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3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3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3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78"/>
    </row>
    <row r="298" spans="1:15" ht="18" customHeight="1" x14ac:dyDescent="0.3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84">
        <f>IFERROR(O284+O297,"")</f>
        <v>0</v>
      </c>
    </row>
    <row r="299" spans="1:15" ht="15" customHeight="1" x14ac:dyDescent="0.3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 x14ac:dyDescent="0.3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 x14ac:dyDescent="0.3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 x14ac:dyDescent="0.3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3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3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3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3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3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3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3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3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3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78"/>
    </row>
    <row r="312" spans="1:15" ht="15" customHeight="1" x14ac:dyDescent="0.3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3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3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3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3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3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3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3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3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3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3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3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3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78"/>
    </row>
    <row r="325" spans="1:15" ht="18" customHeight="1" x14ac:dyDescent="0.3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84">
        <f>IFERROR(O311+O324,"")</f>
        <v>0</v>
      </c>
    </row>
    <row r="326" spans="1:15" ht="15" customHeight="1" x14ac:dyDescent="0.3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3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3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3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3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3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3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3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3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3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3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3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3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78"/>
    </row>
    <row r="339" spans="1:15" ht="15" customHeight="1" x14ac:dyDescent="0.3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3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3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3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3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3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3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3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3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3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3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3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3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78"/>
    </row>
    <row r="352" spans="1:15" ht="18" customHeight="1" x14ac:dyDescent="0.3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84">
        <f>IFERROR(O338+O351,"")</f>
        <v>0</v>
      </c>
    </row>
    <row r="353" spans="1:15" ht="15" customHeight="1" x14ac:dyDescent="0.3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3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3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3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3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3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3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3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3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3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3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3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78"/>
    </row>
    <row r="366" spans="1:15" ht="15" customHeight="1" x14ac:dyDescent="0.3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3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3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3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3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3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3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3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3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3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3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3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3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78"/>
    </row>
    <row r="379" spans="1:15" ht="18" customHeight="1" x14ac:dyDescent="0.3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84">
        <f>IFERROR(O365+O378,"")</f>
        <v>0</v>
      </c>
    </row>
    <row r="380" spans="1:15" ht="15" customHeight="1" x14ac:dyDescent="0.3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3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3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3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3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3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3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3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3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3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3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3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3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78"/>
    </row>
    <row r="393" spans="1:15" ht="15" customHeight="1" x14ac:dyDescent="0.3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3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3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3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3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3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3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3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3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3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3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3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3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78"/>
    </row>
    <row r="406" spans="1:15" ht="18" customHeight="1" x14ac:dyDescent="0.3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84">
        <f>IFERROR(O392+O405,"")</f>
        <v>0</v>
      </c>
    </row>
    <row r="407" spans="1:15" ht="15" customHeight="1" x14ac:dyDescent="0.3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3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3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3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3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3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3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3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3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3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3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3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3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78"/>
    </row>
    <row r="420" spans="1:15" ht="15" customHeight="1" x14ac:dyDescent="0.3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3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3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3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3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3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3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3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3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3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3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3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3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78"/>
    </row>
    <row r="433" spans="1:15" ht="18" customHeight="1" x14ac:dyDescent="0.3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84">
        <f>IFERROR(O419+O432,"")</f>
        <v>0</v>
      </c>
    </row>
    <row r="434" spans="1:15" ht="15" customHeight="1" x14ac:dyDescent="0.3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3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3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3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3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3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3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3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3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3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3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3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78"/>
    </row>
    <row r="447" spans="1:15" ht="15" customHeight="1" x14ac:dyDescent="0.3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3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3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3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3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3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3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3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3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3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3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3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3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78"/>
    </row>
    <row r="460" spans="1:15" ht="18" customHeight="1" x14ac:dyDescent="0.3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84">
        <f>IFERROR(O446+O459,"")</f>
        <v>0</v>
      </c>
    </row>
    <row r="461" spans="1:15" ht="15" customHeight="1" x14ac:dyDescent="0.3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3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3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 x14ac:dyDescent="0.3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3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 x14ac:dyDescent="0.3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 x14ac:dyDescent="0.3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3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3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3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3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3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3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78"/>
    </row>
    <row r="474" spans="1:15" ht="15" customHeight="1" x14ac:dyDescent="0.3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 x14ac:dyDescent="0.3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3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3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3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3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3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3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3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3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3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3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3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78"/>
    </row>
    <row r="487" spans="1:15" ht="18" customHeight="1" x14ac:dyDescent="0.3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84">
        <f>IFERROR(O473+O486,"")</f>
        <v>0</v>
      </c>
    </row>
    <row r="488" spans="1:15" ht="15" customHeight="1" x14ac:dyDescent="0.3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3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3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3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3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3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3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3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3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3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3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3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3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78"/>
    </row>
    <row r="501" spans="1:15" ht="15" customHeight="1" x14ac:dyDescent="0.3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3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3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3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3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3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3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3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3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3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3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3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3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78"/>
    </row>
    <row r="514" spans="1:15" ht="18" customHeight="1" x14ac:dyDescent="0.3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84">
        <f>IFERROR(O500+O513,"")</f>
        <v>0</v>
      </c>
    </row>
    <row r="515" spans="1:15" ht="15" customHeight="1" x14ac:dyDescent="0.3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3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3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3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3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3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3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3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3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3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3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3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3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78"/>
    </row>
    <row r="528" spans="1:15" ht="15" customHeight="1" x14ac:dyDescent="0.3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3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3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3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3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3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3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3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3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3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3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3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3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78"/>
    </row>
    <row r="541" spans="1:15" ht="18" customHeight="1" x14ac:dyDescent="0.3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84">
        <f>IFERROR(O527+O540,"")</f>
        <v>0</v>
      </c>
    </row>
    <row r="542" spans="1:15" ht="15" customHeight="1" x14ac:dyDescent="0.3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3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3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3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3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3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3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3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3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3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3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3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3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78"/>
    </row>
    <row r="555" spans="1:15" ht="15" customHeight="1" x14ac:dyDescent="0.3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3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3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3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3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3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3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3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3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3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3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3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3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78"/>
    </row>
    <row r="568" spans="1:15" ht="18" customHeight="1" x14ac:dyDescent="0.3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84">
        <f>IFERROR(O554+O567,"")</f>
        <v>0</v>
      </c>
    </row>
    <row r="569" spans="1:15" ht="15" customHeight="1" x14ac:dyDescent="0.3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3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3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3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3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3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3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3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3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3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3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3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3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78"/>
    </row>
    <row r="582" spans="1:15" ht="15" customHeight="1" x14ac:dyDescent="0.3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3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3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3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3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3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3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3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3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3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3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3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3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78"/>
    </row>
    <row r="595" spans="1:15" ht="18" customHeight="1" x14ac:dyDescent="0.3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84">
        <f>IFERROR(O581+O594,"")</f>
        <v>0</v>
      </c>
    </row>
    <row r="596" spans="1:15" ht="15" customHeight="1" x14ac:dyDescent="0.3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3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3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3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3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3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3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3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3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3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3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3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3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78"/>
    </row>
    <row r="609" spans="1:15" ht="15" customHeight="1" x14ac:dyDescent="0.3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3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3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3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3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3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3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3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3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3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3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3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3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78"/>
    </row>
    <row r="622" spans="1:15" ht="18" customHeight="1" x14ac:dyDescent="0.3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84">
        <f>O608+O621</f>
        <v>0</v>
      </c>
    </row>
    <row r="623" spans="1:15" ht="15" customHeight="1" x14ac:dyDescent="0.3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3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3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3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3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3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3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3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3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3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3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3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3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78"/>
    </row>
    <row r="636" spans="1:15" ht="15" customHeight="1" x14ac:dyDescent="0.3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3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3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3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3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3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3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3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3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3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3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3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3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78"/>
    </row>
    <row r="649" spans="1:15" ht="18" customHeight="1" x14ac:dyDescent="0.3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84">
        <f>O635+O648</f>
        <v>0</v>
      </c>
    </row>
    <row r="650" spans="1:15" ht="15" customHeight="1" x14ac:dyDescent="0.3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3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3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3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3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3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3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3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3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3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3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3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3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78"/>
    </row>
    <row r="663" spans="1:15" ht="15" customHeight="1" x14ac:dyDescent="0.3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3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3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3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3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3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3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3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3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3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3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3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3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78"/>
    </row>
    <row r="676" spans="1:15" ht="18" customHeight="1" x14ac:dyDescent="0.3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84">
        <f>IFERROR(O662+O675,"")</f>
        <v>0</v>
      </c>
    </row>
    <row r="677" spans="1:15" ht="15" customHeight="1" x14ac:dyDescent="0.3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3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 x14ac:dyDescent="0.3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3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 x14ac:dyDescent="0.3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3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 x14ac:dyDescent="0.3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3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3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3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3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3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3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78"/>
    </row>
    <row r="690" spans="1:15" ht="15" customHeight="1" x14ac:dyDescent="0.3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3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3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3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3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3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3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3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3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3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3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3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3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78"/>
    </row>
    <row r="703" spans="1:15" ht="18" customHeight="1" x14ac:dyDescent="0.3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84">
        <f>IFERROR(O689+O702,"")</f>
        <v>0</v>
      </c>
    </row>
    <row r="704" spans="1:15" ht="15" customHeight="1" x14ac:dyDescent="0.3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3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3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3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3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3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3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3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3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3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3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3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3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78"/>
    </row>
    <row r="717" spans="1:15" ht="15" customHeight="1" x14ac:dyDescent="0.3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3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3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3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3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3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3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3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3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3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3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3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3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78"/>
    </row>
    <row r="730" spans="1:15" ht="18" customHeight="1" x14ac:dyDescent="0.3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84">
        <f>IFERROR(O716+O729,"")</f>
        <v>0</v>
      </c>
    </row>
    <row r="731" spans="1:15" ht="15" customHeight="1" x14ac:dyDescent="0.3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3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3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3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3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3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3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3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3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3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3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3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3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78"/>
    </row>
    <row r="744" spans="1:15" ht="15" customHeight="1" x14ac:dyDescent="0.3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3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3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3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3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3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3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3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3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3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3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3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3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 x14ac:dyDescent="0.3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84">
        <f>IFERROR(O743+O756,"")</f>
        <v>0</v>
      </c>
    </row>
    <row r="758" spans="1:15" ht="15" customHeight="1" x14ac:dyDescent="0.3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3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3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3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3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3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3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3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3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3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3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3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3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78"/>
    </row>
    <row r="771" spans="1:15" ht="15" customHeight="1" x14ac:dyDescent="0.3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3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3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3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3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3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3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3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3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3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3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3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3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 x14ac:dyDescent="0.3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84">
        <f>IFERROR(O770+O783,"")</f>
        <v>0</v>
      </c>
    </row>
    <row r="785" spans="1:15" ht="15" customHeight="1" x14ac:dyDescent="0.3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3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3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3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3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3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3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3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3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3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3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3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3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78"/>
    </row>
    <row r="798" spans="1:15" ht="15" customHeight="1" x14ac:dyDescent="0.3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3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3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3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3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3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3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3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3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3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3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3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3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 x14ac:dyDescent="0.3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44" activePane="bottomLeft" state="frozen"/>
      <selection pane="bottomLeft" activeCell="F172" sqref="F172"/>
    </sheetView>
  </sheetViews>
  <sheetFormatPr defaultColWidth="8.5546875" defaultRowHeight="14.4" x14ac:dyDescent="0.3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546875" style="20" customWidth="1"/>
    <col min="9" max="9" width="30.44140625" style="20" customWidth="1"/>
    <col min="10" max="10" width="46.44140625" style="20" customWidth="1"/>
    <col min="11" max="11" width="12" style="20" customWidth="1"/>
    <col min="12" max="12" width="16.44140625" style="21" customWidth="1"/>
    <col min="13" max="13" width="14" style="20" customWidth="1"/>
    <col min="14" max="14" width="88.88671875" style="20" customWidth="1"/>
    <col min="15" max="15" width="14" customWidth="1"/>
  </cols>
  <sheetData>
    <row r="1" spans="1:15" ht="37.5" customHeight="1" x14ac:dyDescent="0.3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 x14ac:dyDescent="0.3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 x14ac:dyDescent="0.3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 x14ac:dyDescent="0.3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233</v>
      </c>
      <c r="O4" s="31"/>
    </row>
    <row r="5" spans="1:15" ht="15" customHeight="1" x14ac:dyDescent="0.3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 x14ac:dyDescent="0.3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234</v>
      </c>
      <c r="O6" s="31"/>
    </row>
    <row r="7" spans="1:15" ht="15" customHeight="1" x14ac:dyDescent="0.3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 x14ac:dyDescent="0.3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 x14ac:dyDescent="0.3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 x14ac:dyDescent="0.3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 x14ac:dyDescent="0.3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 x14ac:dyDescent="0.3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 x14ac:dyDescent="0.3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 x14ac:dyDescent="0.3">
      <c r="A14" s="87" t="s">
        <v>207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208</v>
      </c>
      <c r="O14" s="39">
        <v>292530</v>
      </c>
    </row>
    <row r="15" spans="1:15" ht="15" customHeight="1" x14ac:dyDescent="0.3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 x14ac:dyDescent="0.3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 x14ac:dyDescent="0.3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 x14ac:dyDescent="0.3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 x14ac:dyDescent="0.3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 x14ac:dyDescent="0.3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 x14ac:dyDescent="0.3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 x14ac:dyDescent="0.3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 x14ac:dyDescent="0.3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 x14ac:dyDescent="0.3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 x14ac:dyDescent="0.3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 x14ac:dyDescent="0.3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 x14ac:dyDescent="0.3">
      <c r="A27" s="87" t="s">
        <v>209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208</v>
      </c>
      <c r="O27" s="39">
        <v>308500</v>
      </c>
    </row>
    <row r="28" spans="1:15" ht="18" customHeight="1" x14ac:dyDescent="0.3">
      <c r="A28" s="90" t="s">
        <v>210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211</v>
      </c>
      <c r="O28" s="43">
        <f>IFERROR(O14+O27,"")</f>
        <v>601030</v>
      </c>
    </row>
    <row r="29" spans="1:15" ht="15" customHeight="1" x14ac:dyDescent="0.3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235</v>
      </c>
      <c r="O29" s="31"/>
    </row>
    <row r="30" spans="1:15" ht="15" customHeight="1" x14ac:dyDescent="0.3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 x14ac:dyDescent="0.3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3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208</v>
      </c>
      <c r="O41" s="39">
        <v>205590</v>
      </c>
    </row>
    <row r="42" spans="1:15" ht="15" customHeight="1" x14ac:dyDescent="0.3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 x14ac:dyDescent="0.3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 x14ac:dyDescent="0.3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3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3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3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3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3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3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3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3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3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3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39">
        <v>124290</v>
      </c>
    </row>
    <row r="55" spans="1:15" ht="18" customHeight="1" x14ac:dyDescent="0.3">
      <c r="A55" s="90" t="s">
        <v>210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211</v>
      </c>
      <c r="O55" s="43">
        <f>IFERROR(O41+O54,"")</f>
        <v>329880</v>
      </c>
    </row>
    <row r="56" spans="1:15" ht="15" customHeight="1" x14ac:dyDescent="0.3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 x14ac:dyDescent="0.3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 x14ac:dyDescent="0.3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 x14ac:dyDescent="0.3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236</v>
      </c>
      <c r="O59" s="31"/>
    </row>
    <row r="60" spans="1:15" ht="15" customHeight="1" x14ac:dyDescent="0.3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3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3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3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208</v>
      </c>
      <c r="O68" s="39">
        <v>441440</v>
      </c>
    </row>
    <row r="69" spans="1:15" ht="15" customHeight="1" x14ac:dyDescent="0.3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237</v>
      </c>
      <c r="O69" s="31"/>
    </row>
    <row r="70" spans="1:15" ht="15" customHeight="1" x14ac:dyDescent="0.3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 x14ac:dyDescent="0.3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3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3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3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208</v>
      </c>
      <c r="O81" s="39">
        <v>396340</v>
      </c>
    </row>
    <row r="82" spans="1:15" ht="18" customHeight="1" x14ac:dyDescent="0.3">
      <c r="A82" s="90" t="s">
        <v>210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211</v>
      </c>
      <c r="O82" s="43">
        <f>IFERROR(O68+O81,"")</f>
        <v>837780</v>
      </c>
    </row>
    <row r="83" spans="1:15" ht="15" customHeight="1" x14ac:dyDescent="0.3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 x14ac:dyDescent="0.3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 x14ac:dyDescent="0.3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3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3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238</v>
      </c>
      <c r="O88" s="31"/>
    </row>
    <row r="89" spans="1:15" ht="15" customHeight="1" x14ac:dyDescent="0.3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208</v>
      </c>
      <c r="O95" s="39">
        <v>536290</v>
      </c>
    </row>
    <row r="96" spans="1:15" ht="15" customHeight="1" x14ac:dyDescent="0.3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 x14ac:dyDescent="0.3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3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3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3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3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208</v>
      </c>
      <c r="O108" s="39">
        <v>41230</v>
      </c>
    </row>
    <row r="109" spans="1:15" ht="18" customHeight="1" x14ac:dyDescent="0.3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211</v>
      </c>
      <c r="O109" s="43">
        <f>IFERROR(O95+O108,"")</f>
        <v>577520</v>
      </c>
    </row>
    <row r="110" spans="1:15" ht="15" customHeight="1" x14ac:dyDescent="0.3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 x14ac:dyDescent="0.3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208</v>
      </c>
      <c r="O122" s="39">
        <v>51130</v>
      </c>
    </row>
    <row r="123" spans="1:15" ht="15" customHeight="1" x14ac:dyDescent="0.3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 x14ac:dyDescent="0.3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 x14ac:dyDescent="0.3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3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3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3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3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31"/>
    </row>
    <row r="130" spans="1:15" ht="15" customHeight="1" x14ac:dyDescent="0.3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3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3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208</v>
      </c>
      <c r="O135" s="39">
        <v>381250</v>
      </c>
    </row>
    <row r="136" spans="1:15" ht="18" customHeight="1" x14ac:dyDescent="0.3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211</v>
      </c>
      <c r="O136" s="43">
        <f>IFERROR(O122+O135,"")</f>
        <v>432380</v>
      </c>
    </row>
    <row r="137" spans="1:15" ht="15" customHeight="1" x14ac:dyDescent="0.3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 x14ac:dyDescent="0.3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 x14ac:dyDescent="0.3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 x14ac:dyDescent="0.3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 x14ac:dyDescent="0.3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239</v>
      </c>
      <c r="M141" s="35" t="str">
        <f t="shared" ca="1" si="31"/>
        <v/>
      </c>
      <c r="N141" s="27"/>
      <c r="O141" s="31"/>
    </row>
    <row r="142" spans="1:15" ht="15" customHeight="1" x14ac:dyDescent="0.3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208</v>
      </c>
      <c r="O149" s="39">
        <v>584680</v>
      </c>
    </row>
    <row r="150" spans="1:15" ht="15" customHeight="1" x14ac:dyDescent="0.3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240</v>
      </c>
      <c r="O150" s="31"/>
    </row>
    <row r="151" spans="1:15" ht="15" customHeight="1" x14ac:dyDescent="0.3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3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 x14ac:dyDescent="0.3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3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208</v>
      </c>
      <c r="O162" s="39">
        <v>337120</v>
      </c>
    </row>
    <row r="163" spans="1:15" ht="18" customHeight="1" x14ac:dyDescent="0.3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211</v>
      </c>
      <c r="O163" s="43">
        <f>IFERROR(O149+O162,"")</f>
        <v>921800</v>
      </c>
    </row>
    <row r="164" spans="1:15" ht="15" customHeight="1" x14ac:dyDescent="0.3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 x14ac:dyDescent="0.3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 x14ac:dyDescent="0.3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121</v>
      </c>
      <c r="K166" s="29">
        <v>0.45694444444444443</v>
      </c>
      <c r="L166" s="29">
        <v>0.47222222222222221</v>
      </c>
      <c r="M166" s="30" t="s">
        <v>241</v>
      </c>
      <c r="N166" s="27" t="s">
        <v>242</v>
      </c>
      <c r="O166" s="31"/>
    </row>
    <row r="167" spans="1:15" ht="15" customHeight="1" x14ac:dyDescent="0.3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 x14ac:dyDescent="0.3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 x14ac:dyDescent="0.3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 x14ac:dyDescent="0.3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 x14ac:dyDescent="0.3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58</v>
      </c>
      <c r="G176" s="36">
        <f>SUM(G164:G175)</f>
        <v>246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208</v>
      </c>
      <c r="O176" s="39"/>
    </row>
    <row r="177" spans="1:15" ht="15" customHeight="1" x14ac:dyDescent="0.3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3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3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 x14ac:dyDescent="0.3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58</v>
      </c>
      <c r="G190" s="40">
        <f>G176+G189</f>
        <v>246</v>
      </c>
      <c r="H190" s="41"/>
      <c r="I190" s="41"/>
      <c r="J190" s="41"/>
      <c r="K190" s="41"/>
      <c r="L190" s="41"/>
      <c r="M190" s="42">
        <f ca="1">IFERROR(M176+M189,"")</f>
        <v>3.2638888888888939E-2</v>
      </c>
      <c r="N190" s="40" t="s">
        <v>211</v>
      </c>
      <c r="O190" s="43">
        <f>IFERROR(O176+O189,"")</f>
        <v>0</v>
      </c>
    </row>
    <row r="191" spans="1:15" ht="15" customHeight="1" x14ac:dyDescent="0.3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3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3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3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3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39"/>
    </row>
    <row r="204" spans="1:15" ht="15" customHeight="1" x14ac:dyDescent="0.3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 x14ac:dyDescent="0.3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 x14ac:dyDescent="0.3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 x14ac:dyDescent="0.3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 x14ac:dyDescent="0.3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 x14ac:dyDescent="0.3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 x14ac:dyDescent="0.3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 x14ac:dyDescent="0.3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 x14ac:dyDescent="0.3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 x14ac:dyDescent="0.3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 x14ac:dyDescent="0.3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 x14ac:dyDescent="0.3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 x14ac:dyDescent="0.3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39"/>
    </row>
    <row r="217" spans="1:15" ht="18" customHeight="1" x14ac:dyDescent="0.3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 x14ac:dyDescent="0.3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 x14ac:dyDescent="0.3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 x14ac:dyDescent="0.3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 x14ac:dyDescent="0.3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 x14ac:dyDescent="0.3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 x14ac:dyDescent="0.3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 x14ac:dyDescent="0.3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 x14ac:dyDescent="0.3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 x14ac:dyDescent="0.3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 x14ac:dyDescent="0.3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 x14ac:dyDescent="0.3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 x14ac:dyDescent="0.3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 x14ac:dyDescent="0.3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 x14ac:dyDescent="0.3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 x14ac:dyDescent="0.3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 x14ac:dyDescent="0.3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 x14ac:dyDescent="0.3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 x14ac:dyDescent="0.3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 x14ac:dyDescent="0.3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 x14ac:dyDescent="0.3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 x14ac:dyDescent="0.3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 x14ac:dyDescent="0.3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 x14ac:dyDescent="0.3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 x14ac:dyDescent="0.3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 x14ac:dyDescent="0.3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 x14ac:dyDescent="0.3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 x14ac:dyDescent="0.3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 x14ac:dyDescent="0.3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 x14ac:dyDescent="0.3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 x14ac:dyDescent="0.3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 x14ac:dyDescent="0.3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 x14ac:dyDescent="0.3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 x14ac:dyDescent="0.3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 x14ac:dyDescent="0.3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 x14ac:dyDescent="0.3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 x14ac:dyDescent="0.3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 x14ac:dyDescent="0.3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 x14ac:dyDescent="0.3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 x14ac:dyDescent="0.3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 x14ac:dyDescent="0.3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 x14ac:dyDescent="0.3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 x14ac:dyDescent="0.3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 x14ac:dyDescent="0.3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3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 x14ac:dyDescent="0.3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3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 x14ac:dyDescent="0.3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 x14ac:dyDescent="0.3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 x14ac:dyDescent="0.3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 x14ac:dyDescent="0.3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 x14ac:dyDescent="0.3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 x14ac:dyDescent="0.3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 x14ac:dyDescent="0.3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 x14ac:dyDescent="0.3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 x14ac:dyDescent="0.3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 x14ac:dyDescent="0.3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 x14ac:dyDescent="0.3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 x14ac:dyDescent="0.3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 x14ac:dyDescent="0.3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 x14ac:dyDescent="0.3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 x14ac:dyDescent="0.3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 x14ac:dyDescent="0.3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 x14ac:dyDescent="0.3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 x14ac:dyDescent="0.3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 x14ac:dyDescent="0.3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 x14ac:dyDescent="0.3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 x14ac:dyDescent="0.3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 x14ac:dyDescent="0.3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 x14ac:dyDescent="0.3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 x14ac:dyDescent="0.3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 x14ac:dyDescent="0.3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 x14ac:dyDescent="0.3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 x14ac:dyDescent="0.3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 x14ac:dyDescent="0.3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 x14ac:dyDescent="0.3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 x14ac:dyDescent="0.3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 x14ac:dyDescent="0.3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 x14ac:dyDescent="0.3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 x14ac:dyDescent="0.3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 x14ac:dyDescent="0.3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 x14ac:dyDescent="0.3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 x14ac:dyDescent="0.3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 x14ac:dyDescent="0.3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 x14ac:dyDescent="0.3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 x14ac:dyDescent="0.3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 x14ac:dyDescent="0.3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 x14ac:dyDescent="0.3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 x14ac:dyDescent="0.3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 x14ac:dyDescent="0.3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 x14ac:dyDescent="0.3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 x14ac:dyDescent="0.3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 x14ac:dyDescent="0.3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 x14ac:dyDescent="0.3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 x14ac:dyDescent="0.3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 x14ac:dyDescent="0.3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 x14ac:dyDescent="0.3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 x14ac:dyDescent="0.3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 x14ac:dyDescent="0.3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 x14ac:dyDescent="0.3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 x14ac:dyDescent="0.3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 x14ac:dyDescent="0.3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 x14ac:dyDescent="0.3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 x14ac:dyDescent="0.3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 x14ac:dyDescent="0.3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 x14ac:dyDescent="0.3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 x14ac:dyDescent="0.3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 x14ac:dyDescent="0.3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 x14ac:dyDescent="0.3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 x14ac:dyDescent="0.3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 x14ac:dyDescent="0.3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 x14ac:dyDescent="0.3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 x14ac:dyDescent="0.3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 x14ac:dyDescent="0.3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 x14ac:dyDescent="0.3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 x14ac:dyDescent="0.3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 x14ac:dyDescent="0.3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 x14ac:dyDescent="0.3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 x14ac:dyDescent="0.3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 x14ac:dyDescent="0.3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 x14ac:dyDescent="0.3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 x14ac:dyDescent="0.3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 x14ac:dyDescent="0.3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 x14ac:dyDescent="0.3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 x14ac:dyDescent="0.3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 x14ac:dyDescent="0.3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 x14ac:dyDescent="0.3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 x14ac:dyDescent="0.3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 x14ac:dyDescent="0.3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 x14ac:dyDescent="0.3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 x14ac:dyDescent="0.3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 x14ac:dyDescent="0.3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 x14ac:dyDescent="0.3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 x14ac:dyDescent="0.3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 x14ac:dyDescent="0.3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 x14ac:dyDescent="0.3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 x14ac:dyDescent="0.3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 x14ac:dyDescent="0.3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 x14ac:dyDescent="0.3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 x14ac:dyDescent="0.3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 x14ac:dyDescent="0.3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 x14ac:dyDescent="0.3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 x14ac:dyDescent="0.3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3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3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 x14ac:dyDescent="0.3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 x14ac:dyDescent="0.3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 x14ac:dyDescent="0.3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 x14ac:dyDescent="0.3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 x14ac:dyDescent="0.3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 x14ac:dyDescent="0.3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 x14ac:dyDescent="0.3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 x14ac:dyDescent="0.3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 x14ac:dyDescent="0.3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 x14ac:dyDescent="0.3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 x14ac:dyDescent="0.3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 x14ac:dyDescent="0.3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 x14ac:dyDescent="0.3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 x14ac:dyDescent="0.3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 x14ac:dyDescent="0.3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 x14ac:dyDescent="0.3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 x14ac:dyDescent="0.3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 x14ac:dyDescent="0.3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 x14ac:dyDescent="0.3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 x14ac:dyDescent="0.3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 x14ac:dyDescent="0.3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 x14ac:dyDescent="0.3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 x14ac:dyDescent="0.3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 x14ac:dyDescent="0.3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 x14ac:dyDescent="0.3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 x14ac:dyDescent="0.3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 x14ac:dyDescent="0.3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 x14ac:dyDescent="0.3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 x14ac:dyDescent="0.3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 x14ac:dyDescent="0.3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 x14ac:dyDescent="0.3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 x14ac:dyDescent="0.3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 x14ac:dyDescent="0.3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 x14ac:dyDescent="0.3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 x14ac:dyDescent="0.3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 x14ac:dyDescent="0.3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 x14ac:dyDescent="0.3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 x14ac:dyDescent="0.3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 x14ac:dyDescent="0.3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 x14ac:dyDescent="0.3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 x14ac:dyDescent="0.3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 x14ac:dyDescent="0.3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 x14ac:dyDescent="0.3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 x14ac:dyDescent="0.3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 x14ac:dyDescent="0.3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 x14ac:dyDescent="0.3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 x14ac:dyDescent="0.3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 x14ac:dyDescent="0.3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 x14ac:dyDescent="0.3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 x14ac:dyDescent="0.3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 x14ac:dyDescent="0.3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 x14ac:dyDescent="0.3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 x14ac:dyDescent="0.3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 x14ac:dyDescent="0.3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 x14ac:dyDescent="0.3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 x14ac:dyDescent="0.3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 x14ac:dyDescent="0.3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 x14ac:dyDescent="0.3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 x14ac:dyDescent="0.3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 x14ac:dyDescent="0.3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 x14ac:dyDescent="0.3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 x14ac:dyDescent="0.3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 x14ac:dyDescent="0.3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 x14ac:dyDescent="0.3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 x14ac:dyDescent="0.3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 x14ac:dyDescent="0.3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 x14ac:dyDescent="0.3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 x14ac:dyDescent="0.3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 x14ac:dyDescent="0.3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 x14ac:dyDescent="0.3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 x14ac:dyDescent="0.3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 x14ac:dyDescent="0.3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 x14ac:dyDescent="0.3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 x14ac:dyDescent="0.3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 x14ac:dyDescent="0.3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 x14ac:dyDescent="0.3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 x14ac:dyDescent="0.3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 x14ac:dyDescent="0.3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 x14ac:dyDescent="0.3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 x14ac:dyDescent="0.3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 x14ac:dyDescent="0.3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 x14ac:dyDescent="0.3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 x14ac:dyDescent="0.3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 x14ac:dyDescent="0.3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 x14ac:dyDescent="0.3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 x14ac:dyDescent="0.3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 x14ac:dyDescent="0.3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 x14ac:dyDescent="0.3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 x14ac:dyDescent="0.3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 x14ac:dyDescent="0.3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 x14ac:dyDescent="0.3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 x14ac:dyDescent="0.3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 x14ac:dyDescent="0.3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 x14ac:dyDescent="0.3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 x14ac:dyDescent="0.3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 x14ac:dyDescent="0.3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 x14ac:dyDescent="0.3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 x14ac:dyDescent="0.3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 x14ac:dyDescent="0.3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 x14ac:dyDescent="0.3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 x14ac:dyDescent="0.3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 x14ac:dyDescent="0.3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 x14ac:dyDescent="0.3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 x14ac:dyDescent="0.3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 x14ac:dyDescent="0.3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 x14ac:dyDescent="0.3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 x14ac:dyDescent="0.3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 x14ac:dyDescent="0.3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 x14ac:dyDescent="0.3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 x14ac:dyDescent="0.3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 x14ac:dyDescent="0.3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 x14ac:dyDescent="0.3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 x14ac:dyDescent="0.3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 x14ac:dyDescent="0.3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 x14ac:dyDescent="0.3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 x14ac:dyDescent="0.3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 x14ac:dyDescent="0.3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 x14ac:dyDescent="0.3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 x14ac:dyDescent="0.3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 x14ac:dyDescent="0.3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 x14ac:dyDescent="0.3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 x14ac:dyDescent="0.3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 x14ac:dyDescent="0.3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 x14ac:dyDescent="0.3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 x14ac:dyDescent="0.3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 x14ac:dyDescent="0.3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 x14ac:dyDescent="0.3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 x14ac:dyDescent="0.3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 x14ac:dyDescent="0.3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 x14ac:dyDescent="0.3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 x14ac:dyDescent="0.3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 x14ac:dyDescent="0.3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 x14ac:dyDescent="0.3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 x14ac:dyDescent="0.3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 x14ac:dyDescent="0.3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 x14ac:dyDescent="0.3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 x14ac:dyDescent="0.3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 x14ac:dyDescent="0.3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 x14ac:dyDescent="0.3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 x14ac:dyDescent="0.3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 x14ac:dyDescent="0.3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 x14ac:dyDescent="0.3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 x14ac:dyDescent="0.3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 x14ac:dyDescent="0.3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 x14ac:dyDescent="0.3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 x14ac:dyDescent="0.3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 x14ac:dyDescent="0.3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 x14ac:dyDescent="0.3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 x14ac:dyDescent="0.3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 x14ac:dyDescent="0.3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 x14ac:dyDescent="0.3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 x14ac:dyDescent="0.3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 x14ac:dyDescent="0.3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 x14ac:dyDescent="0.3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 x14ac:dyDescent="0.3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 x14ac:dyDescent="0.3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 x14ac:dyDescent="0.3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 x14ac:dyDescent="0.3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 x14ac:dyDescent="0.3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 x14ac:dyDescent="0.3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 x14ac:dyDescent="0.3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 x14ac:dyDescent="0.3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 x14ac:dyDescent="0.3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 x14ac:dyDescent="0.3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 x14ac:dyDescent="0.3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 x14ac:dyDescent="0.3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 x14ac:dyDescent="0.3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 x14ac:dyDescent="0.3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 x14ac:dyDescent="0.3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 x14ac:dyDescent="0.3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 x14ac:dyDescent="0.3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 x14ac:dyDescent="0.3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 x14ac:dyDescent="0.3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 x14ac:dyDescent="0.3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 x14ac:dyDescent="0.3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 x14ac:dyDescent="0.3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 x14ac:dyDescent="0.3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 x14ac:dyDescent="0.3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 x14ac:dyDescent="0.3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 x14ac:dyDescent="0.3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 x14ac:dyDescent="0.3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 x14ac:dyDescent="0.3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 x14ac:dyDescent="0.3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 x14ac:dyDescent="0.3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 x14ac:dyDescent="0.3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 x14ac:dyDescent="0.3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 x14ac:dyDescent="0.3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 x14ac:dyDescent="0.3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 x14ac:dyDescent="0.3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 x14ac:dyDescent="0.3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 x14ac:dyDescent="0.3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 x14ac:dyDescent="0.3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 x14ac:dyDescent="0.3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 x14ac:dyDescent="0.3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 x14ac:dyDescent="0.3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 x14ac:dyDescent="0.3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 x14ac:dyDescent="0.3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 x14ac:dyDescent="0.3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 x14ac:dyDescent="0.3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 x14ac:dyDescent="0.3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 x14ac:dyDescent="0.3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 x14ac:dyDescent="0.3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 x14ac:dyDescent="0.3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 x14ac:dyDescent="0.3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 x14ac:dyDescent="0.3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 x14ac:dyDescent="0.3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 x14ac:dyDescent="0.3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 x14ac:dyDescent="0.3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 x14ac:dyDescent="0.3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 x14ac:dyDescent="0.3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 x14ac:dyDescent="0.3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 x14ac:dyDescent="0.3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 x14ac:dyDescent="0.3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 x14ac:dyDescent="0.3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 x14ac:dyDescent="0.3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 x14ac:dyDescent="0.3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 x14ac:dyDescent="0.3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 x14ac:dyDescent="0.3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 x14ac:dyDescent="0.3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 x14ac:dyDescent="0.3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 x14ac:dyDescent="0.3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 x14ac:dyDescent="0.3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 x14ac:dyDescent="0.3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 x14ac:dyDescent="0.3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 x14ac:dyDescent="0.3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 x14ac:dyDescent="0.3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 x14ac:dyDescent="0.3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 x14ac:dyDescent="0.3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 x14ac:dyDescent="0.3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 x14ac:dyDescent="0.3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 x14ac:dyDescent="0.3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 x14ac:dyDescent="0.3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 x14ac:dyDescent="0.3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 x14ac:dyDescent="0.3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 x14ac:dyDescent="0.3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 x14ac:dyDescent="0.3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 x14ac:dyDescent="0.3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 x14ac:dyDescent="0.3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 x14ac:dyDescent="0.3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 x14ac:dyDescent="0.3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 x14ac:dyDescent="0.3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 x14ac:dyDescent="0.3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 x14ac:dyDescent="0.3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 x14ac:dyDescent="0.3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 x14ac:dyDescent="0.3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 x14ac:dyDescent="0.3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 x14ac:dyDescent="0.3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 x14ac:dyDescent="0.3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 x14ac:dyDescent="0.3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 x14ac:dyDescent="0.3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 x14ac:dyDescent="0.3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 x14ac:dyDescent="0.3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 x14ac:dyDescent="0.3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 x14ac:dyDescent="0.3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 x14ac:dyDescent="0.3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 x14ac:dyDescent="0.3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 x14ac:dyDescent="0.3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 x14ac:dyDescent="0.3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 x14ac:dyDescent="0.3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 x14ac:dyDescent="0.3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 x14ac:dyDescent="0.3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 x14ac:dyDescent="0.3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 x14ac:dyDescent="0.3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 x14ac:dyDescent="0.3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 x14ac:dyDescent="0.3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 x14ac:dyDescent="0.3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 x14ac:dyDescent="0.3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 x14ac:dyDescent="0.3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 x14ac:dyDescent="0.3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 x14ac:dyDescent="0.3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 x14ac:dyDescent="0.3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 x14ac:dyDescent="0.3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 x14ac:dyDescent="0.3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 x14ac:dyDescent="0.3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 x14ac:dyDescent="0.3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 x14ac:dyDescent="0.3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 x14ac:dyDescent="0.3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 x14ac:dyDescent="0.3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 x14ac:dyDescent="0.3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 x14ac:dyDescent="0.3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 x14ac:dyDescent="0.3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 x14ac:dyDescent="0.3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 x14ac:dyDescent="0.3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 x14ac:dyDescent="0.3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 x14ac:dyDescent="0.3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 x14ac:dyDescent="0.3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 x14ac:dyDescent="0.3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 x14ac:dyDescent="0.3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 x14ac:dyDescent="0.3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 x14ac:dyDescent="0.3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 x14ac:dyDescent="0.3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 x14ac:dyDescent="0.3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 x14ac:dyDescent="0.3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 x14ac:dyDescent="0.3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 x14ac:dyDescent="0.3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 x14ac:dyDescent="0.3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 x14ac:dyDescent="0.3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 x14ac:dyDescent="0.3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 x14ac:dyDescent="0.3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 x14ac:dyDescent="0.3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 x14ac:dyDescent="0.3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 x14ac:dyDescent="0.3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 x14ac:dyDescent="0.3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 x14ac:dyDescent="0.3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 x14ac:dyDescent="0.3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 x14ac:dyDescent="0.3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 x14ac:dyDescent="0.3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 x14ac:dyDescent="0.3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 x14ac:dyDescent="0.3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 x14ac:dyDescent="0.3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 x14ac:dyDescent="0.3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 x14ac:dyDescent="0.3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 x14ac:dyDescent="0.3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 x14ac:dyDescent="0.3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 x14ac:dyDescent="0.3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 x14ac:dyDescent="0.3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 x14ac:dyDescent="0.3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 x14ac:dyDescent="0.3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 x14ac:dyDescent="0.3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 x14ac:dyDescent="0.3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 x14ac:dyDescent="0.3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 x14ac:dyDescent="0.3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 x14ac:dyDescent="0.3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 x14ac:dyDescent="0.3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 x14ac:dyDescent="0.3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 x14ac:dyDescent="0.3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 x14ac:dyDescent="0.3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 x14ac:dyDescent="0.3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 x14ac:dyDescent="0.3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 x14ac:dyDescent="0.3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 x14ac:dyDescent="0.3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 x14ac:dyDescent="0.3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 x14ac:dyDescent="0.3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 x14ac:dyDescent="0.3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 x14ac:dyDescent="0.3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 x14ac:dyDescent="0.3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 x14ac:dyDescent="0.3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 x14ac:dyDescent="0.3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 x14ac:dyDescent="0.3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 x14ac:dyDescent="0.3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 x14ac:dyDescent="0.3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 x14ac:dyDescent="0.3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 x14ac:dyDescent="0.3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 x14ac:dyDescent="0.3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 x14ac:dyDescent="0.3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 x14ac:dyDescent="0.3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 x14ac:dyDescent="0.3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 x14ac:dyDescent="0.3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 x14ac:dyDescent="0.3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 x14ac:dyDescent="0.3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 x14ac:dyDescent="0.3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 x14ac:dyDescent="0.3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 x14ac:dyDescent="0.3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 x14ac:dyDescent="0.3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 x14ac:dyDescent="0.3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 x14ac:dyDescent="0.3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 x14ac:dyDescent="0.3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 x14ac:dyDescent="0.3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 x14ac:dyDescent="0.3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 x14ac:dyDescent="0.3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 x14ac:dyDescent="0.3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 x14ac:dyDescent="0.3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 x14ac:dyDescent="0.3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 x14ac:dyDescent="0.3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 x14ac:dyDescent="0.3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 x14ac:dyDescent="0.3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 x14ac:dyDescent="0.3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 x14ac:dyDescent="0.3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 x14ac:dyDescent="0.3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 x14ac:dyDescent="0.3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 x14ac:dyDescent="0.3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 x14ac:dyDescent="0.3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 x14ac:dyDescent="0.3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 x14ac:dyDescent="0.3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 x14ac:dyDescent="0.3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 x14ac:dyDescent="0.3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 x14ac:dyDescent="0.3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 x14ac:dyDescent="0.3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 x14ac:dyDescent="0.3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 x14ac:dyDescent="0.3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 x14ac:dyDescent="0.3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 x14ac:dyDescent="0.3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 x14ac:dyDescent="0.3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 x14ac:dyDescent="0.3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 x14ac:dyDescent="0.3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 x14ac:dyDescent="0.3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 x14ac:dyDescent="0.3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 x14ac:dyDescent="0.3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 x14ac:dyDescent="0.3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 x14ac:dyDescent="0.3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 x14ac:dyDescent="0.3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 x14ac:dyDescent="0.3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 x14ac:dyDescent="0.3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 x14ac:dyDescent="0.3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 x14ac:dyDescent="0.3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 x14ac:dyDescent="0.3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 x14ac:dyDescent="0.3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 x14ac:dyDescent="0.3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 x14ac:dyDescent="0.3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 x14ac:dyDescent="0.3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 x14ac:dyDescent="0.3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 x14ac:dyDescent="0.3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 x14ac:dyDescent="0.3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 x14ac:dyDescent="0.3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 x14ac:dyDescent="0.3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 x14ac:dyDescent="0.3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 x14ac:dyDescent="0.3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 x14ac:dyDescent="0.3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 x14ac:dyDescent="0.3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 x14ac:dyDescent="0.3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 x14ac:dyDescent="0.3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 x14ac:dyDescent="0.3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 x14ac:dyDescent="0.3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 x14ac:dyDescent="0.3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 x14ac:dyDescent="0.3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 x14ac:dyDescent="0.3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 x14ac:dyDescent="0.3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 x14ac:dyDescent="0.3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 x14ac:dyDescent="0.3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 x14ac:dyDescent="0.3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 x14ac:dyDescent="0.3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 x14ac:dyDescent="0.3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 x14ac:dyDescent="0.3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 x14ac:dyDescent="0.3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 x14ac:dyDescent="0.3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 x14ac:dyDescent="0.3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 x14ac:dyDescent="0.3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 x14ac:dyDescent="0.3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 x14ac:dyDescent="0.3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 x14ac:dyDescent="0.3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 x14ac:dyDescent="0.3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 x14ac:dyDescent="0.3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 x14ac:dyDescent="0.3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 x14ac:dyDescent="0.3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 x14ac:dyDescent="0.3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 x14ac:dyDescent="0.3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 x14ac:dyDescent="0.3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 x14ac:dyDescent="0.3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 x14ac:dyDescent="0.3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 x14ac:dyDescent="0.3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 x14ac:dyDescent="0.3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 x14ac:dyDescent="0.3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 x14ac:dyDescent="0.3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 x14ac:dyDescent="0.3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 x14ac:dyDescent="0.3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 x14ac:dyDescent="0.3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 x14ac:dyDescent="0.3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20" activePane="bottomLeft" state="frozen"/>
      <selection pane="bottomLeft" activeCell="F137" sqref="F137:F139"/>
    </sheetView>
  </sheetViews>
  <sheetFormatPr defaultColWidth="8.5546875" defaultRowHeight="14.4" x14ac:dyDescent="0.3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09375" style="57" customWidth="1"/>
    <col min="10" max="10" width="52.109375" style="57" customWidth="1"/>
    <col min="11" max="11" width="18.44140625" style="57" customWidth="1"/>
    <col min="12" max="12" width="14" style="58" customWidth="1"/>
    <col min="13" max="13" width="14" style="57" customWidth="1"/>
    <col min="14" max="14" width="43.5546875" style="57" customWidth="1"/>
    <col min="15" max="15" width="14" customWidth="1"/>
  </cols>
  <sheetData>
    <row r="1" spans="1:15" ht="37.5" customHeight="1" x14ac:dyDescent="0.3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 x14ac:dyDescent="0.3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243</v>
      </c>
      <c r="O2" s="60"/>
    </row>
    <row r="3" spans="1:15" ht="15" customHeight="1" x14ac:dyDescent="0.3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237</v>
      </c>
      <c r="O3" s="60"/>
    </row>
    <row r="4" spans="1:15" ht="15" customHeight="1" x14ac:dyDescent="0.3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 x14ac:dyDescent="0.3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 x14ac:dyDescent="0.3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 x14ac:dyDescent="0.3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 x14ac:dyDescent="0.3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 x14ac:dyDescent="0.3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 x14ac:dyDescent="0.3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 x14ac:dyDescent="0.3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 x14ac:dyDescent="0.3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 x14ac:dyDescent="0.3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 x14ac:dyDescent="0.3">
      <c r="A14" s="87" t="s">
        <v>207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208</v>
      </c>
      <c r="O14" s="39">
        <v>327070</v>
      </c>
    </row>
    <row r="15" spans="1:15" ht="15" customHeight="1" x14ac:dyDescent="0.3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 x14ac:dyDescent="0.3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244</v>
      </c>
      <c r="O16" s="60"/>
    </row>
    <row r="17" spans="1:15" ht="15" customHeight="1" x14ac:dyDescent="0.3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 x14ac:dyDescent="0.3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 x14ac:dyDescent="0.3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 x14ac:dyDescent="0.3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 x14ac:dyDescent="0.3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 x14ac:dyDescent="0.3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 x14ac:dyDescent="0.3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 x14ac:dyDescent="0.3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 x14ac:dyDescent="0.3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 x14ac:dyDescent="0.3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 x14ac:dyDescent="0.3">
      <c r="A27" s="87" t="s">
        <v>209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208</v>
      </c>
      <c r="O27" s="39">
        <v>202230</v>
      </c>
    </row>
    <row r="28" spans="1:15" ht="18" customHeight="1" x14ac:dyDescent="0.3">
      <c r="A28" s="90" t="s">
        <v>210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211</v>
      </c>
      <c r="O28" s="48">
        <f>IFERROR(O14+O27,"")</f>
        <v>529300</v>
      </c>
    </row>
    <row r="29" spans="1:15" ht="15" customHeight="1" x14ac:dyDescent="0.3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245</v>
      </c>
      <c r="O29" s="60"/>
    </row>
    <row r="30" spans="1:15" ht="15" customHeight="1" x14ac:dyDescent="0.3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 x14ac:dyDescent="0.3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 x14ac:dyDescent="0.3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 x14ac:dyDescent="0.3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 x14ac:dyDescent="0.3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246</v>
      </c>
      <c r="O34" s="60"/>
    </row>
    <row r="35" spans="1:15" ht="15" customHeight="1" x14ac:dyDescent="0.3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 x14ac:dyDescent="0.3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 x14ac:dyDescent="0.3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 x14ac:dyDescent="0.3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 x14ac:dyDescent="0.3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 x14ac:dyDescent="0.3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 x14ac:dyDescent="0.3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208</v>
      </c>
      <c r="O41" s="39">
        <v>304990</v>
      </c>
    </row>
    <row r="42" spans="1:15" ht="15" customHeight="1" x14ac:dyDescent="0.3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 x14ac:dyDescent="0.3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 x14ac:dyDescent="0.3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 x14ac:dyDescent="0.3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 x14ac:dyDescent="0.3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 x14ac:dyDescent="0.3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 x14ac:dyDescent="0.3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 x14ac:dyDescent="0.3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 x14ac:dyDescent="0.3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 x14ac:dyDescent="0.3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 x14ac:dyDescent="0.3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 x14ac:dyDescent="0.3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 x14ac:dyDescent="0.3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208</v>
      </c>
      <c r="O54" s="39">
        <v>473910</v>
      </c>
    </row>
    <row r="55" spans="1:15" ht="18" customHeight="1" x14ac:dyDescent="0.3">
      <c r="A55" s="90" t="s">
        <v>210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211</v>
      </c>
      <c r="O55" s="48">
        <f>IFERROR(O41+O54,"")</f>
        <v>778900</v>
      </c>
    </row>
    <row r="56" spans="1:15" ht="15" customHeight="1" x14ac:dyDescent="0.3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 x14ac:dyDescent="0.3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 x14ac:dyDescent="0.3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247</v>
      </c>
      <c r="L58" s="29">
        <v>0.54097222222222219</v>
      </c>
      <c r="M58" s="30" t="str">
        <f t="shared" ca="1" si="13"/>
        <v/>
      </c>
      <c r="N58" s="27" t="s">
        <v>248</v>
      </c>
      <c r="O58" s="60"/>
    </row>
    <row r="59" spans="1:15" ht="15" customHeight="1" x14ac:dyDescent="0.3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 x14ac:dyDescent="0.3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 x14ac:dyDescent="0.3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 x14ac:dyDescent="0.3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 x14ac:dyDescent="0.3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 x14ac:dyDescent="0.3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 x14ac:dyDescent="0.3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 x14ac:dyDescent="0.3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 x14ac:dyDescent="0.3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 x14ac:dyDescent="0.3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208</v>
      </c>
      <c r="O68" s="39">
        <v>763370</v>
      </c>
    </row>
    <row r="69" spans="1:15" ht="15" customHeight="1" x14ac:dyDescent="0.3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 x14ac:dyDescent="0.3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233</v>
      </c>
      <c r="O70" s="60"/>
    </row>
    <row r="71" spans="1:15" ht="15" customHeight="1" x14ac:dyDescent="0.3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 x14ac:dyDescent="0.3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249</v>
      </c>
      <c r="O72" s="60"/>
    </row>
    <row r="73" spans="1:15" ht="15" customHeight="1" x14ac:dyDescent="0.3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250</v>
      </c>
      <c r="O73" s="60"/>
    </row>
    <row r="74" spans="1:15" ht="15" customHeight="1" x14ac:dyDescent="0.3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251</v>
      </c>
      <c r="O74" s="60"/>
    </row>
    <row r="75" spans="1:15" ht="15" customHeight="1" x14ac:dyDescent="0.3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252</v>
      </c>
      <c r="O75" s="60"/>
    </row>
    <row r="76" spans="1:15" ht="15" customHeight="1" x14ac:dyDescent="0.3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 x14ac:dyDescent="0.3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 x14ac:dyDescent="0.3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 x14ac:dyDescent="0.3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 x14ac:dyDescent="0.3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 x14ac:dyDescent="0.3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208</v>
      </c>
      <c r="O81" s="39">
        <v>565120</v>
      </c>
    </row>
    <row r="82" spans="1:15" ht="18" customHeight="1" x14ac:dyDescent="0.3">
      <c r="A82" s="90" t="s">
        <v>210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211</v>
      </c>
      <c r="O82" s="48">
        <f>IFERROR(O68+O81,"")</f>
        <v>1328490</v>
      </c>
    </row>
    <row r="83" spans="1:15" ht="15" customHeight="1" x14ac:dyDescent="0.3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253</v>
      </c>
      <c r="O83" s="60"/>
    </row>
    <row r="84" spans="1:15" ht="15" customHeight="1" x14ac:dyDescent="0.3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 x14ac:dyDescent="0.3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 x14ac:dyDescent="0.3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 x14ac:dyDescent="0.3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 x14ac:dyDescent="0.3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 x14ac:dyDescent="0.3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 x14ac:dyDescent="0.3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 x14ac:dyDescent="0.3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 x14ac:dyDescent="0.3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 x14ac:dyDescent="0.3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 x14ac:dyDescent="0.3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 x14ac:dyDescent="0.3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208</v>
      </c>
      <c r="O95" s="39">
        <v>776910</v>
      </c>
    </row>
    <row r="96" spans="1:15" ht="15" customHeight="1" x14ac:dyDescent="0.3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 x14ac:dyDescent="0.3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 x14ac:dyDescent="0.3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 x14ac:dyDescent="0.3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 x14ac:dyDescent="0.3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 x14ac:dyDescent="0.3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 x14ac:dyDescent="0.3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 x14ac:dyDescent="0.3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 x14ac:dyDescent="0.3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 x14ac:dyDescent="0.3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 x14ac:dyDescent="0.3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 x14ac:dyDescent="0.3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 x14ac:dyDescent="0.3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208</v>
      </c>
      <c r="O108" s="39">
        <v>558590</v>
      </c>
    </row>
    <row r="109" spans="1:15" ht="18" customHeight="1" x14ac:dyDescent="0.3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211</v>
      </c>
      <c r="O109" s="48">
        <f>IFERROR(O95+O108,"")</f>
        <v>1335500</v>
      </c>
    </row>
    <row r="110" spans="1:15" ht="15" customHeight="1" x14ac:dyDescent="0.3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254</v>
      </c>
      <c r="O110" s="60"/>
    </row>
    <row r="111" spans="1:15" ht="15" customHeight="1" x14ac:dyDescent="0.3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 x14ac:dyDescent="0.3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 x14ac:dyDescent="0.3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 x14ac:dyDescent="0.3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 x14ac:dyDescent="0.3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 x14ac:dyDescent="0.3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 x14ac:dyDescent="0.3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 x14ac:dyDescent="0.3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 x14ac:dyDescent="0.3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 x14ac:dyDescent="0.3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 x14ac:dyDescent="0.3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 x14ac:dyDescent="0.3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208</v>
      </c>
      <c r="O122" s="39">
        <v>274450</v>
      </c>
    </row>
    <row r="123" spans="1:15" ht="15" customHeight="1" x14ac:dyDescent="0.3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 x14ac:dyDescent="0.3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255</v>
      </c>
      <c r="O124" s="60"/>
    </row>
    <row r="125" spans="1:15" ht="15" customHeight="1" x14ac:dyDescent="0.3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256</v>
      </c>
      <c r="O125" s="60"/>
    </row>
    <row r="126" spans="1:15" ht="15" customHeight="1" x14ac:dyDescent="0.3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 x14ac:dyDescent="0.3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 x14ac:dyDescent="0.3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0.43102696759160608</v>
      </c>
      <c r="N128" s="27"/>
      <c r="O128" s="60"/>
    </row>
    <row r="129" spans="1:18" ht="15" customHeight="1" x14ac:dyDescent="0.3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60"/>
    </row>
    <row r="130" spans="1:18" ht="15" customHeight="1" x14ac:dyDescent="0.3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 x14ac:dyDescent="0.3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 x14ac:dyDescent="0.3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 x14ac:dyDescent="0.3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 x14ac:dyDescent="0.3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 x14ac:dyDescent="0.3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0.63033252314716171</v>
      </c>
      <c r="N135" s="36" t="s">
        <v>208</v>
      </c>
      <c r="O135" s="39">
        <v>729290</v>
      </c>
    </row>
    <row r="136" spans="1:18" ht="18" customHeight="1" x14ac:dyDescent="0.3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0.99769363425827273</v>
      </c>
      <c r="N136" s="40" t="s">
        <v>211</v>
      </c>
      <c r="O136" s="48">
        <f>IFERROR(O122+O135,"")</f>
        <v>1003740</v>
      </c>
    </row>
    <row r="137" spans="1:18" ht="15" customHeight="1" x14ac:dyDescent="0.3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 x14ac:dyDescent="0.3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 x14ac:dyDescent="0.3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257</v>
      </c>
      <c r="O139" s="31"/>
    </row>
    <row r="140" spans="1:18" ht="15" customHeight="1" x14ac:dyDescent="0.3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 x14ac:dyDescent="0.3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 x14ac:dyDescent="0.3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 x14ac:dyDescent="0.3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 x14ac:dyDescent="0.3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208</v>
      </c>
      <c r="O149" s="39">
        <v>1058340</v>
      </c>
    </row>
    <row r="150" spans="1:15" ht="15" customHeight="1" x14ac:dyDescent="0.3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 x14ac:dyDescent="0.3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 x14ac:dyDescent="0.3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158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258</v>
      </c>
      <c r="O152" s="31"/>
    </row>
    <row r="153" spans="1:15" ht="15" customHeight="1" x14ac:dyDescent="0.3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 x14ac:dyDescent="0.3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208</v>
      </c>
      <c r="O162" s="39">
        <v>697320</v>
      </c>
    </row>
    <row r="163" spans="1:15" ht="18" customHeight="1" x14ac:dyDescent="0.3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211</v>
      </c>
      <c r="O163" s="43">
        <f>IFERROR(O149+O162,"")</f>
        <v>1755660</v>
      </c>
    </row>
    <row r="164" spans="1:15" ht="15" customHeight="1" x14ac:dyDescent="0.3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 x14ac:dyDescent="0.3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216</v>
      </c>
      <c r="F165" s="27">
        <v>20</v>
      </c>
      <c r="G165" s="34">
        <f t="shared" si="36"/>
        <v>84</v>
      </c>
      <c r="H165" s="33" t="s">
        <v>20</v>
      </c>
      <c r="I165" s="33"/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 x14ac:dyDescent="0.3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216</v>
      </c>
      <c r="F166" s="27">
        <v>10</v>
      </c>
      <c r="G166" s="28">
        <f t="shared" si="36"/>
        <v>42</v>
      </c>
      <c r="H166" s="26" t="s">
        <v>19</v>
      </c>
      <c r="I166" s="26" t="s">
        <v>132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 x14ac:dyDescent="0.3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216</v>
      </c>
      <c r="F167" s="27">
        <v>10</v>
      </c>
      <c r="G167" s="34">
        <f t="shared" si="36"/>
        <v>42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3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26</v>
      </c>
      <c r="G168" s="28">
        <f t="shared" si="36"/>
        <v>109.2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3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139</v>
      </c>
      <c r="G176" s="36">
        <f>SUM(G164:G175)</f>
        <v>594.20000000000005</v>
      </c>
      <c r="H176" s="37"/>
      <c r="I176" s="37"/>
      <c r="J176" s="37"/>
      <c r="K176" s="61"/>
      <c r="L176" s="61"/>
      <c r="M176" s="38">
        <f ca="1">IFERROR(SUM(M164:M175),"")</f>
        <v>3.5416666666666652E-2</v>
      </c>
      <c r="N176" s="36" t="s">
        <v>208</v>
      </c>
      <c r="O176" s="39"/>
    </row>
    <row r="177" spans="1:15" ht="15" customHeight="1" x14ac:dyDescent="0.3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3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3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208</v>
      </c>
      <c r="O189" s="39"/>
    </row>
    <row r="190" spans="1:15" ht="18" customHeight="1" x14ac:dyDescent="0.3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139</v>
      </c>
      <c r="G190" s="40">
        <f>G176+G189</f>
        <v>594.20000000000005</v>
      </c>
      <c r="H190" s="41"/>
      <c r="I190" s="41"/>
      <c r="J190" s="41"/>
      <c r="K190" s="63"/>
      <c r="L190" s="63"/>
      <c r="M190" s="42">
        <f ca="1">IFERROR(M176+M189,"")</f>
        <v>3.5416666666666652E-2</v>
      </c>
      <c r="N190" s="40" t="s">
        <v>211</v>
      </c>
      <c r="O190" s="43">
        <f>IFERROR(O176+O189,"")</f>
        <v>0</v>
      </c>
    </row>
    <row r="191" spans="1:15" ht="15" customHeight="1" x14ac:dyDescent="0.3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3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3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3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3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208</v>
      </c>
      <c r="O203" s="45"/>
    </row>
    <row r="204" spans="1:15" ht="15" customHeight="1" x14ac:dyDescent="0.3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 x14ac:dyDescent="0.3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 x14ac:dyDescent="0.3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 x14ac:dyDescent="0.3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 x14ac:dyDescent="0.3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 x14ac:dyDescent="0.3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 x14ac:dyDescent="0.3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 x14ac:dyDescent="0.3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 x14ac:dyDescent="0.3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 x14ac:dyDescent="0.3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 x14ac:dyDescent="0.3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 x14ac:dyDescent="0.3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 x14ac:dyDescent="0.3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208</v>
      </c>
      <c r="O216" s="45"/>
    </row>
    <row r="217" spans="1:15" ht="18" customHeight="1" x14ac:dyDescent="0.3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 x14ac:dyDescent="0.3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 x14ac:dyDescent="0.3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 x14ac:dyDescent="0.3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 x14ac:dyDescent="0.3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 x14ac:dyDescent="0.3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 x14ac:dyDescent="0.3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 x14ac:dyDescent="0.3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 x14ac:dyDescent="0.3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 x14ac:dyDescent="0.3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 x14ac:dyDescent="0.3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 x14ac:dyDescent="0.3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 x14ac:dyDescent="0.3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 x14ac:dyDescent="0.3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208</v>
      </c>
      <c r="O230" s="39"/>
    </row>
    <row r="231" spans="1:15" ht="15" customHeight="1" x14ac:dyDescent="0.3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 x14ac:dyDescent="0.3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 x14ac:dyDescent="0.3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 x14ac:dyDescent="0.3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 x14ac:dyDescent="0.3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 x14ac:dyDescent="0.3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 x14ac:dyDescent="0.3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 x14ac:dyDescent="0.3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 x14ac:dyDescent="0.3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 x14ac:dyDescent="0.3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 x14ac:dyDescent="0.3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 x14ac:dyDescent="0.3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 x14ac:dyDescent="0.3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208</v>
      </c>
      <c r="O243" s="39"/>
    </row>
    <row r="244" spans="1:15" ht="18" customHeight="1" x14ac:dyDescent="0.3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 x14ac:dyDescent="0.3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 x14ac:dyDescent="0.3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 x14ac:dyDescent="0.3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 x14ac:dyDescent="0.3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 x14ac:dyDescent="0.3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 x14ac:dyDescent="0.3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 x14ac:dyDescent="0.3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 x14ac:dyDescent="0.3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 x14ac:dyDescent="0.3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 x14ac:dyDescent="0.3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 x14ac:dyDescent="0.3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 x14ac:dyDescent="0.3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 x14ac:dyDescent="0.3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208</v>
      </c>
      <c r="O257" s="39"/>
    </row>
    <row r="258" spans="1:15" ht="15" customHeight="1" x14ac:dyDescent="0.3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 x14ac:dyDescent="0.3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 x14ac:dyDescent="0.3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 x14ac:dyDescent="0.3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 x14ac:dyDescent="0.3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 x14ac:dyDescent="0.3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 x14ac:dyDescent="0.3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 x14ac:dyDescent="0.3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 x14ac:dyDescent="0.3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 x14ac:dyDescent="0.3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 x14ac:dyDescent="0.3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 x14ac:dyDescent="0.3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 x14ac:dyDescent="0.3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208</v>
      </c>
      <c r="O270" s="39"/>
    </row>
    <row r="271" spans="1:15" ht="18" customHeight="1" x14ac:dyDescent="0.3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 x14ac:dyDescent="0.3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 x14ac:dyDescent="0.3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 x14ac:dyDescent="0.3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 x14ac:dyDescent="0.3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 x14ac:dyDescent="0.3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 x14ac:dyDescent="0.3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 x14ac:dyDescent="0.3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 x14ac:dyDescent="0.3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 x14ac:dyDescent="0.3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 x14ac:dyDescent="0.3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 x14ac:dyDescent="0.3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 x14ac:dyDescent="0.3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 x14ac:dyDescent="0.3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208</v>
      </c>
      <c r="O284" s="39"/>
    </row>
    <row r="285" spans="1:15" ht="15" customHeight="1" x14ac:dyDescent="0.3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 x14ac:dyDescent="0.3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 x14ac:dyDescent="0.3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 x14ac:dyDescent="0.3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 x14ac:dyDescent="0.3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 x14ac:dyDescent="0.3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 x14ac:dyDescent="0.3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 x14ac:dyDescent="0.3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 x14ac:dyDescent="0.3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 x14ac:dyDescent="0.3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 x14ac:dyDescent="0.3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 x14ac:dyDescent="0.3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 x14ac:dyDescent="0.3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208</v>
      </c>
      <c r="O297" s="39"/>
    </row>
    <row r="298" spans="1:15" ht="18" customHeight="1" x14ac:dyDescent="0.3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 x14ac:dyDescent="0.3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 x14ac:dyDescent="0.3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 x14ac:dyDescent="0.3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 x14ac:dyDescent="0.3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 x14ac:dyDescent="0.3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 x14ac:dyDescent="0.3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 x14ac:dyDescent="0.3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 x14ac:dyDescent="0.3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 x14ac:dyDescent="0.3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 x14ac:dyDescent="0.3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 x14ac:dyDescent="0.3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 x14ac:dyDescent="0.3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 x14ac:dyDescent="0.3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208</v>
      </c>
      <c r="O311" s="39"/>
    </row>
    <row r="312" spans="1:15" ht="15" customHeight="1" x14ac:dyDescent="0.3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 x14ac:dyDescent="0.3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 x14ac:dyDescent="0.3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 x14ac:dyDescent="0.3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 x14ac:dyDescent="0.3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 x14ac:dyDescent="0.3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 x14ac:dyDescent="0.3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 x14ac:dyDescent="0.3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 x14ac:dyDescent="0.3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 x14ac:dyDescent="0.3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 x14ac:dyDescent="0.3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 x14ac:dyDescent="0.3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 x14ac:dyDescent="0.3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208</v>
      </c>
      <c r="O324" s="39"/>
    </row>
    <row r="325" spans="1:15" ht="18" customHeight="1" x14ac:dyDescent="0.3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 x14ac:dyDescent="0.3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 x14ac:dyDescent="0.3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 x14ac:dyDescent="0.3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 x14ac:dyDescent="0.3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 x14ac:dyDescent="0.3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 x14ac:dyDescent="0.3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 x14ac:dyDescent="0.3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 x14ac:dyDescent="0.3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 x14ac:dyDescent="0.3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 x14ac:dyDescent="0.3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 x14ac:dyDescent="0.3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 x14ac:dyDescent="0.3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 x14ac:dyDescent="0.3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208</v>
      </c>
      <c r="O338" s="39"/>
    </row>
    <row r="339" spans="1:15" ht="15" customHeight="1" x14ac:dyDescent="0.3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 x14ac:dyDescent="0.3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 x14ac:dyDescent="0.3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 x14ac:dyDescent="0.3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 x14ac:dyDescent="0.3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 x14ac:dyDescent="0.3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 x14ac:dyDescent="0.3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 x14ac:dyDescent="0.3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 x14ac:dyDescent="0.3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 x14ac:dyDescent="0.3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 x14ac:dyDescent="0.3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 x14ac:dyDescent="0.3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 x14ac:dyDescent="0.3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208</v>
      </c>
      <c r="O351" s="39"/>
    </row>
    <row r="352" spans="1:15" ht="18" customHeight="1" x14ac:dyDescent="0.3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 x14ac:dyDescent="0.3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 x14ac:dyDescent="0.3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 x14ac:dyDescent="0.3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 x14ac:dyDescent="0.3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 x14ac:dyDescent="0.3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 x14ac:dyDescent="0.3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 x14ac:dyDescent="0.3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 x14ac:dyDescent="0.3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 x14ac:dyDescent="0.3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 x14ac:dyDescent="0.3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 x14ac:dyDescent="0.3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 x14ac:dyDescent="0.3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 x14ac:dyDescent="0.3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208</v>
      </c>
      <c r="O365" s="39"/>
    </row>
    <row r="366" spans="1:15" ht="15" customHeight="1" x14ac:dyDescent="0.3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 x14ac:dyDescent="0.3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 x14ac:dyDescent="0.3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 x14ac:dyDescent="0.3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 x14ac:dyDescent="0.3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 x14ac:dyDescent="0.3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 x14ac:dyDescent="0.3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 x14ac:dyDescent="0.3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 x14ac:dyDescent="0.3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 x14ac:dyDescent="0.3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 x14ac:dyDescent="0.3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 x14ac:dyDescent="0.3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 x14ac:dyDescent="0.3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208</v>
      </c>
      <c r="O378" s="39"/>
    </row>
    <row r="379" spans="1:15" ht="18" customHeight="1" x14ac:dyDescent="0.3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 x14ac:dyDescent="0.3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 x14ac:dyDescent="0.3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 x14ac:dyDescent="0.3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 x14ac:dyDescent="0.3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 x14ac:dyDescent="0.3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 x14ac:dyDescent="0.3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 x14ac:dyDescent="0.3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 x14ac:dyDescent="0.3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 x14ac:dyDescent="0.3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 x14ac:dyDescent="0.3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 x14ac:dyDescent="0.3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 x14ac:dyDescent="0.3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 x14ac:dyDescent="0.3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208</v>
      </c>
      <c r="O392" s="39"/>
    </row>
    <row r="393" spans="1:15" ht="15" customHeight="1" x14ac:dyDescent="0.3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 x14ac:dyDescent="0.3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 x14ac:dyDescent="0.3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 x14ac:dyDescent="0.3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 x14ac:dyDescent="0.3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 x14ac:dyDescent="0.3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 x14ac:dyDescent="0.3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 x14ac:dyDescent="0.3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 x14ac:dyDescent="0.3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 x14ac:dyDescent="0.3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 x14ac:dyDescent="0.3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 x14ac:dyDescent="0.3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 x14ac:dyDescent="0.3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208</v>
      </c>
      <c r="O405" s="39"/>
    </row>
    <row r="406" spans="1:15" ht="18" customHeight="1" x14ac:dyDescent="0.3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 x14ac:dyDescent="0.3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 x14ac:dyDescent="0.3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 x14ac:dyDescent="0.3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 x14ac:dyDescent="0.3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 x14ac:dyDescent="0.3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 x14ac:dyDescent="0.3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 x14ac:dyDescent="0.3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 x14ac:dyDescent="0.3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 x14ac:dyDescent="0.3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 x14ac:dyDescent="0.3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 x14ac:dyDescent="0.3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 x14ac:dyDescent="0.3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 x14ac:dyDescent="0.3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208</v>
      </c>
      <c r="O419" s="39"/>
    </row>
    <row r="420" spans="1:15" ht="15" customHeight="1" x14ac:dyDescent="0.3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 x14ac:dyDescent="0.3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 x14ac:dyDescent="0.3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 x14ac:dyDescent="0.3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 x14ac:dyDescent="0.3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 x14ac:dyDescent="0.3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 x14ac:dyDescent="0.3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 x14ac:dyDescent="0.3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 x14ac:dyDescent="0.3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 x14ac:dyDescent="0.3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 x14ac:dyDescent="0.3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 x14ac:dyDescent="0.3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 x14ac:dyDescent="0.3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208</v>
      </c>
      <c r="O432" s="39"/>
    </row>
    <row r="433" spans="1:17" ht="18" customHeight="1" x14ac:dyDescent="0.3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7" ht="15" customHeight="1" x14ac:dyDescent="0.3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 x14ac:dyDescent="0.3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 x14ac:dyDescent="0.3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 x14ac:dyDescent="0.3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 x14ac:dyDescent="0.3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 x14ac:dyDescent="0.3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 x14ac:dyDescent="0.3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 x14ac:dyDescent="0.3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 x14ac:dyDescent="0.3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 x14ac:dyDescent="0.3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 x14ac:dyDescent="0.3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 x14ac:dyDescent="0.3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 x14ac:dyDescent="0.3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208</v>
      </c>
      <c r="O446" s="39"/>
    </row>
    <row r="447" spans="1:17" ht="15" customHeight="1" x14ac:dyDescent="0.3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 x14ac:dyDescent="0.3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 x14ac:dyDescent="0.3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 x14ac:dyDescent="0.3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 x14ac:dyDescent="0.3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 x14ac:dyDescent="0.3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 x14ac:dyDescent="0.3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 x14ac:dyDescent="0.3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 x14ac:dyDescent="0.3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 x14ac:dyDescent="0.3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 x14ac:dyDescent="0.3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 x14ac:dyDescent="0.3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 x14ac:dyDescent="0.3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208</v>
      </c>
      <c r="O459" s="39"/>
    </row>
    <row r="460" spans="1:15" ht="18" customHeight="1" x14ac:dyDescent="0.3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 x14ac:dyDescent="0.3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 x14ac:dyDescent="0.3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 x14ac:dyDescent="0.3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 x14ac:dyDescent="0.3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 x14ac:dyDescent="0.3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 x14ac:dyDescent="0.3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 x14ac:dyDescent="0.3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 x14ac:dyDescent="0.3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 x14ac:dyDescent="0.3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 x14ac:dyDescent="0.3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 x14ac:dyDescent="0.3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 x14ac:dyDescent="0.3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 x14ac:dyDescent="0.3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208</v>
      </c>
      <c r="O473" s="39"/>
    </row>
    <row r="474" spans="1:15" ht="15" customHeight="1" x14ac:dyDescent="0.3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 x14ac:dyDescent="0.3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 x14ac:dyDescent="0.3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 x14ac:dyDescent="0.3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 x14ac:dyDescent="0.3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 x14ac:dyDescent="0.3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 x14ac:dyDescent="0.3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 x14ac:dyDescent="0.3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 x14ac:dyDescent="0.3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 x14ac:dyDescent="0.3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 x14ac:dyDescent="0.3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 x14ac:dyDescent="0.3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 x14ac:dyDescent="0.3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208</v>
      </c>
      <c r="O486" s="39"/>
    </row>
    <row r="487" spans="1:15" ht="18" customHeight="1" x14ac:dyDescent="0.3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 x14ac:dyDescent="0.3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 x14ac:dyDescent="0.3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 x14ac:dyDescent="0.3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 x14ac:dyDescent="0.3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 x14ac:dyDescent="0.3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 x14ac:dyDescent="0.3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 x14ac:dyDescent="0.3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 x14ac:dyDescent="0.3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 x14ac:dyDescent="0.3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 x14ac:dyDescent="0.3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 x14ac:dyDescent="0.3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 x14ac:dyDescent="0.3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 x14ac:dyDescent="0.3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208</v>
      </c>
      <c r="O500" s="39"/>
    </row>
    <row r="501" spans="1:15" ht="15" customHeight="1" x14ac:dyDescent="0.3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 x14ac:dyDescent="0.3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 x14ac:dyDescent="0.3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 x14ac:dyDescent="0.3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 x14ac:dyDescent="0.3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 x14ac:dyDescent="0.3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 x14ac:dyDescent="0.3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 x14ac:dyDescent="0.3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 x14ac:dyDescent="0.3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 x14ac:dyDescent="0.3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 x14ac:dyDescent="0.3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 x14ac:dyDescent="0.3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 x14ac:dyDescent="0.3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208</v>
      </c>
      <c r="O513" s="39"/>
    </row>
    <row r="514" spans="1:15" ht="18" customHeight="1" x14ac:dyDescent="0.3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 x14ac:dyDescent="0.3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 x14ac:dyDescent="0.3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 x14ac:dyDescent="0.3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 x14ac:dyDescent="0.3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 x14ac:dyDescent="0.3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 x14ac:dyDescent="0.3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 x14ac:dyDescent="0.3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 x14ac:dyDescent="0.3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 x14ac:dyDescent="0.3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 x14ac:dyDescent="0.3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 x14ac:dyDescent="0.3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 x14ac:dyDescent="0.3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 x14ac:dyDescent="0.3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208</v>
      </c>
      <c r="O527" s="39"/>
    </row>
    <row r="528" spans="1:15" ht="15" customHeight="1" x14ac:dyDescent="0.3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 x14ac:dyDescent="0.3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 x14ac:dyDescent="0.3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 x14ac:dyDescent="0.3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 x14ac:dyDescent="0.3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 x14ac:dyDescent="0.3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 x14ac:dyDescent="0.3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 x14ac:dyDescent="0.3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 x14ac:dyDescent="0.3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 x14ac:dyDescent="0.3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 x14ac:dyDescent="0.3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 x14ac:dyDescent="0.3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 x14ac:dyDescent="0.3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208</v>
      </c>
      <c r="O540" s="39"/>
    </row>
    <row r="541" spans="1:15" ht="18" customHeight="1" x14ac:dyDescent="0.3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 x14ac:dyDescent="0.3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 x14ac:dyDescent="0.3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 x14ac:dyDescent="0.3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 x14ac:dyDescent="0.3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 x14ac:dyDescent="0.3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 x14ac:dyDescent="0.3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 x14ac:dyDescent="0.3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 x14ac:dyDescent="0.3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 x14ac:dyDescent="0.3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 x14ac:dyDescent="0.3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 x14ac:dyDescent="0.3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 x14ac:dyDescent="0.3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 x14ac:dyDescent="0.3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208</v>
      </c>
      <c r="O554" s="39"/>
    </row>
    <row r="555" spans="1:15" ht="15" customHeight="1" x14ac:dyDescent="0.3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 x14ac:dyDescent="0.3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 x14ac:dyDescent="0.3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 x14ac:dyDescent="0.3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 x14ac:dyDescent="0.3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 x14ac:dyDescent="0.3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 x14ac:dyDescent="0.3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 x14ac:dyDescent="0.3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 x14ac:dyDescent="0.3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 x14ac:dyDescent="0.3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 x14ac:dyDescent="0.3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 x14ac:dyDescent="0.3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 x14ac:dyDescent="0.3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208</v>
      </c>
      <c r="O567" s="39"/>
    </row>
    <row r="568" spans="1:15" ht="18" customHeight="1" x14ac:dyDescent="0.3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 x14ac:dyDescent="0.3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 x14ac:dyDescent="0.3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 x14ac:dyDescent="0.3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 x14ac:dyDescent="0.3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 x14ac:dyDescent="0.3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 x14ac:dyDescent="0.3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 x14ac:dyDescent="0.3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 x14ac:dyDescent="0.3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 x14ac:dyDescent="0.3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 x14ac:dyDescent="0.3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 x14ac:dyDescent="0.3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 x14ac:dyDescent="0.3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 x14ac:dyDescent="0.3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208</v>
      </c>
      <c r="O581" s="39"/>
    </row>
    <row r="582" spans="1:15" ht="15" customHeight="1" x14ac:dyDescent="0.3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 x14ac:dyDescent="0.3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 x14ac:dyDescent="0.3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 x14ac:dyDescent="0.3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 x14ac:dyDescent="0.3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 x14ac:dyDescent="0.3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 x14ac:dyDescent="0.3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 x14ac:dyDescent="0.3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 x14ac:dyDescent="0.3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 x14ac:dyDescent="0.3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 x14ac:dyDescent="0.3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 x14ac:dyDescent="0.3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 x14ac:dyDescent="0.3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208</v>
      </c>
      <c r="O594" s="39"/>
    </row>
    <row r="595" spans="1:15" ht="18" customHeight="1" x14ac:dyDescent="0.3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 x14ac:dyDescent="0.3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 x14ac:dyDescent="0.3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 x14ac:dyDescent="0.3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 x14ac:dyDescent="0.3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 x14ac:dyDescent="0.3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 x14ac:dyDescent="0.3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 x14ac:dyDescent="0.3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 x14ac:dyDescent="0.3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 x14ac:dyDescent="0.3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 x14ac:dyDescent="0.3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 x14ac:dyDescent="0.3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 x14ac:dyDescent="0.3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 x14ac:dyDescent="0.3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208</v>
      </c>
      <c r="O608" s="39"/>
    </row>
    <row r="609" spans="1:15" ht="15" customHeight="1" x14ac:dyDescent="0.3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 x14ac:dyDescent="0.3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 x14ac:dyDescent="0.3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 x14ac:dyDescent="0.3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 x14ac:dyDescent="0.3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 x14ac:dyDescent="0.3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 x14ac:dyDescent="0.3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 x14ac:dyDescent="0.3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 x14ac:dyDescent="0.3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 x14ac:dyDescent="0.3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 x14ac:dyDescent="0.3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 x14ac:dyDescent="0.3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 x14ac:dyDescent="0.3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208</v>
      </c>
      <c r="O621" s="39"/>
    </row>
    <row r="622" spans="1:15" ht="18" customHeight="1" x14ac:dyDescent="0.3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 x14ac:dyDescent="0.3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 x14ac:dyDescent="0.3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 x14ac:dyDescent="0.3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 x14ac:dyDescent="0.3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 x14ac:dyDescent="0.3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 x14ac:dyDescent="0.3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 x14ac:dyDescent="0.3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 x14ac:dyDescent="0.3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 x14ac:dyDescent="0.3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 x14ac:dyDescent="0.3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 x14ac:dyDescent="0.3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 x14ac:dyDescent="0.3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 x14ac:dyDescent="0.3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208</v>
      </c>
      <c r="O635" s="39"/>
    </row>
    <row r="636" spans="1:15" ht="15" customHeight="1" x14ac:dyDescent="0.3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 x14ac:dyDescent="0.3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 x14ac:dyDescent="0.3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 x14ac:dyDescent="0.3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 x14ac:dyDescent="0.3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 x14ac:dyDescent="0.3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 x14ac:dyDescent="0.3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 x14ac:dyDescent="0.3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 x14ac:dyDescent="0.3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 x14ac:dyDescent="0.3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 x14ac:dyDescent="0.3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 x14ac:dyDescent="0.3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 x14ac:dyDescent="0.3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208</v>
      </c>
      <c r="O648" s="39"/>
    </row>
    <row r="649" spans="1:15" ht="18" customHeight="1" x14ac:dyDescent="0.3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 x14ac:dyDescent="0.3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 x14ac:dyDescent="0.3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 x14ac:dyDescent="0.3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 x14ac:dyDescent="0.3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 x14ac:dyDescent="0.3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 x14ac:dyDescent="0.3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 x14ac:dyDescent="0.3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 x14ac:dyDescent="0.3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 x14ac:dyDescent="0.3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 x14ac:dyDescent="0.3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 x14ac:dyDescent="0.3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 x14ac:dyDescent="0.3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 x14ac:dyDescent="0.3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208</v>
      </c>
      <c r="O662" s="39"/>
    </row>
    <row r="663" spans="1:15" ht="15" customHeight="1" x14ac:dyDescent="0.3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 x14ac:dyDescent="0.3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 x14ac:dyDescent="0.3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 x14ac:dyDescent="0.3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 x14ac:dyDescent="0.3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 x14ac:dyDescent="0.3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 x14ac:dyDescent="0.3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 x14ac:dyDescent="0.3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 x14ac:dyDescent="0.3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 x14ac:dyDescent="0.3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 x14ac:dyDescent="0.3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 x14ac:dyDescent="0.3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 x14ac:dyDescent="0.3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208</v>
      </c>
      <c r="O675" s="39"/>
    </row>
    <row r="676" spans="1:15" ht="18" customHeight="1" x14ac:dyDescent="0.3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 x14ac:dyDescent="0.3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 x14ac:dyDescent="0.3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 x14ac:dyDescent="0.3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 x14ac:dyDescent="0.3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 x14ac:dyDescent="0.3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 x14ac:dyDescent="0.3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 x14ac:dyDescent="0.3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 x14ac:dyDescent="0.3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 x14ac:dyDescent="0.3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 x14ac:dyDescent="0.3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 x14ac:dyDescent="0.3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 x14ac:dyDescent="0.3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 x14ac:dyDescent="0.3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208</v>
      </c>
      <c r="O689" s="39"/>
    </row>
    <row r="690" spans="1:15" ht="15" customHeight="1" x14ac:dyDescent="0.3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 x14ac:dyDescent="0.3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 x14ac:dyDescent="0.3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 x14ac:dyDescent="0.3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 x14ac:dyDescent="0.3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 x14ac:dyDescent="0.3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 x14ac:dyDescent="0.3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 x14ac:dyDescent="0.3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 x14ac:dyDescent="0.3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 x14ac:dyDescent="0.3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 x14ac:dyDescent="0.3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 x14ac:dyDescent="0.3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 x14ac:dyDescent="0.3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208</v>
      </c>
      <c r="O702" s="39"/>
    </row>
    <row r="703" spans="1:15" ht="18" customHeight="1" x14ac:dyDescent="0.3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 x14ac:dyDescent="0.3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 x14ac:dyDescent="0.3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 x14ac:dyDescent="0.3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 x14ac:dyDescent="0.3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 x14ac:dyDescent="0.3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 x14ac:dyDescent="0.3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 x14ac:dyDescent="0.3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 x14ac:dyDescent="0.3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 x14ac:dyDescent="0.3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 x14ac:dyDescent="0.3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 x14ac:dyDescent="0.3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 x14ac:dyDescent="0.3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 x14ac:dyDescent="0.3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208</v>
      </c>
      <c r="O716" s="39"/>
    </row>
    <row r="717" spans="1:15" ht="15" customHeight="1" x14ac:dyDescent="0.3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 x14ac:dyDescent="0.3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 x14ac:dyDescent="0.3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 x14ac:dyDescent="0.3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 x14ac:dyDescent="0.3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 x14ac:dyDescent="0.3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 x14ac:dyDescent="0.3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 x14ac:dyDescent="0.3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 x14ac:dyDescent="0.3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 x14ac:dyDescent="0.3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 x14ac:dyDescent="0.3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 x14ac:dyDescent="0.3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 x14ac:dyDescent="0.3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208</v>
      </c>
      <c r="O729" s="39"/>
    </row>
    <row r="730" spans="1:15" ht="18" customHeight="1" x14ac:dyDescent="0.3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 x14ac:dyDescent="0.3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 x14ac:dyDescent="0.3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 x14ac:dyDescent="0.3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 x14ac:dyDescent="0.3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 x14ac:dyDescent="0.3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 x14ac:dyDescent="0.3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 x14ac:dyDescent="0.3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 x14ac:dyDescent="0.3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 x14ac:dyDescent="0.3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 x14ac:dyDescent="0.3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 x14ac:dyDescent="0.3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 x14ac:dyDescent="0.3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 x14ac:dyDescent="0.3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208</v>
      </c>
      <c r="O743" s="39"/>
    </row>
    <row r="744" spans="1:15" ht="15" customHeight="1" x14ac:dyDescent="0.3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 x14ac:dyDescent="0.3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 x14ac:dyDescent="0.3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 x14ac:dyDescent="0.3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 x14ac:dyDescent="0.3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 x14ac:dyDescent="0.3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 x14ac:dyDescent="0.3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 x14ac:dyDescent="0.3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 x14ac:dyDescent="0.3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 x14ac:dyDescent="0.3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 x14ac:dyDescent="0.3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 x14ac:dyDescent="0.3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 x14ac:dyDescent="0.3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208</v>
      </c>
      <c r="O756" s="39"/>
    </row>
    <row r="757" spans="1:15" ht="18" customHeight="1" x14ac:dyDescent="0.3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 x14ac:dyDescent="0.3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 x14ac:dyDescent="0.3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 x14ac:dyDescent="0.3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 x14ac:dyDescent="0.3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 x14ac:dyDescent="0.3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 x14ac:dyDescent="0.3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 x14ac:dyDescent="0.3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 x14ac:dyDescent="0.3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 x14ac:dyDescent="0.3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 x14ac:dyDescent="0.3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 x14ac:dyDescent="0.3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 x14ac:dyDescent="0.3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 x14ac:dyDescent="0.3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208</v>
      </c>
      <c r="O770" s="39"/>
    </row>
    <row r="771" spans="1:15" ht="15" customHeight="1" x14ac:dyDescent="0.3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 x14ac:dyDescent="0.3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 x14ac:dyDescent="0.3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 x14ac:dyDescent="0.3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 x14ac:dyDescent="0.3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 x14ac:dyDescent="0.3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 x14ac:dyDescent="0.3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 x14ac:dyDescent="0.3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 x14ac:dyDescent="0.3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 x14ac:dyDescent="0.3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 x14ac:dyDescent="0.3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 x14ac:dyDescent="0.3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 x14ac:dyDescent="0.3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208</v>
      </c>
      <c r="O783" s="39"/>
    </row>
    <row r="784" spans="1:15" ht="18" customHeight="1" x14ac:dyDescent="0.3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 x14ac:dyDescent="0.3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 x14ac:dyDescent="0.3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 x14ac:dyDescent="0.3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 x14ac:dyDescent="0.3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 x14ac:dyDescent="0.3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 x14ac:dyDescent="0.3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 x14ac:dyDescent="0.3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 x14ac:dyDescent="0.3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 x14ac:dyDescent="0.3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 x14ac:dyDescent="0.3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 x14ac:dyDescent="0.3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 x14ac:dyDescent="0.3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 x14ac:dyDescent="0.3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208</v>
      </c>
      <c r="O797" s="39"/>
    </row>
    <row r="798" spans="1:15" ht="15" customHeight="1" x14ac:dyDescent="0.3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 x14ac:dyDescent="0.3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 x14ac:dyDescent="0.3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 x14ac:dyDescent="0.3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 x14ac:dyDescent="0.3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 x14ac:dyDescent="0.3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 x14ac:dyDescent="0.3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 x14ac:dyDescent="0.3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 x14ac:dyDescent="0.3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 x14ac:dyDescent="0.3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 x14ac:dyDescent="0.3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 x14ac:dyDescent="0.3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 x14ac:dyDescent="0.3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208</v>
      </c>
      <c r="O810" s="39"/>
    </row>
    <row r="811" spans="1:15" ht="18" customHeight="1" x14ac:dyDescent="0.3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Cavaliere Borges</cp:lastModifiedBy>
  <cp:revision>0</cp:revision>
  <dcterms:created xsi:type="dcterms:W3CDTF">2026-06-05T19:56:02Z</dcterms:created>
  <dcterms:modified xsi:type="dcterms:W3CDTF">2026-07-07T20:20:26Z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