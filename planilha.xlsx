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25" documentId="8_{AF585B22-221D-4780-BB9C-493D365A6A02}" xr6:coauthVersionLast="47" xr6:coauthVersionMax="47" xr10:uidLastSave="{1ABA5B5B-D3EB-4E62-82CB-C87EB987005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<sst xmlns="http://schemas.openxmlformats.org/spreadsheetml/2006/main" count="11340" uniqueCount="416">
  <si>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</si>
  <si>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</si>
  <si>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</si>
  <si>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</si>
  <si>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</si>
  <si>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</si>
  <si>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</si>
  <si>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</si>
  <si>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</si>
  <si>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</si>
  <si>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</si>
  <si>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</si>
  <si>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</si>
  <si>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</si>
  <si>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</si>
  <si>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</si>
  <si>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</si>
  <si>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</si>
  <si>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</si>
  <si>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</si>
  <si>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</si>
  <si>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</si>
  <si>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</si>
  <si>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</si>
  <si>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</si>
  <si>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</si>
  <si>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</si>
  <si>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</si>
  <si>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</si>
  <si>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</si>
  <si>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</si>
  <si>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</si>
  <si>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</si>
  <si>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</si>
  <si>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</si>
  <si>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</si>
  <si>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</si>
  <si>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</si>
  <si>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</si>
  <si>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</si>
  <si>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</si>
  <si>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</si>
  <si>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</si>
  <si>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</si>
  <si>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</si>
  <si>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</si>
  <si>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</si>
  <si>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</si>
  <si>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</si>
  <si>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</si>
  <si>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</si>
  <si>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</si>
  <si>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</si>
  <si>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</si>
  <si>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</si>
  <si>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</si>
  <si>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</si>
  <si>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</si>
  <si>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</si>
  <si>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</si>
  <si>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</si>
  <si>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</si>
  <si>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</si>
  <si>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</si>
  <si>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</si>
  <si>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</si>
  <si>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</si>
  <si>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</si>
  <si>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</si>
  <si>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</si>
  <si>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</si>
  <si>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</si>
  <si>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</si>
  <si>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</si>
  <si>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</si>
  <si>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</si>
  <si>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</si>
  <si>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</si>
  <si>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</si>
  <si>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</si>
  <si>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</si>
  <si>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</si>
  <si>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</si>
  <si>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</si>
  <si>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</si>
  <si>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</si>
  <si>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</si>
  <si>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</si>
  <si>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</si>
  <si>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</si>
  <si>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</si>
  <si>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</si>
  <si>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</si>
  <si>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</si>
  <si>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</si>
  <si>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</si>
  <si>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</si>
  <si>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</si>
  <si>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</si>
  <si>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</si>
  <si>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</si>
  <si>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</si>
  <si>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</si>
  <si>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</si>
  <si>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</si>
  <si>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</si>
  <si>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</si>
  <si>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</si>
  <si>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</si>
  <si>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</si>
  <si>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</si>
  <si>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</si>
  <si>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</si>
  <si>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</si>
  <si>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</si>
  <si>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</si>
  <si>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</si>
  <si>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</si>
  <si>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</si>
  <si>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</si>
  <si>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</si>
  <si>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</si>
  <si>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</si>
  <si>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</si>
  <si>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</si>
  <si>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</si>
  <si>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</si>
  <si>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</si>
  <si>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</si>
  <si>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</si>
  <si>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</si>
  <si>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</si>
  <si>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</si>
  <si>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</si>
  <si>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</si>
  <si>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</si>
  <si>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</si>
  <si>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</si>
  <si>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</si>
  <si>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</si>
  <si>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</si>
  <si>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</si>
  <si>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</si>
  <si>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</si>
  <si>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</si>
  <si>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</si>
  <si>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</si>
  <si>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</si>
  <si>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</si>
  <si>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</si>
  <si>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</si>
  <si>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</si>
  <si>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</si>
  <si>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</si>
  <si>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</si>
  <si>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</si>
  <si>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</si>
  <si>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</si>
  <si>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</si>
  <si>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</si>
  <si>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</si>
  <si>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</si>
  <si>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</si>
  <si>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</si>
  <si>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</si>
  <si>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</si>
  <si>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</si>
  <si>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</si>
  <si>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</si>
  <si>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</si>
  <si>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</si>
  <si>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</si>
  <si>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</si>
  <si>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</si>
  <si>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</si>
  <si>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</si>
  <si>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</si>
  <si>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</si>
  <si>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</si>
  <si>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</si>
  <si>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</si>
  <si>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</si>
  <si>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</si>
  <si>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</si>
  <si>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</si>
  <si>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</si>
  <si>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</si>
  <si>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</si>
  <si>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</si>
  <si>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</si>
  <si>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</si>
  <si>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</si>
  <si>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</si>
  <si>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</si>
  <si>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</si>
  <si>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</si>
  <si>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</si>
  <si>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</si>
  <si>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</si>
  <si>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</si>
  <si>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</si>
  <si>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</si>
  <si>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</si>
  <si>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</si>
  <si>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</si>
  <si>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</si>
  <si>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</si>
  <si>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</si>
  <si>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</si>
  <si>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</si>
  <si>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</si>
  <si>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</si>
  <si>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</si>
  <si>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</si>
  <si>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</si>
  <si>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</si>
  <si>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</si>
  <si>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</si>
  <si>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</si>
  <si>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</si>
  <si>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</si>
  <si>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</si>
  <si>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</si>
  <si>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</si>
  <si>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</si>
  <si>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</si>
  <si>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</si>
  <si>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</si>
  <si>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</si>
  <si>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</si>
  <si>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</si>
  <si>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</si>
  <si>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</si>
  <si>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</si>
  <si>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</si>
  <si>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</si>
  <si>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</si>
  <si>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</si>
  <si>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</si>
  <si>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</si>
  <si>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</si>
  <si>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</si>
  <si>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</si>
  <si>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</si>
  <si>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</si>
  <si>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</si>
  <si>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</si>
  <si>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</si>
  <si>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</si>
  <si>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</si>
  <si>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</si>
  <si>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</si>
  <si>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</si>
  <si>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</si>
  <si>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</si>
  <si>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</si>
  <si>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</si>
  <si>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</si>
  <si>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</si>
  <si>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</si>
  <si>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</si>
  <si>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</si>
  <si>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</si>
  <si>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</si>
  <si>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</si>
  <si>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</si>
  <si>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</si>
  <si>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</si>
  <si>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</si>
  <si>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</si>
  <si>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</si>
  <si>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</si>
  <si>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</si>
  <si>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</si>
  <si>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</si>
  <si>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</si>
  <si>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</si>
  <si>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</si>
  <si>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</si>
  <si>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</si>
  <si>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</si>
  <si>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</si>
  <si>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</si>
  <si>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</si>
  <si>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</si>
  <si>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</si>
  <si>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</si>
  <si>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</si>
  <si>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</si>
  <si>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</si>
  <si>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</si>
  <si>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</si>
  <si>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</si>
  <si>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</si>
  <si>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</si>
  <si>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</si>
  <si>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</si>
  <si>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</si>
  <si>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</si>
  <si>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</si>
  <si>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</si>
  <si>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</si>
  <si>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</si>
  <si>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</si>
  <si>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</si>
  <si>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</si>
  <si>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</si>
  <si>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</si>
  <si>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</si>
  <si>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</si>
  <si>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</si>
  <si>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</si>
  <si>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</si>
  <si>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</si>
  <si>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</si>
  <si>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</si>
  <si>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</si>
  <si>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</si>
  <si>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</si>
  <si>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</si>
  <si>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</si>
  <si>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</si>
  <si>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</si>
  <si>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</si>
  <si>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</si>
  <si>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</si>
  <si>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</si>
  <si>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</si>
  <si>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</si>
  <si>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</si>
  <si>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</si>
  <si>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</si>
  <si>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</si>
  <si>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</si>
  <si>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</si>
  <si>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</si>
  <si>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</si>
  <si>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</si>
  <si>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</si>
  <si>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</si>
  <si>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</si>
  <si>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</si>
  <si>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</si>
  <si>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</si>
  <si>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</si>
  <si>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</si>
  <si>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</si>
  <si>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</si>
  <si>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</si>
  <si>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</si>
  <si>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</si>
  <si>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</si>
  <si>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</si>
  <si>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</si>
  <si>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</si>
  <si>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</si>
  <si>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</si>
  <si>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</si>
  <si>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</si>
  <si>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</si>
  <si>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</si>
  <si>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</si>
  <si>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</si>
  <si>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</si>
  <si>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</si>
  <si>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</si>
  <si>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</si>
  <si>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</si>
  <si>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</si>
  <si>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</si>
  <si>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</si>
  <si>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</si>
  <si>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</si>
  <si>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</si>
  <si>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</si>
  <si>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</si>
  <si>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</si>
  <si>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</si>
  <si>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</si>
  <si>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</si>
  <si>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</si>
  <si>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</si>
  <si>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</si>
  <si>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</si>
  <si>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</si>
  <si>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</si>
  <si>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</si>
  <si>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</si>
  <si>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</si>
  <si>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</si>
  <si>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</si>
  <si>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</si>
  <si>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</si>
  <si>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</si>
  <si>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</si>
  <si>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</si>
  <si>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</si>
  <si>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</si>
  <si>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</si>
  <si>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</si>
  <si>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</si>
  <si>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</si>
  <si>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</si>
  <si>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</si>
  <si>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</si>
  <si>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</si>
  <si>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</si>
  <si>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</si>
  <si>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</si>
  <si>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</si>
  <si>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</si>
  <si>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</si>
  <si>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</si>
  <si>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</si>
  <si>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</si>
  <si>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21;20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</si>
</sst>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/>
    </row>
    <row r="58" spans="1:13" ht="15" customHeight="1">
      <c r="H58" s="116"/>
      <c r="I58" s="16"/>
      <c r="J58" s="16"/>
      <c r="K58" s="16" t="s">
        <v>205</v>
      </c>
      <c r="L58" s="16"/>
      <c r="M58" s="16"/>
    </row>
    <row r="59" spans="1:13" ht="15" customHeight="1">
      <c r="H59" s="116"/>
      <c r="I59" s="17"/>
      <c r="J59" s="17"/>
      <c r="K59" s="17" t="s">
        <v>206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207</v>
      </c>
      <c r="L61" s="17"/>
      <c r="M61" s="17"/>
    </row>
    <row r="62" spans="1:13" ht="15" customHeight="1">
      <c r="H62" s="116"/>
      <c r="I62" s="16"/>
      <c r="J62" s="16"/>
      <c r="K62" s="16" t="s">
        <v>208</v>
      </c>
      <c r="L62" s="16"/>
      <c r="M62" s="16"/>
    </row>
    <row r="63" spans="1:13" ht="15" customHeight="1">
      <c r="H63" s="116"/>
      <c r="I63" s="17"/>
      <c r="J63" s="17"/>
      <c r="K63" s="17" t="s">
        <v>209</v>
      </c>
      <c r="L63" s="17"/>
      <c r="M63" s="17"/>
    </row>
    <row r="64" spans="1:13" ht="15" customHeight="1">
      <c r="H64" s="116"/>
      <c r="I64" s="16"/>
      <c r="J64" s="16"/>
      <c r="K64" s="16" t="s">
        <v>210</v>
      </c>
      <c r="L64" s="16"/>
      <c r="M64" s="16"/>
    </row>
    <row r="65" spans="8:13" ht="15" customHeight="1">
      <c r="H65" s="116"/>
      <c r="I65" s="17"/>
      <c r="J65" s="17"/>
      <c r="K65" s="17" t="s">
        <v>211</v>
      </c>
      <c r="L65" s="17"/>
      <c r="M65" s="17"/>
    </row>
    <row r="66" spans="8:13" ht="15" customHeight="1">
      <c r="H66" s="116"/>
      <c r="I66" s="16"/>
      <c r="J66" s="16"/>
      <c r="K66" s="16" t="s">
        <v>212</v>
      </c>
      <c r="L66" s="16"/>
      <c r="M66" s="16"/>
    </row>
    <row r="67" spans="8:13" ht="15" customHeight="1">
      <c r="H67" s="116"/>
      <c r="I67" s="17"/>
      <c r="J67" s="17"/>
      <c r="K67" s="17" t="s">
        <v>213</v>
      </c>
      <c r="L67" s="17"/>
      <c r="M67" s="17"/>
    </row>
    <row r="68" spans="8:13" ht="15" customHeight="1">
      <c r="H68" s="116"/>
      <c r="I68" s="16"/>
      <c r="J68" s="16"/>
      <c r="K68" s="16" t="s">
        <v>214</v>
      </c>
      <c r="L68" s="16"/>
      <c r="M68" s="16"/>
    </row>
    <row r="69" spans="8:13" ht="15" customHeight="1">
      <c r="H69" s="116"/>
      <c r="I69" s="17"/>
      <c r="J69" s="17"/>
      <c r="K69" s="17" t="s">
        <v>215</v>
      </c>
      <c r="L69" s="17"/>
      <c r="M69" s="17"/>
    </row>
    <row r="70" spans="8:13" ht="15" customHeight="1">
      <c r="H70" s="116"/>
      <c r="I70" s="16"/>
      <c r="J70" s="16"/>
      <c r="K70" s="16" t="s">
        <v>216</v>
      </c>
      <c r="L70" s="16"/>
      <c r="M70" s="16"/>
    </row>
    <row r="71" spans="8:13" ht="15" customHeight="1">
      <c r="H71" s="116"/>
      <c r="I71" s="17"/>
      <c r="J71" s="17"/>
      <c r="K71" s="17" t="s">
        <v>217</v>
      </c>
      <c r="L71" s="17"/>
      <c r="M71" s="17"/>
    </row>
    <row r="72" spans="8:13" ht="15" customHeight="1">
      <c r="H72" s="116"/>
      <c r="I72" s="16"/>
      <c r="J72" s="16"/>
      <c r="K72" s="16" t="s">
        <v>218</v>
      </c>
      <c r="L72" s="16"/>
      <c r="M72" s="16"/>
    </row>
    <row r="73" spans="8:13" ht="15" customHeight="1">
      <c r="H73" s="116"/>
      <c r="I73" s="17"/>
      <c r="J73" s="17"/>
      <c r="K73" s="17" t="s">
        <v>219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46" sqref="F7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>
        <v>0.875</v>
      </c>
      <c r="L744" s="29"/>
      <c r="M744" s="30">
        <f t="shared" ref="M744:M755" ca="1" si="166">IFERROR(IF(K744="","",IF(L744="",MOD(NOW()-K744,1),IF(L744&gt;=K744,L744-K744,L744+1-K744))),"")</f>
        <v>5.2851851854939014E-2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5.2851851854939014E-2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5.2851851854939014E-2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L745" sqref="L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0.68826851851918036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0.84590740740806925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0.95562962963029141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0.66674074074398959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0.83757407407732298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0.98271296296621191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233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11</v>
      </c>
      <c r="G745" s="34">
        <f t="shared" si="165"/>
        <v>46.2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45</v>
      </c>
      <c r="G756" s="36">
        <f>SUM(G744:G755)</f>
        <v>189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180</v>
      </c>
      <c r="G757" s="40">
        <f>G743+G756</f>
        <v>756</v>
      </c>
      <c r="H757" s="41"/>
      <c r="I757" s="41"/>
      <c r="J757" s="41"/>
      <c r="K757" s="41"/>
      <c r="L757" s="41"/>
      <c r="M757" s="42">
        <f ca="1">IFERROR(M743+M756,"")</f>
        <v>0.10833333333333339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L745" sqref="L7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2</v>
      </c>
      <c r="G745" s="34">
        <f t="shared" si="165"/>
        <v>8.4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11</v>
      </c>
      <c r="G756" s="36">
        <f>SUM(G744:G755)</f>
        <v>46.2</v>
      </c>
      <c r="H756" s="37"/>
      <c r="I756" s="37"/>
      <c r="J756" s="37"/>
      <c r="K756" s="37"/>
      <c r="L756" s="37"/>
      <c r="M756" s="38">
        <f ca="1">IFERROR(SUM(M744:M755),"")</f>
        <v>3.8194444444444531E-2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76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0.1027777777777778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G752" sqref="G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0.67854629630164709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0.87785185185720271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1.2452129629683137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 t="s">
        <v>415</v>
      </c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>
        <v>17</v>
      </c>
      <c r="G745" s="34">
        <f t="shared" si="165"/>
        <v>71.400000000000006</v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50</v>
      </c>
      <c r="G756" s="36">
        <f>SUM(G744:G755)</f>
        <v>210.00000000000003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207</v>
      </c>
      <c r="G757" s="40">
        <f>G743+G756</f>
        <v>869.4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2026-07-29T02:16:29Z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