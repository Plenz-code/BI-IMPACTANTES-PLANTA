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09" documentId="8_{AF585B22-221D-4780-BB9C-493D365A6A02}" xr6:coauthVersionLast="47" xr6:coauthVersionMax="47" xr10:uidLastSave="{CDEC0AF4-7D49-460C-8F70-EC9E474DA09D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<sst xmlns="http://schemas.openxmlformats.org/spreadsheetml/2006/main" count="9488" uniqueCount="383">
  <si>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</si>
  <si>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</si>
  <si>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</si>
  <si>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</si>
  <si>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</si>
  <si>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</si>
  <si>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</si>
  <si>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</si>
  <si>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</si>
  <si>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</si>
  <si>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</si>
  <si>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</si>
  <si>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</si>
  <si>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</si>
  <si>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</si>
  <si>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</si>
  <si>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</si>
  <si>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</si>
  <si>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</si>
  <si>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</si>
  <si>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</si>
  <si>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</si>
  <si>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</si>
  <si>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</si>
  <si>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</si>
  <si>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</si>
  <si>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</si>
  <si>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</si>
  <si>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</si>
  <si>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</si>
  <si>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</si>
  <si>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</si>
  <si>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</si>
  <si>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</si>
  <si>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</si>
  <si>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</si>
  <si>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</si>
  <si>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</si>
  <si>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</si>
  <si>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</si>
  <si>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</si>
  <si>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</si>
  <si>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</si>
  <si>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</si>
  <si>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</si>
  <si>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</si>
  <si>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</si>
  <si>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</si>
  <si>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</si>
  <si>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</si>
  <si>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</si>
  <si>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</si>
  <si>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</si>
  <si>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</si>
  <si>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</si>
  <si>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</si>
  <si>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</si>
  <si>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</si>
  <si>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</si>
  <si>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</si>
  <si>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</si>
  <si>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</si>
  <si>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</si>
  <si>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</si>
  <si>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</si>
  <si>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</si>
  <si>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</si>
  <si>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</si>
  <si>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</si>
  <si>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</si>
  <si>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</si>
  <si>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</si>
  <si>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</si>
  <si>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</si>
  <si>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</si>
  <si>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</si>
  <si>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</si>
  <si>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</si>
  <si>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</si>
  <si>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</si>
  <si>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</si>
  <si>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</si>
  <si>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</si>
  <si>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</si>
  <si>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</si>
  <si>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</si>
  <si>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</si>
  <si>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</si>
  <si>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</si>
  <si>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</si>
  <si>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</si>
  <si>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</si>
  <si>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</si>
  <si>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</si>
  <si>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</si>
  <si>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</si>
  <si>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</si>
  <si>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</si>
  <si>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</si>
  <si>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</si>
  <si>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</si>
  <si>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</si>
  <si>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</si>
  <si>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</si>
  <si>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</si>
  <si>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</si>
  <si>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</si>
  <si>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</si>
  <si>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</si>
  <si>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</si>
  <si>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</si>
  <si>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</si>
  <si>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</si>
  <si>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</si>
  <si>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</si>
  <si>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</si>
  <si>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</si>
  <si>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</si>
  <si>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</si>
  <si>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</si>
  <si>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</si>
  <si>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</si>
  <si>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</si>
  <si>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</si>
  <si>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</si>
  <si>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</si>
  <si>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</si>
  <si>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</si>
  <si>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</si>
  <si>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</si>
  <si>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</si>
  <si>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</si>
  <si>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</si>
  <si>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</si>
  <si>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</si>
  <si>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</si>
  <si>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</si>
  <si>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</si>
  <si>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</si>
  <si>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</si>
  <si>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</si>
  <si>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</si>
  <si>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</si>
  <si>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</si>
  <si>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</si>
  <si>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</si>
  <si>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</si>
  <si>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</si>
  <si>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</si>
  <si>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</si>
  <si>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</si>
  <si>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</si>
  <si>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</si>
  <si>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</si>
  <si>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</si>
  <si>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</si>
  <si>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</si>
  <si>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</si>
  <si>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</si>
  <si>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</si>
  <si>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</si>
  <si>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</si>
  <si>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</si>
  <si>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</si>
  <si>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</si>
  <si>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</si>
  <si>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</si>
  <si>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</si>
  <si>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</si>
  <si>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</si>
  <si>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</si>
  <si>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</si>
  <si>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</si>
  <si>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</si>
  <si>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</si>
  <si>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</si>
  <si>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</si>
  <si>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</si>
  <si>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</si>
  <si>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</si>
  <si>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</si>
  <si>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</si>
  <si>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</si>
  <si>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</si>
  <si>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</si>
  <si>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</si>
  <si>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</si>
  <si>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</si>
  <si>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</si>
  <si>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</si>
  <si>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</si>
  <si>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</si>
  <si>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</si>
  <si>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</si>
  <si>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</si>
  <si>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</si>
  <si>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</si>
  <si>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</si>
  <si>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</si>
  <si>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</si>
  <si>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</si>
  <si>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</si>
  <si>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</si>
  <si>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</si>
  <si>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</si>
  <si>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</si>
  <si>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</si>
  <si>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</si>
  <si>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</si>
  <si>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</si>
  <si>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</si>
  <si>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</si>
  <si>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</si>
  <si>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</si>
  <si>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</si>
  <si>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</si>
  <si>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</si>
  <si>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</si>
  <si>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</si>
  <si>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</si>
  <si>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</si>
  <si>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</si>
  <si>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</si>
  <si>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</si>
  <si>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</si>
  <si>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</si>
  <si>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</si>
  <si>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</si>
  <si>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</si>
  <si>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</si>
  <si>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</si>
  <si>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</si>
  <si>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</si>
  <si>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</si>
  <si>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</si>
  <si>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</si>
  <si>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</si>
  <si>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</si>
  <si>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</si>
  <si>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</si>
  <si>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</si>
  <si>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</si>
  <si>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</si>
  <si>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</si>
  <si>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</si>
  <si>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</si>
  <si>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</si>
  <si>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</si>
  <si>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</si>
  <si>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</si>
  <si>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</si>
  <si>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</si>
  <si>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</si>
  <si>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</si>
  <si>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</si>
  <si>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</si>
  <si>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</si>
  <si>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</si>
  <si>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</si>
  <si>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</si>
  <si>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</si>
  <si>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 xml:space="preserve">ajuste na bucha do mancal 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</si>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</sst>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F611" sqref="F61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13</v>
      </c>
      <c r="G621" s="36">
        <f>SUM(G609:G620)</f>
        <v>65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404</v>
      </c>
      <c r="G622" s="40">
        <f>G608+G621</f>
        <v>2020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11" sqref="F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0.63844710648118053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0.79608599537006941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0.90580821759229158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0.61691932870598976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0.78775266203932315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0.93289155092821208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5</v>
      </c>
      <c r="G610" s="28">
        <f t="shared" si="135"/>
        <v>21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257</v>
      </c>
      <c r="F611" s="27"/>
      <c r="G611" s="34" t="str">
        <f>IF(F611="","",IF(E612="PC 17",F611*4.2,IF(E612="PC 19",F611*5,"")))</f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>IF(F612="","",IF(#REF!="PC 17",F612*4.2,IF(#REF!="PC 19",F612*5,"")))</f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12</v>
      </c>
      <c r="G621" s="36">
        <f>SUM(G609:G620)</f>
        <v>56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176</v>
      </c>
      <c r="G622" s="40">
        <f>G608+G621</f>
        <v>744.80000000000007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1" sqref="F61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317</v>
      </c>
      <c r="N166" s="27" t="s">
        <v>318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4</v>
      </c>
      <c r="G610" s="28">
        <f t="shared" si="135"/>
        <v>16.8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6</v>
      </c>
      <c r="G621" s="36">
        <f>SUM(G609:G620)</f>
        <v>26.8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147</v>
      </c>
      <c r="G622" s="40">
        <f>G608+G621</f>
        <v>619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9" sqref="F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342</v>
      </c>
      <c r="L58" s="29">
        <v>0.54097222222222219</v>
      </c>
      <c r="M58" s="30" t="str">
        <f t="shared" ca="1" si="13"/>
        <v/>
      </c>
      <c r="N58" s="27" t="s">
        <v>343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0.62872488426364725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0.82803043981920288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1.1953915509303139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0.16969710648118053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0.22455821759229172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/>
      <c r="G609" s="34" t="str">
        <f t="shared" ref="G609:G614" si="135">IF(F609="","",IF(E609="PC 17",F609*4.2,IF(E609="PC 19",F609*5,"")))</f>
        <v/>
      </c>
      <c r="H609" s="33" t="s">
        <v>18</v>
      </c>
      <c r="I609" s="33" t="s">
        <v>75</v>
      </c>
      <c r="J609" s="33" t="s">
        <v>100</v>
      </c>
      <c r="K609" s="29">
        <v>0.29166666666666669</v>
      </c>
      <c r="L609" s="29"/>
      <c r="M609" s="35">
        <f t="shared" ref="M609:M620" ca="1" si="136">IFERROR(IF(K609="","",IF(L609="",MOD(NOW()-K609,1),IF(L609&gt;=K609,L609-K609,L609+1-K609))),"")</f>
        <v>0.58636377315269783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257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0.58636377315269783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0.81092199074498961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2026-07-24T01:04:29Z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