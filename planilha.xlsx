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90" documentId="13_ncr:1_{0A10D8D4-8450-4366-8075-B53B08E6B7EA}" xr6:coauthVersionLast="47" xr6:coauthVersionMax="47" xr10:uidLastSave="{3224FBAD-7318-4EB0-9A76-68EF00624106}"/>
  <bookViews>
    <workbookView xWindow="-1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80" i="5"/>
  <c r="J480" i="5" s="1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80" i="6" s="1"/>
  <c r="J480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80" i="4" s="1"/>
  <c r="J480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7" i="5" l="1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<sst xmlns="http://schemas.openxmlformats.org/spreadsheetml/2006/main" count="8129" uniqueCount="380">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</sst>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58" activePane="bottomLeft" state="frozen"/>
      <selection pane="bottomLeft" activeCell="L476" sqref="L476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265</v>
      </c>
      <c r="G486" s="36">
        <f>SUM(G474:G485)</f>
        <v>1325</v>
      </c>
      <c r="H486" s="37"/>
      <c r="I486" s="37"/>
      <c r="J486" s="37"/>
      <c r="K486" s="37"/>
      <c r="L486" s="37"/>
      <c r="M486" s="38">
        <f ca="1">IFERROR(SUM(M474:M485),"")</f>
        <v>2.4305555555555622E-2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612</v>
      </c>
      <c r="G487" s="40">
        <f>G473+G486</f>
        <v>3060</v>
      </c>
      <c r="H487" s="41"/>
      <c r="I487" s="41"/>
      <c r="J487" s="41"/>
      <c r="K487" s="41"/>
      <c r="L487" s="41"/>
      <c r="M487" s="42">
        <f ca="1">IFERROR(M473+M486,"")</f>
        <v>5.6250000000000064E-2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G481" sqref="G481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0.99707083332759794</v>
      </c>
      <c r="R53" s="46" t="s">
        <v>290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1.1359597222164868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1.2206819444387091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292</v>
      </c>
      <c r="Q96" s="30" t="str">
        <f t="shared" ref="Q96:Q107" ca="1" si="22">IFERROR(IF(O96="","",IF(P96="",MOD(NOW()-O96,1),IF(P96&gt;=O96,P96-O96,P96+1-O96))),"")</f>
        <v/>
      </c>
      <c r="R96" s="46" t="s">
        <v>293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316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317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318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319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320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321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322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42</v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90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378</v>
      </c>
      <c r="L486" s="37"/>
      <c r="M486" s="37"/>
      <c r="N486" s="37"/>
      <c r="O486" s="37"/>
      <c r="P486" s="37"/>
      <c r="Q486" s="38">
        <f ca="1">IFERROR(SUM(Q474:Q485),"")</f>
        <v>9.0972222222222204E-2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283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1188.5999999999999</v>
      </c>
      <c r="L487" s="41"/>
      <c r="M487" s="41"/>
      <c r="N487" s="41"/>
      <c r="O487" s="41"/>
      <c r="P487" s="41"/>
      <c r="Q487" s="42">
        <f ca="1">IFERROR(Q473+Q486,"")</f>
        <v>0.21041666666666656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G480" sqref="G48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336</v>
      </c>
      <c r="Q222" s="30" t="str">
        <f t="shared" ca="1" si="49"/>
        <v/>
      </c>
      <c r="R222" s="27" t="s">
        <v>337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341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342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343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343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344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>
        <v>4.4444444444444446E-2</v>
      </c>
      <c r="P476" s="29"/>
      <c r="Q476" s="30">
        <f t="shared" ca="1" si="118"/>
        <v>7.4154166664811783E-2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6"/>
        <v>0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34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142.80000000000001</v>
      </c>
      <c r="L486" s="37"/>
      <c r="M486" s="37"/>
      <c r="N486" s="37"/>
      <c r="O486" s="37"/>
      <c r="P486" s="37"/>
      <c r="Q486" s="38">
        <f ca="1">IFERROR(SUM(Q474:Q485),"")</f>
        <v>0.15887638888703404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100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420</v>
      </c>
      <c r="L487" s="41"/>
      <c r="M487" s="41"/>
      <c r="N487" s="41"/>
      <c r="O487" s="41"/>
      <c r="P487" s="41"/>
      <c r="Q487" s="42">
        <f ca="1">IFERROR(Q473+Q486,"")</f>
        <v>0.45054305555370067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G481" sqref="G48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362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368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369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370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371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372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373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374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375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376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377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378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372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379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87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365.4</v>
      </c>
      <c r="L486" s="37"/>
      <c r="M486" s="37"/>
      <c r="N486" s="37"/>
      <c r="O486" s="61"/>
      <c r="P486" s="61"/>
      <c r="Q486" s="38">
        <f ca="1">IFERROR(SUM(Q474:Q485),"")</f>
        <v>0.12569444444444447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241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1012.2</v>
      </c>
      <c r="L487" s="41"/>
      <c r="M487" s="41"/>
      <c r="N487" s="41"/>
      <c r="O487" s="63"/>
      <c r="P487" s="63"/>
      <c r="Q487" s="42">
        <f ca="1">IFERROR(Q473+Q486,"")</f>
        <v>0.41874999999999984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2026-08-19T06:51:20Z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