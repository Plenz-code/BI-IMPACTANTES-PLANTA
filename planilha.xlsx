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16" documentId="8_{AF585B22-221D-4780-BB9C-493D365A6A02}" xr6:coauthVersionLast="47" xr6:coauthVersionMax="47" xr10:uidLastSave="{2472065F-BE8F-4398-A314-A5D069EDFF6C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<sst xmlns="http://schemas.openxmlformats.org/spreadsheetml/2006/main" count="3288" uniqueCount="259">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</sst>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41" activePane="bottomLeft" state="frozen"/>
      <selection pane="bottomLeft" activeCell="F169" sqref="F1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137</v>
      </c>
      <c r="G176" s="36">
        <f>SUM(G164:G175)</f>
        <v>685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137</v>
      </c>
      <c r="G190" s="40">
        <f>G176+G189</f>
        <v>685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72" sqref="F1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0.21197627315268619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0.21197627315268619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0.21197627315268619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69" sqref="F1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121</v>
      </c>
      <c r="K166" s="29">
        <v>0.45694444444444443</v>
      </c>
      <c r="L166" s="29">
        <v>0.47222222222222221</v>
      </c>
      <c r="M166" s="30" t="s">
        <v>241</v>
      </c>
      <c r="N166" s="27" t="s">
        <v>242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/>
      <c r="M167" s="35">
        <f t="shared" ca="1" si="37"/>
        <v>2.2540509307873435E-3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>
        <v>10</v>
      </c>
      <c r="G168" s="28">
        <f t="shared" si="36"/>
        <v>42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35</v>
      </c>
      <c r="G176" s="36">
        <f>SUM(G164:G175)</f>
        <v>149.4</v>
      </c>
      <c r="H176" s="37"/>
      <c r="I176" s="37"/>
      <c r="J176" s="37"/>
      <c r="K176" s="37"/>
      <c r="L176" s="37"/>
      <c r="M176" s="38">
        <f ca="1">IFERROR(SUM(M164:M175),"")</f>
        <v>9.8929398196762608E-3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35</v>
      </c>
      <c r="G190" s="40">
        <f>G176+G189</f>
        <v>149.4</v>
      </c>
      <c r="H190" s="41"/>
      <c r="I190" s="41"/>
      <c r="J190" s="41"/>
      <c r="K190" s="41"/>
      <c r="L190" s="41"/>
      <c r="M190" s="42">
        <f ca="1">IFERROR(M176+M189,"")</f>
        <v>9.8929398196762608E-3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69" sqref="F16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247</v>
      </c>
      <c r="L58" s="29">
        <v>0.54097222222222219</v>
      </c>
      <c r="M58" s="30" t="str">
        <f t="shared" ca="1" si="13"/>
        <v/>
      </c>
      <c r="N58" s="27" t="s">
        <v>248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0.25433738426363561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0.45364293981919124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0.82100405093030226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10</v>
      </c>
      <c r="G167" s="34">
        <f t="shared" si="36"/>
        <v>42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16</v>
      </c>
      <c r="G168" s="28">
        <f t="shared" si="36"/>
        <v>67.2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69</v>
      </c>
      <c r="G176" s="36">
        <f>SUM(G164:G175)</f>
        <v>300.2</v>
      </c>
      <c r="H176" s="37"/>
      <c r="I176" s="37"/>
      <c r="J176" s="37"/>
      <c r="K176" s="61"/>
      <c r="L176" s="61"/>
      <c r="M176" s="38">
        <f ca="1">IFERROR(SUM(M164:M175),"")</f>
        <v>1.2499999999999956E-2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69</v>
      </c>
      <c r="G190" s="40">
        <f>G176+G189</f>
        <v>300.2</v>
      </c>
      <c r="H190" s="41"/>
      <c r="I190" s="41"/>
      <c r="J190" s="41"/>
      <c r="K190" s="63"/>
      <c r="L190" s="63"/>
      <c r="M190" s="42">
        <f ca="1">IFERROR(M176+M189,"")</f>
        <v>1.2499999999999956E-2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2026-07-07T16:05:47Z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