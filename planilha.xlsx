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87" documentId="8_{C51EB6CB-002B-4D6B-B68F-DDEBDB4460C0}" xr6:coauthVersionLast="47" xr6:coauthVersionMax="47" xr10:uidLastSave="{5F65361F-5C59-4640-B0D7-11453BC0326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<sst xmlns="http://schemas.openxmlformats.org/spreadsheetml/2006/main" count="3654" uniqueCount="290">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</sst>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39" activePane="bottomLeft" state="frozen"/>
      <selection pane="bottomLeft" activeCell="N165" sqref="N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/>
      <c r="M164" s="30">
        <f t="shared" ref="M164:M175" ca="1" si="37">IFERROR(IF(K164="","",IF(L164="",MOD(NOW()-K164,1),IF(L164&gt;=K164,L164-K164,L164+1-K164))),"")</f>
        <v>1.3343750033527613E-3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420</v>
      </c>
      <c r="H176" s="37"/>
      <c r="I176" s="37"/>
      <c r="J176" s="37"/>
      <c r="K176" s="37"/>
      <c r="L176" s="37"/>
      <c r="M176" s="38">
        <f ca="1">IFERROR(SUM(M164:M175),"")</f>
        <v>1.3343750033527613E-3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420</v>
      </c>
      <c r="H190" s="41"/>
      <c r="I190" s="41"/>
      <c r="J190" s="41"/>
      <c r="K190" s="41"/>
      <c r="L190" s="41"/>
      <c r="M190" s="42">
        <f ca="1">IFERROR(M176+M189,"")</f>
        <v>1.3343750033527613E-3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7" activePane="bottomLeft" state="frozen"/>
      <selection pane="bottomLeft" activeCell="J170" sqref="J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0.25480659722234122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0.39369548611123012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0.47841770833345243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</v>
      </c>
      <c r="G176" s="36">
        <f>SUM(G164:G175)</f>
        <v>8.4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</v>
      </c>
      <c r="G190" s="40">
        <f>G176+G189</f>
        <v>8.4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L166" sqref="L1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/>
      <c r="G165" s="34" t="str">
        <f t="shared" si="36"/>
        <v/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</v>
      </c>
      <c r="G176" s="36">
        <f>SUM(G164:G175)</f>
        <v>16.8</v>
      </c>
      <c r="H176" s="37"/>
      <c r="I176" s="37"/>
      <c r="J176" s="37"/>
      <c r="K176" s="37"/>
      <c r="L176" s="37"/>
      <c r="M176" s="38">
        <f ca="1">IFERROR(SUM(M164:M175),"")</f>
        <v>8.3333333333333592E-3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</v>
      </c>
      <c r="G190" s="40">
        <f>G176+G189</f>
        <v>16.8</v>
      </c>
      <c r="H190" s="41"/>
      <c r="I190" s="41"/>
      <c r="J190" s="41"/>
      <c r="K190" s="41"/>
      <c r="L190" s="41"/>
      <c r="M190" s="42">
        <f ca="1">IFERROR(M176+M189,"")</f>
        <v>8.3333333333333592E-3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H172" sqref="H1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</v>
      </c>
      <c r="G176" s="36">
        <f>SUM(G164:G175)</f>
        <v>21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</v>
      </c>
      <c r="G190" s="40">
        <f>G176+G189</f>
        <v>21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2026-08-07T13:02:14Z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