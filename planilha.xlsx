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815" documentId="8_{AF585B22-221D-4780-BB9C-493D365A6A02}" xr6:coauthVersionLast="47" xr6:coauthVersionMax="47" xr10:uidLastSave="{1B9B5DB4-D016-4B3A-BA6C-0F8925D339D4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<sst xmlns="http://schemas.openxmlformats.org/spreadsheetml/2006/main" count="10184" uniqueCount="394">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</sst>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595370</v>
      </c>
      <c r="E28" s="8">
        <f>IFERROR('Linha 2'!O676,"")</f>
        <v>446880</v>
      </c>
      <c r="F28" s="8">
        <f>IFERROR('Linha 3'!O676,"")</f>
        <v>0</v>
      </c>
      <c r="G28" s="9">
        <f t="shared" si="0"/>
        <v>1042250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76084568</v>
      </c>
      <c r="D35" s="13">
        <f>IFERROR(SUM(D4:D34),"")</f>
        <v>30077060</v>
      </c>
      <c r="E35" s="13">
        <f>IFERROR(SUM(E4:E34),"")</f>
        <v>17510650</v>
      </c>
      <c r="F35" s="13">
        <f>IFERROR(SUM(F4:F34),"")</f>
        <v>31043010</v>
      </c>
      <c r="G35" s="13">
        <f>IFERROR(SUM(G4:G34),"")</f>
        <v>78630720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F671" sqref="F67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/>
      <c r="M664" s="30">
        <f t="shared" ca="1" si="148"/>
        <v>7.7501273153757211E-2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0.23861238426486842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0.24764016204264616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F672" sqref="F6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0.93514016203698702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1.0927790509258759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1.2025012731480982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0.91361238426179625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1.0844457175951296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1.2295846064840186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0.44347349537565606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0.57611238426454503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126</v>
      </c>
      <c r="G675" s="36">
        <f>SUM(G663:G674)</f>
        <v>529.20000000000005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251</v>
      </c>
      <c r="G676" s="40">
        <f>G662+G675</f>
        <v>1062.2</v>
      </c>
      <c r="H676" s="41"/>
      <c r="I676" s="41"/>
      <c r="J676" s="41"/>
      <c r="K676" s="41"/>
      <c r="L676" s="41"/>
      <c r="M676" s="42">
        <f ca="1">IFERROR(M662+M675,"")</f>
        <v>0.68791793982010074</v>
      </c>
      <c r="N676" s="40" t="s">
        <v>236</v>
      </c>
      <c r="O676" s="83">
        <f>IFERROR(O662+O675,"")</f>
        <v>595370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F672" sqref="F6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65</v>
      </c>
      <c r="G675" s="36">
        <f>SUM(G663:G674)</f>
        <v>273.00000000000006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160</v>
      </c>
      <c r="G676" s="40">
        <f>G662+G675</f>
        <v>680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446880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46" activePane="bottomLeft" state="frozen"/>
      <selection pane="bottomLeft" activeCell="F672" sqref="F67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350</v>
      </c>
      <c r="L58" s="29">
        <v>0.54097222222222219</v>
      </c>
      <c r="M58" s="30" t="str">
        <f t="shared" ca="1" si="13"/>
        <v/>
      </c>
      <c r="N58" s="27" t="s">
        <v>351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0.92541793981945375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1.1247234953750094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1.4920846064861204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68</v>
      </c>
      <c r="G675" s="36">
        <f>SUM(G663:G674)</f>
        <v>285.60000000000002</v>
      </c>
      <c r="H675" s="37"/>
      <c r="I675" s="37"/>
      <c r="J675" s="37"/>
      <c r="K675" s="61"/>
      <c r="L675" s="61"/>
      <c r="M675" s="38">
        <f ca="1">IFERROR(SUM(M663:M674),"")</f>
        <v>0.23611111111111105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68</v>
      </c>
      <c r="G676" s="40">
        <f>G662+G675</f>
        <v>285.60000000000002</v>
      </c>
      <c r="H676" s="41"/>
      <c r="I676" s="41"/>
      <c r="J676" s="41"/>
      <c r="K676" s="63"/>
      <c r="L676" s="63"/>
      <c r="M676" s="42">
        <f ca="1">IFERROR(M662+M675,"")</f>
        <v>0.73611111111111094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2026-07-26T08:11:59Z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