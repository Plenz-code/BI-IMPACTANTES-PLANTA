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50" documentId="13_ncr:1_{A6DBCFB4-28D9-4249-9038-216934055CA6}" xr6:coauthVersionLast="47" xr6:coauthVersionMax="47" xr10:uidLastSave="{462A06C6-C40A-41B2-9A55-79D24C588BA3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<sst xmlns="http://schemas.openxmlformats.org/spreadsheetml/2006/main" count="10861" uniqueCount="443">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</sst>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1">IFERROR(SUM(C4:C34),"")</f>
        <v>88225050</v>
      </c>
      <c r="D35" s="30">
        <f t="shared" si="1"/>
        <v>27924670</v>
      </c>
      <c r="E35" s="30">
        <f t="shared" si="1"/>
        <v>15888570</v>
      </c>
      <c r="F35" s="30">
        <f t="shared" si="1"/>
        <v>37613570</v>
      </c>
      <c r="G35" s="30">
        <f t="shared" si="1"/>
        <v>81426810</v>
      </c>
      <c r="H35" s="31">
        <f t="shared" si="1"/>
        <v>8678.4145946384142</v>
      </c>
      <c r="I35" s="31">
        <f t="shared" si="1"/>
        <v>9156.869999999999</v>
      </c>
      <c r="J35" s="32">
        <f>IFERROR(IF(H35&gt;I35,MAX(0,2-H35/I35),H35/I35),"")</f>
        <v>0.94774902282531204</v>
      </c>
      <c r="K35" s="170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4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4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4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4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4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4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4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4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4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4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4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4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4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4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4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4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4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4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4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4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4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4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4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4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4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4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4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4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4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4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4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4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4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4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4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4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4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4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4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4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4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4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4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4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4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4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4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4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4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4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4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4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4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4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4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4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4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4"/>
      <c r="N61" s="39"/>
      <c r="O61" s="39"/>
      <c r="P61" s="39" t="s">
        <v>227</v>
      </c>
      <c r="Q61" s="39"/>
      <c r="R61" s="39"/>
    </row>
    <row r="62" spans="1:18" ht="15" customHeight="1">
      <c r="M62" s="164"/>
      <c r="N62" s="36"/>
      <c r="O62" s="36"/>
      <c r="P62" s="36" t="s">
        <v>228</v>
      </c>
      <c r="Q62" s="36"/>
      <c r="R62" s="36"/>
    </row>
    <row r="63" spans="1:18" ht="15" customHeight="1">
      <c r="M63" s="164"/>
      <c r="N63" s="39"/>
      <c r="O63" s="39"/>
      <c r="P63" s="39" t="s">
        <v>229</v>
      </c>
      <c r="Q63" s="39"/>
      <c r="R63" s="39"/>
    </row>
    <row r="64" spans="1:18" ht="15" customHeight="1">
      <c r="M64" s="164"/>
      <c r="N64" s="36"/>
      <c r="O64" s="36"/>
      <c r="P64" s="36" t="s">
        <v>230</v>
      </c>
      <c r="Q64" s="36"/>
      <c r="R64" s="36"/>
    </row>
    <row r="65" spans="13:18" ht="15" customHeight="1">
      <c r="M65" s="164"/>
      <c r="N65" s="39"/>
      <c r="O65" s="39"/>
      <c r="P65" s="39" t="s">
        <v>231</v>
      </c>
      <c r="Q65" s="39"/>
      <c r="R65" s="39"/>
    </row>
    <row r="66" spans="13:18" ht="15" customHeight="1">
      <c r="M66" s="164"/>
      <c r="N66" s="36"/>
      <c r="O66" s="36"/>
      <c r="P66" s="36" t="s">
        <v>232</v>
      </c>
      <c r="Q66" s="36"/>
      <c r="R66" s="36"/>
    </row>
    <row r="67" spans="13:18" ht="15" customHeight="1">
      <c r="M67" s="164"/>
      <c r="N67" s="39"/>
      <c r="O67" s="39"/>
      <c r="P67" s="39" t="s">
        <v>233</v>
      </c>
      <c r="Q67" s="39"/>
      <c r="R67" s="39"/>
    </row>
    <row r="68" spans="13:18" ht="15" customHeight="1">
      <c r="M68" s="164"/>
      <c r="N68" s="36"/>
      <c r="O68" s="36"/>
      <c r="P68" s="36" t="s">
        <v>234</v>
      </c>
      <c r="Q68" s="36"/>
      <c r="R68" s="36"/>
    </row>
    <row r="69" spans="13:18" ht="15" customHeight="1">
      <c r="M69" s="164"/>
      <c r="N69" s="39"/>
      <c r="O69" s="39"/>
      <c r="P69" s="39" t="s">
        <v>235</v>
      </c>
      <c r="Q69" s="39"/>
      <c r="R69" s="39"/>
    </row>
    <row r="70" spans="13:18" ht="15" customHeight="1">
      <c r="M70" s="164"/>
      <c r="N70" s="36"/>
      <c r="O70" s="36"/>
      <c r="P70" s="36" t="s">
        <v>236</v>
      </c>
      <c r="Q70" s="36"/>
      <c r="R70" s="36"/>
    </row>
    <row r="71" spans="13:18" ht="15" customHeight="1">
      <c r="M71" s="164"/>
      <c r="N71" s="39"/>
      <c r="O71" s="39"/>
      <c r="P71" s="39" t="s">
        <v>237</v>
      </c>
      <c r="Q71" s="39"/>
      <c r="R71" s="39"/>
    </row>
    <row r="72" spans="13:18" ht="15" customHeight="1">
      <c r="M72" s="164"/>
      <c r="N72" s="36"/>
      <c r="O72" s="36"/>
      <c r="P72" s="36" t="s">
        <v>238</v>
      </c>
      <c r="Q72" s="36"/>
      <c r="R72" s="36"/>
    </row>
    <row r="73" spans="13:18" ht="15" customHeight="1">
      <c r="M73" s="164"/>
      <c r="N73" s="39"/>
      <c r="O73" s="39"/>
      <c r="P73" s="39" t="s">
        <v>239</v>
      </c>
      <c r="Q73" s="39"/>
      <c r="R73" s="39"/>
    </row>
    <row r="74" spans="13:18" ht="15" customHeight="1">
      <c r="M74" s="164"/>
      <c r="N74" s="36"/>
      <c r="O74" s="36"/>
      <c r="P74" s="36" t="s">
        <v>240</v>
      </c>
      <c r="Q74" s="36"/>
      <c r="R74" s="36"/>
    </row>
    <row r="75" spans="13:18" ht="15" customHeight="1">
      <c r="M75" s="164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6" t="s">
        <v>253</v>
      </c>
      <c r="B4" s="166"/>
      <c r="C4" s="166"/>
      <c r="D4" s="16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6" t="s">
        <v>253</v>
      </c>
      <c r="B7" s="166"/>
      <c r="C7" s="166"/>
      <c r="D7" s="16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6" t="s">
        <v>253</v>
      </c>
      <c r="B10" s="166"/>
      <c r="C10" s="166"/>
      <c r="D10" s="16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6" t="s">
        <v>253</v>
      </c>
      <c r="B13" s="166"/>
      <c r="C13" s="166"/>
      <c r="D13" s="16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6" t="s">
        <v>253</v>
      </c>
      <c r="B16" s="166"/>
      <c r="C16" s="166"/>
      <c r="D16" s="16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6" t="s">
        <v>253</v>
      </c>
      <c r="B19" s="166"/>
      <c r="C19" s="166"/>
      <c r="D19" s="16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6" t="s">
        <v>253</v>
      </c>
      <c r="B22" s="166"/>
      <c r="C22" s="166"/>
      <c r="D22" s="16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6" t="s">
        <v>253</v>
      </c>
      <c r="B25" s="166"/>
      <c r="C25" s="166"/>
      <c r="D25" s="16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6" t="s">
        <v>253</v>
      </c>
      <c r="B28" s="166"/>
      <c r="C28" s="166"/>
      <c r="D28" s="16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6" t="s">
        <v>253</v>
      </c>
      <c r="B31" s="166"/>
      <c r="C31" s="166"/>
      <c r="D31" s="16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6" t="s">
        <v>253</v>
      </c>
      <c r="B34" s="166"/>
      <c r="C34" s="166"/>
      <c r="D34" s="16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6" t="s">
        <v>253</v>
      </c>
      <c r="B37" s="166"/>
      <c r="C37" s="166"/>
      <c r="D37" s="16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6" t="s">
        <v>253</v>
      </c>
      <c r="B40" s="166"/>
      <c r="C40" s="166"/>
      <c r="D40" s="16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6" t="s">
        <v>253</v>
      </c>
      <c r="B43" s="166"/>
      <c r="C43" s="166"/>
      <c r="D43" s="16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6" t="s">
        <v>253</v>
      </c>
      <c r="B46" s="166"/>
      <c r="C46" s="166"/>
      <c r="D46" s="16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6" t="s">
        <v>253</v>
      </c>
      <c r="B49" s="166"/>
      <c r="C49" s="166"/>
      <c r="D49" s="16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6" t="s">
        <v>253</v>
      </c>
      <c r="B52" s="166"/>
      <c r="C52" s="166"/>
      <c r="D52" s="16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6" t="s">
        <v>253</v>
      </c>
      <c r="B55" s="166"/>
      <c r="C55" s="166"/>
      <c r="D55" s="16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6" t="s">
        <v>253</v>
      </c>
      <c r="B58" s="166"/>
      <c r="C58" s="166"/>
      <c r="D58" s="16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6" t="s">
        <v>253</v>
      </c>
      <c r="B61" s="166"/>
      <c r="C61" s="166"/>
      <c r="D61" s="16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6" t="s">
        <v>253</v>
      </c>
      <c r="B64" s="166"/>
      <c r="C64" s="166"/>
      <c r="D64" s="16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6" t="s">
        <v>253</v>
      </c>
      <c r="B67" s="166"/>
      <c r="C67" s="166"/>
      <c r="D67" s="16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6" t="s">
        <v>253</v>
      </c>
      <c r="B70" s="166"/>
      <c r="C70" s="166"/>
      <c r="D70" s="16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6" t="s">
        <v>253</v>
      </c>
      <c r="B73" s="166"/>
      <c r="C73" s="166"/>
      <c r="D73" s="16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6" t="s">
        <v>253</v>
      </c>
      <c r="B76" s="166"/>
      <c r="C76" s="166"/>
      <c r="D76" s="16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6" t="s">
        <v>253</v>
      </c>
      <c r="B79" s="166"/>
      <c r="C79" s="166"/>
      <c r="D79" s="16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6" t="s">
        <v>253</v>
      </c>
      <c r="B82" s="166"/>
      <c r="C82" s="166"/>
      <c r="D82" s="16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6" t="s">
        <v>253</v>
      </c>
      <c r="B85" s="166"/>
      <c r="C85" s="166"/>
      <c r="D85" s="16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6" t="s">
        <v>253</v>
      </c>
      <c r="B88" s="166"/>
      <c r="C88" s="166"/>
      <c r="D88" s="16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6" t="s">
        <v>253</v>
      </c>
      <c r="B91" s="166"/>
      <c r="C91" s="166"/>
      <c r="D91" s="16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6" t="s">
        <v>253</v>
      </c>
      <c r="B94" s="166"/>
      <c r="C94" s="166"/>
      <c r="D94" s="16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0" sqref="F66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7" t="s">
        <v>264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7" t="s">
        <v>267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8" t="s">
        <v>253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7" t="s">
        <v>264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7" t="s">
        <v>267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8" t="s">
        <v>253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7" t="s">
        <v>264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7" t="s">
        <v>267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8" t="s">
        <v>253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7" t="s">
        <v>264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7" t="s">
        <v>267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8" t="s">
        <v>253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7" t="s">
        <v>264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7" t="s">
        <v>267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8" t="s">
        <v>253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7" t="s">
        <v>264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7" t="s">
        <v>267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8" t="s">
        <v>253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7" t="s">
        <v>264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7" t="s">
        <v>267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8" t="s">
        <v>253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7" t="s">
        <v>264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7" t="s">
        <v>267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8" t="s">
        <v>253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7" t="s">
        <v>264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7" t="s">
        <v>267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8" t="s">
        <v>253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7" t="s">
        <v>264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7" t="s">
        <v>267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8" t="s">
        <v>253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7" t="s">
        <v>264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7" t="s">
        <v>267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8" t="s">
        <v>253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7" t="s">
        <v>264</v>
      </c>
      <c r="B311" s="167"/>
      <c r="C311" s="167"/>
      <c r="D311" s="167"/>
      <c r="E311" s="16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7" t="s">
        <v>267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8" t="s">
        <v>253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7" t="s">
        <v>264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7" t="s">
        <v>267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8" t="s">
        <v>253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7" t="s">
        <v>264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7" t="s">
        <v>267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8" t="s">
        <v>253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7" t="s">
        <v>264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7" t="s">
        <v>267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8" t="s">
        <v>253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7" t="s">
        <v>264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7" t="s">
        <v>267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8" t="s">
        <v>253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7" t="s">
        <v>264</v>
      </c>
      <c r="B446" s="167"/>
      <c r="C446" s="167"/>
      <c r="D446" s="167"/>
      <c r="E446" s="16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7" t="s">
        <v>267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8" t="s">
        <v>253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7" t="s">
        <v>264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7" t="s">
        <v>267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8" t="s">
        <v>253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7" t="s">
        <v>264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7" t="s">
        <v>267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8" t="s">
        <v>253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7" t="s">
        <v>264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7" t="s">
        <v>267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8" t="s">
        <v>253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7" t="s">
        <v>264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7" t="s">
        <v>267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8" t="s">
        <v>253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7" t="s">
        <v>264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7" t="s">
        <v>267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8" t="s">
        <v>253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7" t="s">
        <v>264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7" t="s">
        <v>267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8" t="s">
        <v>253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7" t="s">
        <v>264</v>
      </c>
      <c r="B635" s="167"/>
      <c r="C635" s="167"/>
      <c r="D635" s="167"/>
      <c r="E635" s="16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7" t="s">
        <v>267</v>
      </c>
      <c r="B648" s="167"/>
      <c r="C648" s="167"/>
      <c r="D648" s="167"/>
      <c r="E648" s="16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8" t="s">
        <v>253</v>
      </c>
      <c r="B649" s="168"/>
      <c r="C649" s="168"/>
      <c r="D649" s="168"/>
      <c r="E649" s="16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/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/>
      <c r="I651" s="69"/>
      <c r="J651" s="69"/>
      <c r="K651" s="64"/>
      <c r="L651" s="64"/>
      <c r="M651" s="70" t="str">
        <f t="shared" ca="1" si="141"/>
        <v/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/>
      <c r="G660" s="63" t="str">
        <f t="shared" si="140"/>
        <v/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/>
      <c r="G661" s="68" t="str">
        <f t="shared" si="140"/>
        <v/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7" t="s">
        <v>264</v>
      </c>
      <c r="B662" s="167"/>
      <c r="C662" s="167"/>
      <c r="D662" s="167"/>
      <c r="E662" s="167"/>
      <c r="F662" s="2">
        <f>SUM(F650:F661)</f>
        <v>270</v>
      </c>
      <c r="G662" s="2">
        <f>SUM(G650:G661)</f>
        <v>1350</v>
      </c>
      <c r="H662" s="71"/>
      <c r="I662" s="71"/>
      <c r="J662" s="71"/>
      <c r="K662" s="71"/>
      <c r="L662" s="71"/>
      <c r="M662" s="72">
        <f ca="1">IFERROR(SUM(M650:M661),"")</f>
        <v>0.10902777777777772</v>
      </c>
      <c r="N662" s="2" t="s">
        <v>265</v>
      </c>
      <c r="O662" s="73"/>
    </row>
    <row r="663" spans="1:15" ht="15" customHeight="1">
      <c r="A663" s="18">
        <v>46259</v>
      </c>
      <c r="B663" s="67">
        <v>0.83333333333333304</v>
      </c>
      <c r="C663" s="69"/>
      <c r="D663" s="74"/>
      <c r="E663" s="74"/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/>
      <c r="D664" s="74"/>
      <c r="E664" s="74"/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/>
      <c r="D665" s="74"/>
      <c r="E665" s="74"/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/>
      <c r="D666" s="74"/>
      <c r="E666" s="74"/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/>
      <c r="D667" s="74"/>
      <c r="E667" s="74"/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/>
      <c r="D668" s="74"/>
      <c r="E668" s="74"/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/>
      <c r="D669" s="74"/>
      <c r="E669" s="74"/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/>
      <c r="D670" s="74"/>
      <c r="E670" s="74"/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/>
      <c r="D671" s="74"/>
      <c r="E671" s="74"/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/>
      <c r="D672" s="74"/>
      <c r="E672" s="74"/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/>
      <c r="D673" s="74"/>
      <c r="E673" s="74"/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0"/>
      <c r="D674" s="61"/>
      <c r="E674" s="61"/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7" t="s">
        <v>267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8" t="s">
        <v>253</v>
      </c>
      <c r="B676" s="168"/>
      <c r="C676" s="168"/>
      <c r="D676" s="168"/>
      <c r="E676" s="168"/>
      <c r="F676" s="1">
        <f>F662+F675</f>
        <v>270</v>
      </c>
      <c r="G676" s="1">
        <f>G662+G675</f>
        <v>1350</v>
      </c>
      <c r="H676" s="75"/>
      <c r="I676" s="75"/>
      <c r="J676" s="75"/>
      <c r="K676" s="75"/>
      <c r="L676" s="75"/>
      <c r="M676" s="76">
        <f ca="1">IFERROR(M662+M675,"")</f>
        <v>0.10902777777777772</v>
      </c>
      <c r="N676" s="1" t="s">
        <v>268</v>
      </c>
      <c r="O676" s="81">
        <f>IFERROR(O662+O675,"")</f>
        <v>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7" t="s">
        <v>264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7" t="s">
        <v>267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8" t="s">
        <v>253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7" t="s">
        <v>264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7" t="s">
        <v>267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8" t="s">
        <v>253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7" t="s">
        <v>264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7" t="s">
        <v>267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8" t="s">
        <v>253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7" t="s">
        <v>264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7" t="s">
        <v>267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8" t="s">
        <v>253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7" t="s">
        <v>264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7" t="s">
        <v>267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8" t="s">
        <v>253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7" t="s">
        <v>264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7" t="s">
        <v>267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8" t="s">
        <v>253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G660" sqref="G66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311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312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313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315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316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317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318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0.61962118055089377</v>
      </c>
      <c r="R53" s="79" t="s">
        <v>319</v>
      </c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0.7585100694397815</v>
      </c>
      <c r="R54" s="2" t="s">
        <v>265</v>
      </c>
      <c r="S54" s="112">
        <v>352430</v>
      </c>
      <c r="T54" s="113"/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0.84323229166200431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311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320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321</v>
      </c>
      <c r="Q96" s="65" t="str">
        <f t="shared" ref="Q96:Q107" ca="1" si="22">IFERROR(IF(O96="","",IF(P96="",MOD(NOW()-O96,1),IF(P96&gt;=O96,P96-O96,P96+1-O96))),"")</f>
        <v/>
      </c>
      <c r="R96" s="79" t="s">
        <v>322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323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324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325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326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327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328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330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331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332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325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320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334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335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336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337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338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339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340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332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327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320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341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342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343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344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345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346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347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348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349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350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327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351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352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353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354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355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327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356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357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28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117.60000000000001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28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117.60000000000001</v>
      </c>
      <c r="L676" s="75"/>
      <c r="M676" s="75"/>
      <c r="N676" s="75"/>
      <c r="O676" s="75"/>
      <c r="P676" s="75"/>
      <c r="Q676" s="76">
        <f ca="1">IFERROR(Q662+Q675,"")</f>
        <v>0.36458333333333331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G659" sqref="G65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314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359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320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328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320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331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331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369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371</v>
      </c>
      <c r="Q222" s="65" t="str">
        <f t="shared" ca="1" si="49"/>
        <v/>
      </c>
      <c r="R222" s="62" t="s">
        <v>372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338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339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320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342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379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320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320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320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320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320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/>
      <c r="Q650" s="65">
        <f t="shared" ref="Q650:Q661" ca="1" si="169">IFERROR(IF(O650="","",IF(P650="",MOD(NOW()-O650,1),IF(P650&gt;=O650,P650-O650,P650+1-O650))),"")</f>
        <v>0.44948229166766396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67"/>
        <v/>
      </c>
      <c r="K659" s="68" t="str">
        <f t="shared" si="168"/>
        <v/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67"/>
        <v/>
      </c>
      <c r="K660" s="63" t="str">
        <f t="shared" si="168"/>
        <v/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67"/>
        <v/>
      </c>
      <c r="K661" s="68" t="str">
        <f t="shared" si="168"/>
        <v/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0.44948229166766396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0.44948229166766396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1" activePane="bottomLeft" state="frozen"/>
      <selection pane="bottomLeft" activeCell="P655" sqref="P65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389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317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390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391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392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393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394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395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396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397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320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398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399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328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400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402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403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404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405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406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407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408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409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410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411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412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413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414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415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416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417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342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418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419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420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421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422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416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423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424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425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426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427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428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429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430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431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432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415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416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433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434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435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436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415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437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432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438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439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440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441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61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100.80000000000001</v>
      </c>
      <c r="L655" s="69"/>
      <c r="M655" s="69"/>
      <c r="N655" s="69"/>
      <c r="O655" s="64"/>
      <c r="P655" s="64"/>
      <c r="Q655" s="70" t="str">
        <f t="shared" ca="1" si="172"/>
        <v/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97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417.8</v>
      </c>
      <c r="L662" s="71"/>
      <c r="M662" s="71"/>
      <c r="N662" s="71"/>
      <c r="O662" s="133"/>
      <c r="P662" s="133"/>
      <c r="Q662" s="72">
        <f ca="1">IFERROR(SUM(Q650:Q661),"")</f>
        <v>0.25833333333333325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97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417.8</v>
      </c>
      <c r="L676" s="75"/>
      <c r="M676" s="75"/>
      <c r="N676" s="75"/>
      <c r="O676" s="134"/>
      <c r="P676" s="134"/>
      <c r="Q676" s="76">
        <f ca="1">IFERROR(Q662+Q675,"")</f>
        <v>0.25833333333333325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2026-08-25T21:49:16Z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