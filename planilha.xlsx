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621" documentId="8_{AF585B22-221D-4780-BB9C-493D365A6A02}" xr6:coauthVersionLast="47" xr6:coauthVersionMax="47" xr10:uidLastSave="{8825809B-D934-452E-BC4A-B1D65761123C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<sst xmlns="http://schemas.openxmlformats.org/spreadsheetml/2006/main" count="12203" uniqueCount="439">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</sst>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/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7" activePane="bottomLeft" state="frozen"/>
      <selection pane="bottomLeft" activeCell="F809" sqref="F8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233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309</v>
      </c>
      <c r="G810" s="36">
        <f>SUM(G798:G809)</f>
        <v>1524.2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40">
        <f>F797+F810</f>
        <v>600</v>
      </c>
      <c r="G811" s="40">
        <f>G797+G810</f>
        <v>1524.2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37"/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77" activePane="bottomLeft" state="frozen"/>
      <selection pane="bottomLeft" activeCell="F810" sqref="F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2.6495486112253275E-2</v>
      </c>
      <c r="N377" s="46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0.18413437500114216</v>
      </c>
      <c r="N378" s="36" t="s">
        <v>236</v>
      </c>
      <c r="O378" s="77">
        <v>511980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0.29385659722336432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4.9677083370625041E-3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0.17580104167039587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0.32093993055928471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235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171</v>
      </c>
      <c r="G810" s="36">
        <f>SUM(G798:G809)</f>
        <v>718.20000000000016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325</v>
      </c>
      <c r="G811" s="40">
        <f>G797+G810</f>
        <v>1370.6000000000001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239</v>
      </c>
      <c r="O811" s="82">
        <f>IFERROR(O797+O810,"")</f>
        <v>648030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77" zoomScale="50" zoomScaleNormal="50" workbookViewId="0">
      <selection activeCell="F810" sqref="F8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235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235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239</v>
      </c>
      <c r="O811" s="43">
        <f>IFERROR(O797+O810,"")</f>
        <v>419450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92" activePane="bottomLeft" state="frozen"/>
      <selection pane="bottomLeft" activeCell="F810" sqref="F81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235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237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22" t="s">
        <v>238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235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237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22" t="s">
        <v>238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235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237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22" t="s">
        <v>238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235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237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22" t="s">
        <v>238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235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1.6773263894720003E-2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237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0.21607881945027563</v>
      </c>
      <c r="N135" s="36" t="s">
        <v>236</v>
      </c>
      <c r="O135" s="39">
        <v>729290</v>
      </c>
    </row>
    <row r="136" spans="1:18" ht="18" customHeight="1">
      <c r="A136" s="122" t="s">
        <v>238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0.58343993056138665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235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237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22" t="s">
        <v>238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235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237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22" t="s">
        <v>238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235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237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22" t="s">
        <v>238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235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237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22" t="s">
        <v>238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235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237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22" t="s">
        <v>238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235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237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22" t="s">
        <v>238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235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237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22" t="s">
        <v>238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235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237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22" t="s">
        <v>238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237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22" t="s">
        <v>238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235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237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22" t="s">
        <v>238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235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237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22" t="s">
        <v>238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235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237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22" t="s">
        <v>238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235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237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22" t="s">
        <v>238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235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237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22" t="s">
        <v>238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235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237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22" t="s">
        <v>238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235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237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22" t="s">
        <v>238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235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237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22" t="s">
        <v>238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235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237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22" t="s">
        <v>238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235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237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22" t="s">
        <v>238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235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237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22" t="s">
        <v>238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235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237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22" t="s">
        <v>238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235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237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22" t="s">
        <v>238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235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237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22" t="s">
        <v>238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235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237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22" t="s">
        <v>238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235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>
        <v>6</v>
      </c>
      <c r="G809" s="34">
        <f t="shared" si="176"/>
        <v>25.200000000000003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237</v>
      </c>
      <c r="B810" s="120"/>
      <c r="C810" s="120"/>
      <c r="D810" s="120"/>
      <c r="E810" s="121">
        <f>SUM(E798:E809)</f>
        <v>0</v>
      </c>
      <c r="F810" s="36">
        <f>SUM(F798:F809)</f>
        <v>158</v>
      </c>
      <c r="G810" s="36">
        <f>SUM(G798:G809)</f>
        <v>663.60000000000014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236</v>
      </c>
      <c r="O810" s="39"/>
    </row>
    <row r="811" spans="1:15" ht="18" customHeight="1">
      <c r="A811" s="122" t="s">
        <v>238</v>
      </c>
      <c r="B811" s="123"/>
      <c r="C811" s="123"/>
      <c r="D811" s="123"/>
      <c r="E811" s="124">
        <f>E797+E810</f>
        <v>0</v>
      </c>
      <c r="F811" s="40">
        <f>F797+F810</f>
        <v>180</v>
      </c>
      <c r="G811" s="40">
        <f>G797+G810</f>
        <v>756.00000000000011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239</v>
      </c>
      <c r="O811" s="43">
        <f>IFERROR(O797+O810,"")</f>
        <v>99040</v>
      </c>
    </row>
    <row r="812" spans="1:15" ht="15">
      <c r="A812" s="106">
        <v>46234</v>
      </c>
      <c r="B812" s="103">
        <v>0.33333333333333298</v>
      </c>
      <c r="C812" s="80"/>
      <c r="D812" s="99"/>
      <c r="E812" s="99"/>
      <c r="F812" s="100"/>
      <c r="G812" s="104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/>
      <c r="D813" s="99"/>
      <c r="E813" s="108"/>
      <c r="F813" s="100"/>
      <c r="G813" s="104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/>
      <c r="D814" s="99"/>
      <c r="E814" s="99"/>
      <c r="F814" s="100"/>
      <c r="G814" s="104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/>
      <c r="D815" s="99"/>
      <c r="E815" s="108"/>
      <c r="F815" s="100"/>
      <c r="G815" s="104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/>
      <c r="D816" s="99"/>
      <c r="E816" s="99"/>
      <c r="F816" s="100"/>
      <c r="G816" s="104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/>
      <c r="D817" s="99"/>
      <c r="E817" s="108"/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/>
      <c r="D818" s="99"/>
      <c r="E818" s="99"/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/>
      <c r="D819" s="99"/>
      <c r="E819" s="108"/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/>
      <c r="D820" s="99"/>
      <c r="E820" s="99"/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/>
      <c r="D821" s="99"/>
      <c r="E821" s="108"/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/>
      <c r="D822" s="99"/>
      <c r="E822" s="99"/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/>
      <c r="D823" s="99"/>
      <c r="E823" s="108"/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235</v>
      </c>
      <c r="B824" s="114"/>
      <c r="C824" s="114"/>
      <c r="D824" s="114"/>
      <c r="E824" s="115">
        <f>SUM(E812:E823)</f>
        <v>0</v>
      </c>
      <c r="F824" s="109">
        <f>SUM(F812:F823)</f>
        <v>0</v>
      </c>
      <c r="G824" s="109">
        <f>SUM(G812:G823)</f>
        <v>0</v>
      </c>
      <c r="H824" s="37"/>
      <c r="I824" s="37"/>
      <c r="J824" s="37"/>
      <c r="K824" s="37"/>
      <c r="L824" s="37"/>
      <c r="M824" s="110">
        <f ca="1">IFERROR(SUM(M812:M823),"")</f>
        <v>0</v>
      </c>
      <c r="N824" s="109" t="s">
        <v>236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237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236</v>
      </c>
      <c r="O837" s="77"/>
    </row>
    <row r="838" spans="1:15" ht="15">
      <c r="A838" s="116" t="s">
        <v>238</v>
      </c>
      <c r="B838" s="117"/>
      <c r="C838" s="117"/>
      <c r="D838" s="117"/>
      <c r="E838" s="118">
        <f>E824+E837</f>
        <v>0</v>
      </c>
      <c r="F838" s="111">
        <f>F824+F837</f>
        <v>0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</v>
      </c>
      <c r="N838" s="111" t="s">
        <v>239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2026-07-31T10:23:23Z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