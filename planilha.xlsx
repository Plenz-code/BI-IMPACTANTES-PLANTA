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087" documentId="8_{AF585B22-221D-4780-BB9C-493D365A6A02}" xr6:coauthVersionLast="47" xr6:coauthVersionMax="47" xr10:uidLastSave="{B714BC09-E7B3-4DF3-8A55-5156C2E07EA8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<sst xmlns="http://schemas.openxmlformats.org/spreadsheetml/2006/main" count="4715" uniqueCount="289">
  <si>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</si>
  <si>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</si>
  <si>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</si>
  <si>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</si>
  <si>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</si>
  <si>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</si>
  <si>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</si>
  <si>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</si>
  <si>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</si>
  <si>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</si>
  <si>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</si>
  <si>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</si>
  <si>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</si>
  <si>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</si>
  <si>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</si>
  <si>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</si>
  <si>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</si>
  <si>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</si>
  <si>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</si>
  <si>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</si>
  <si>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</si>
  <si>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</si>
  <si>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</si>
  <si>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</si>
  <si>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</si>
  <si>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</si>
  <si>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</si>
  <si>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</si>
  <si>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</si>
  <si>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</si>
  <si>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</si>
  <si>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</si>
  <si>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</si>
  <si>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</si>
  <si>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</si>
  <si>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</si>
  <si>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</si>
  <si>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</si>
  <si>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</si>
  <si>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</si>
  <si>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</si>
  <si>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</si>
  <si>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</si>
  <si>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</si>
  <si>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</si>
  <si>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</si>
  <si>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</si>
  <si>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</si>
  <si>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</si>
  <si>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</si>
  <si>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</si>
  <si>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</si>
  <si>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</si>
  <si>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</si>
  <si>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</si>
  <si>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</si>
  <si>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</si>
  <si>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</si>
  <si>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</si>
  <si>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</si>
  <si>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</si>
  <si>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</si>
  <si>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</si>
  <si>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</si>
  <si>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</si>
  <si>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</si>
  <si>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</si>
  <si>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</si>
  <si>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</si>
  <si>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</si>
  <si>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</si>
  <si>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</si>
  <si>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</si>
  <si>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</si>
  <si>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</si>
  <si>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</si>
  <si>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</si>
  <si>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</si>
  <si>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</si>
  <si>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</si>
  <si>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</si>
  <si>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</si>
  <si>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</si>
  <si>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</si>
  <si>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</si>
  <si>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</si>
  <si>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</si>
  <si>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</si>
  <si>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</si>
  <si>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</si>
  <si>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</si>
  <si>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</si>
  <si>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</si>
  <si>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</si>
  <si>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</si>
  <si>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</si>
  <si>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</si>
  <si>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</si>
  <si>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</si>
  <si>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</si>
  <si>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</si>
  <si>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</si>
  <si>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</si>
  <si>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</si>
  <si>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</si>
  <si>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</si>
  <si>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</si>
  <si>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</si>
  <si>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</si>
  <si>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</si>
  <si>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</si>
  <si>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</si>
  <si>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</si>
  <si>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</si>
  <si>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</si>
  <si>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</si>
  <si>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</si>
  <si>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</si>
  <si>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</si>
  <si>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</si>
  <si>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</si>
  <si>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</si>
  <si>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</si>
  <si>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</si>
  <si>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</si>
  <si>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</si>
  <si>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</si>
  <si>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</si>
  <si>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</si>
  <si>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</si>
  <si>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</si>
  <si>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</si>
  <si>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</si>
  <si>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</si>
  <si>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</si>
  <si>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</si>
  <si>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</si>
  <si>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</si>
  <si>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</si>
  <si>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</si>
  <si>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</si>
  <si>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</si>
  <si>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</si>
  <si>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</si>
  <si>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</si>
  <si>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</si>
  <si>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</si>
  <si>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</si>
  <si>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</si>
  <si>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</si>
  <si>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</si>
  <si>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</si>
  <si>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</si>
  <si>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</si>
  <si>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</si>
  <si>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</si>
  <si>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</si>
  <si>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</si>
  <si>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</si>
  <si>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</si>
  <si>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</si>
  <si>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</si>
  <si>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</si>
  <si>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</si>
  <si>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</si>
  <si>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</si>
  <si>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</si>
  <si>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</si>
  <si>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</si>
  <si>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</si>
  <si>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</si>
  <si>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</si>
  <si>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</si>
  <si>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</si>
  <si>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</si>
  <si>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</si>
  <si>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</si>
  <si>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</si>
  <si>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</si>
  <si>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</si>
  <si>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</si>
  <si>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</si>
  <si>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</si>
  <si>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</si>
  <si>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</si>
  <si>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</si>
  <si>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</si>
  <si>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</si>
  <si>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</si>
  <si>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</si>
  <si>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</si>
  <si>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</si>
  <si>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</si>
  <si>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</si>
  <si>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</si>
  <si>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</si>
  <si>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</si>
  <si>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</si>
  <si>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</si>
  <si>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</si>
  <si>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</si>
  <si>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</si>
  <si>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</si>
  <si>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</si>
  <si>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</si>
  <si>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</si>
  <si>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</si>
  <si>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</si>
  <si>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</si>
  <si>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</si>
  <si>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</si>
  <si>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</si>
  <si>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</si>
  <si>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</si>
  <si>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</si>
  <si>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</si>
  <si>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</si>
  <si>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</si>
  <si>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</si>
  <si>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</si>
  <si>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</si>
  <si>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</si>
  <si>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</si>
  <si>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</si>
  <si>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</si>
  <si>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</si>
  <si>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</si>
  <si>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</si>
  <si>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</si>
  <si>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</si>
  <si>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</si>
  <si>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</si>
  <si>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</si>
  <si>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</si>
  <si>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</si>
  <si>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</si>
  <si>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</si>
  <si>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</si>
  <si>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</si>
  <si>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</si>
  <si>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</si>
  <si>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</si>
  <si>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</si>
  <si>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</si>
  <si>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</si>
  <si>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</si>
  <si>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</si>
  <si>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</si>
  <si>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</si>
  <si>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</si>
  <si>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 xml:space="preserve">e troca de grelhas no moinho 02 e teve que coloca outra balata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</si>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</sst>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F277" sqref="F27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75</v>
      </c>
      <c r="G284" s="36">
        <f>SUM(G272:G283)</f>
        <v>375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75</v>
      </c>
      <c r="G298" s="40">
        <f>G284+G297</f>
        <v>375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F277" sqref="F2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21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5</v>
      </c>
      <c r="G273" s="34">
        <f t="shared" si="60"/>
        <v>21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27</v>
      </c>
      <c r="G284" s="36">
        <f>SUM(G272:G283)</f>
        <v>113.4</v>
      </c>
      <c r="H284" s="37"/>
      <c r="I284" s="37"/>
      <c r="J284" s="37"/>
      <c r="K284" s="37"/>
      <c r="L284" s="37"/>
      <c r="M284" s="38">
        <f ca="1">IFERROR(SUM(M272:M283),"")</f>
        <v>0.1555555555555555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27</v>
      </c>
      <c r="G298" s="40">
        <f>G284+G297</f>
        <v>113.4</v>
      </c>
      <c r="H298" s="41"/>
      <c r="I298" s="41"/>
      <c r="J298" s="41"/>
      <c r="K298" s="41"/>
      <c r="L298" s="41"/>
      <c r="M298" s="42">
        <f ca="1">IFERROR(M284+M297,"")</f>
        <v>0.1555555555555555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42" zoomScale="50" zoomScaleNormal="50" workbookViewId="0">
      <selection activeCell="J273" sqref="J2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/>
      <c r="M273" s="35">
        <f t="shared" ca="1" si="61"/>
        <v>7.1759259299142286E-4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44</v>
      </c>
      <c r="G284" s="36">
        <f>SUM(G272:G283)</f>
        <v>184.79999999999998</v>
      </c>
      <c r="H284" s="37"/>
      <c r="I284" s="37"/>
      <c r="J284" s="37"/>
      <c r="K284" s="37"/>
      <c r="L284" s="37"/>
      <c r="M284" s="38">
        <f ca="1">IFERROR(SUM(M272:M283),"")</f>
        <v>1.3217592592991434E-2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44</v>
      </c>
      <c r="G298" s="40">
        <f>G284+G297</f>
        <v>184.79999999999998</v>
      </c>
      <c r="H298" s="41"/>
      <c r="I298" s="41"/>
      <c r="J298" s="41"/>
      <c r="K298" s="41"/>
      <c r="L298" s="41"/>
      <c r="M298" s="42">
        <f ca="1">IFERROR(M284+M297,"")</f>
        <v>1.3217592592991434E-2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F277" sqref="F2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0.27016203704260988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0.46946759259816551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0.83682870370927653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87</v>
      </c>
      <c r="G284" s="36">
        <f>SUM(G272:G283)</f>
        <v>365.40000000000003</v>
      </c>
      <c r="H284" s="37"/>
      <c r="I284" s="37"/>
      <c r="J284" s="37"/>
      <c r="K284" s="61"/>
      <c r="L284" s="61"/>
      <c r="M284" s="38">
        <f ca="1">IFERROR(SUM(M272:M283),"")</f>
        <v>1.8749999999999989E-2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87</v>
      </c>
      <c r="G298" s="40">
        <f>G284+G297</f>
        <v>365.40000000000003</v>
      </c>
      <c r="H298" s="41"/>
      <c r="I298" s="41"/>
      <c r="J298" s="41"/>
      <c r="K298" s="63"/>
      <c r="L298" s="63"/>
      <c r="M298" s="42">
        <f ca="1">IFERROR(M284+M297,"")</f>
        <v>1.8749999999999989E-2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2026-07-11T16:28:22Z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