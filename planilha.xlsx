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49" documentId="8_{AF585B22-221D-4780-BB9C-493D365A6A02}" xr6:coauthVersionLast="47" xr6:coauthVersionMax="47" xr10:uidLastSave="{409CE95D-D053-48F2-9550-D3DF57522A19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<sst xmlns="http://schemas.openxmlformats.org/spreadsheetml/2006/main" count="7100" uniqueCount="336">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</sst>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5" x14ac:dyDescent="0.2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 x14ac:dyDescent="0.25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 x14ac:dyDescent="0.25">
      <c r="H2" s="105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5"/>
      <c r="I55" s="17"/>
      <c r="J55" s="17"/>
      <c r="K55" s="17" t="s">
        <v>200</v>
      </c>
      <c r="L55" s="17"/>
      <c r="M55" s="17"/>
    </row>
    <row r="56" spans="1:13" ht="15" customHeight="1" x14ac:dyDescent="0.25">
      <c r="H56" s="105"/>
      <c r="I56" s="16"/>
      <c r="J56" s="16"/>
      <c r="K56" s="16" t="s">
        <v>201</v>
      </c>
      <c r="L56" s="16"/>
      <c r="M56" s="16"/>
    </row>
    <row r="57" spans="1:13" ht="15" customHeight="1" x14ac:dyDescent="0.25">
      <c r="H57" s="105"/>
      <c r="I57" s="17"/>
      <c r="J57" s="17"/>
      <c r="K57" s="17" t="s">
        <v>50</v>
      </c>
      <c r="L57" s="17"/>
      <c r="M57" s="17"/>
    </row>
    <row r="58" spans="1:13" ht="15" customHeight="1" x14ac:dyDescent="0.25">
      <c r="H58" s="105"/>
      <c r="I58" s="16"/>
      <c r="J58" s="16"/>
      <c r="K58" s="16" t="s">
        <v>202</v>
      </c>
      <c r="L58" s="16"/>
      <c r="M58" s="16"/>
    </row>
    <row r="59" spans="1:13" ht="15" customHeight="1" x14ac:dyDescent="0.25">
      <c r="H59" s="105"/>
      <c r="I59" s="17"/>
      <c r="J59" s="17"/>
      <c r="K59" s="17" t="s">
        <v>203</v>
      </c>
      <c r="L59" s="17"/>
      <c r="M59" s="17"/>
    </row>
    <row r="60" spans="1:13" ht="15" customHeight="1" x14ac:dyDescent="0.25">
      <c r="H60" s="105"/>
      <c r="I60" s="16"/>
      <c r="J60" s="16"/>
      <c r="K60" s="87" t="s">
        <v>105</v>
      </c>
      <c r="L60" s="16"/>
      <c r="M60" s="16"/>
    </row>
    <row r="61" spans="1:13" ht="15" customHeight="1" x14ac:dyDescent="0.25">
      <c r="H61" s="105"/>
      <c r="I61" s="17"/>
      <c r="J61" s="17"/>
      <c r="K61" s="17" t="s">
        <v>204</v>
      </c>
      <c r="L61" s="17"/>
      <c r="M61" s="17"/>
    </row>
    <row r="62" spans="1:13" ht="15" customHeight="1" x14ac:dyDescent="0.25">
      <c r="H62" s="105"/>
      <c r="I62" s="16"/>
      <c r="J62" s="16"/>
      <c r="K62" s="16" t="s">
        <v>205</v>
      </c>
      <c r="L62" s="16"/>
      <c r="M62" s="16"/>
    </row>
    <row r="63" spans="1:13" ht="15" customHeight="1" x14ac:dyDescent="0.25">
      <c r="H63" s="105"/>
      <c r="I63" s="17"/>
      <c r="J63" s="17"/>
      <c r="K63" s="17" t="s">
        <v>206</v>
      </c>
      <c r="L63" s="17"/>
      <c r="M63" s="17"/>
    </row>
    <row r="64" spans="1:13" ht="15" customHeight="1" x14ac:dyDescent="0.25">
      <c r="H64" s="105"/>
      <c r="I64" s="16"/>
      <c r="J64" s="16"/>
      <c r="K64" s="16" t="s">
        <v>207</v>
      </c>
      <c r="L64" s="16"/>
      <c r="M64" s="16"/>
    </row>
    <row r="65" spans="8:13" ht="15" customHeight="1" x14ac:dyDescent="0.25">
      <c r="H65" s="105"/>
      <c r="I65" s="17"/>
      <c r="J65" s="17"/>
      <c r="K65" s="17" t="s">
        <v>208</v>
      </c>
      <c r="L65" s="17"/>
      <c r="M65" s="17"/>
    </row>
    <row r="66" spans="8:13" ht="15" customHeight="1" x14ac:dyDescent="0.25">
      <c r="H66" s="105"/>
      <c r="I66" s="16"/>
      <c r="J66" s="16"/>
      <c r="K66" s="16" t="s">
        <v>209</v>
      </c>
      <c r="L66" s="16"/>
      <c r="M66" s="16"/>
    </row>
    <row r="67" spans="8:13" ht="15" customHeight="1" x14ac:dyDescent="0.25">
      <c r="H67" s="105"/>
      <c r="I67" s="17"/>
      <c r="J67" s="17"/>
      <c r="K67" s="17" t="s">
        <v>210</v>
      </c>
      <c r="L67" s="17"/>
      <c r="M67" s="17"/>
    </row>
    <row r="68" spans="8:13" ht="15" customHeight="1" x14ac:dyDescent="0.25">
      <c r="H68" s="105"/>
      <c r="I68" s="16"/>
      <c r="J68" s="16"/>
      <c r="K68" s="16"/>
      <c r="L68" s="16"/>
      <c r="M68" s="16"/>
    </row>
    <row r="69" spans="8:13" ht="15" customHeight="1" x14ac:dyDescent="0.25">
      <c r="H69" s="105"/>
      <c r="I69" s="17"/>
      <c r="J69" s="17"/>
      <c r="K69" s="17"/>
      <c r="L69" s="17"/>
      <c r="M69" s="17"/>
    </row>
    <row r="70" spans="8:13" ht="15" customHeight="1" x14ac:dyDescent="0.25">
      <c r="H70" s="105"/>
      <c r="I70" s="16"/>
      <c r="J70" s="16"/>
      <c r="K70" s="16"/>
      <c r="L70" s="16"/>
      <c r="M70" s="16"/>
    </row>
    <row r="71" spans="8:13" ht="15" customHeight="1" x14ac:dyDescent="0.25">
      <c r="H71" s="105"/>
      <c r="I71" s="17"/>
      <c r="J71" s="17"/>
      <c r="K71" s="17"/>
      <c r="L71" s="17"/>
      <c r="M71" s="17"/>
    </row>
    <row r="72" spans="8:13" ht="15" customHeight="1" x14ac:dyDescent="0.25">
      <c r="H72" s="105"/>
      <c r="I72" s="16"/>
      <c r="J72" s="16"/>
      <c r="K72" s="16"/>
      <c r="L72" s="16"/>
      <c r="M72" s="16"/>
    </row>
    <row r="73" spans="8:13" ht="15" customHeight="1" x14ac:dyDescent="0.25">
      <c r="H73" s="105"/>
      <c r="I73" s="17"/>
      <c r="J73" s="17"/>
      <c r="K73" s="17"/>
      <c r="L73" s="17"/>
      <c r="M73" s="17"/>
    </row>
    <row r="74" spans="8:13" ht="15" customHeight="1" x14ac:dyDescent="0.25">
      <c r="H74" s="105"/>
      <c r="I74" s="16"/>
      <c r="J74" s="16"/>
      <c r="K74" s="16"/>
      <c r="L74" s="16"/>
      <c r="M74" s="16"/>
    </row>
    <row r="75" spans="8:13" ht="15" customHeight="1" x14ac:dyDescent="0.25">
      <c r="H75" s="105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415" activePane="bottomLeft" state="frozen"/>
      <selection pane="bottomLeft" activeCell="E445" sqref="E445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 x14ac:dyDescent="0.25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 x14ac:dyDescent="0.25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 x14ac:dyDescent="0.25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 x14ac:dyDescent="0.25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 x14ac:dyDescent="0.25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 x14ac:dyDescent="0.25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 x14ac:dyDescent="0.25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 x14ac:dyDescent="0.25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 x14ac:dyDescent="0.25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 x14ac:dyDescent="0.25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 x14ac:dyDescent="0.25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 x14ac:dyDescent="0.25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 x14ac:dyDescent="0.25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 x14ac:dyDescent="0.25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 x14ac:dyDescent="0.2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 x14ac:dyDescent="0.2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 x14ac:dyDescent="0.25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 x14ac:dyDescent="0.2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 x14ac:dyDescent="0.2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 x14ac:dyDescent="0.25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 x14ac:dyDescent="0.2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 x14ac:dyDescent="0.2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 x14ac:dyDescent="0.25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 x14ac:dyDescent="0.2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 x14ac:dyDescent="0.25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 x14ac:dyDescent="0.25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 x14ac:dyDescent="0.25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 x14ac:dyDescent="0.25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 x14ac:dyDescent="0.25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 x14ac:dyDescent="0.25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 x14ac:dyDescent="0.25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 x14ac:dyDescent="0.25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 x14ac:dyDescent="0.25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 x14ac:dyDescent="0.25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 x14ac:dyDescent="0.25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 x14ac:dyDescent="0.25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 x14ac:dyDescent="0.25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 x14ac:dyDescent="0.25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I434" sqref="I43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 x14ac:dyDescent="0.25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 x14ac:dyDescent="0.25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 x14ac:dyDescent="0.25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 x14ac:dyDescent="0.25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 x14ac:dyDescent="0.25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 x14ac:dyDescent="0.25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 x14ac:dyDescent="0.25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 x14ac:dyDescent="0.25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 x14ac:dyDescent="0.25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 x14ac:dyDescent="0.25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 x14ac:dyDescent="0.25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 x14ac:dyDescent="0.25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 x14ac:dyDescent="0.25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 x14ac:dyDescent="0.2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7.5091898143000435E-2</v>
      </c>
      <c r="N377" s="46"/>
      <c r="O377" s="47"/>
    </row>
    <row r="378" spans="1:15" ht="15.75" customHeight="1" x14ac:dyDescent="0.25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0.23273078703188932</v>
      </c>
      <c r="N378" s="36" t="s">
        <v>225</v>
      </c>
      <c r="O378" s="78">
        <v>511980</v>
      </c>
    </row>
    <row r="379" spans="1:15" ht="18" customHeight="1" x14ac:dyDescent="0.25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0.34245300925411148</v>
      </c>
      <c r="N379" s="40" t="s">
        <v>228</v>
      </c>
      <c r="O379" s="84">
        <f>IFERROR(O365+O378,"")</f>
        <v>1320530</v>
      </c>
    </row>
    <row r="380" spans="1:15" ht="15" customHeight="1" x14ac:dyDescent="0.2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 x14ac:dyDescent="0.2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 x14ac:dyDescent="0.25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 x14ac:dyDescent="0.2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 x14ac:dyDescent="0.2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5.3564120367809664E-2</v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0.22439745370114303</v>
      </c>
      <c r="N432" s="36" t="s">
        <v>225</v>
      </c>
      <c r="O432" s="78">
        <v>484540</v>
      </c>
    </row>
    <row r="433" spans="1:15" ht="18" customHeight="1" x14ac:dyDescent="0.25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0.36953634259003187</v>
      </c>
      <c r="N433" s="40" t="s">
        <v>228</v>
      </c>
      <c r="O433" s="84">
        <f>IFERROR(O419+O432,"")</f>
        <v>1184540</v>
      </c>
    </row>
    <row r="434" spans="1:15" ht="15" customHeight="1" x14ac:dyDescent="0.2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225</v>
      </c>
      <c r="O446" s="78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 x14ac:dyDescent="0.25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228</v>
      </c>
      <c r="O460" s="84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 x14ac:dyDescent="0.25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 x14ac:dyDescent="0.25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 x14ac:dyDescent="0.25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 x14ac:dyDescent="0.25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 x14ac:dyDescent="0.25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 x14ac:dyDescent="0.25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 x14ac:dyDescent="0.25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 x14ac:dyDescent="0.25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 x14ac:dyDescent="0.25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 x14ac:dyDescent="0.25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 x14ac:dyDescent="0.25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 x14ac:dyDescent="0.25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 x14ac:dyDescent="0.25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70" zoomScaleNormal="70" workbookViewId="0">
      <selection activeCell="L433" sqref="L433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 x14ac:dyDescent="0.25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 x14ac:dyDescent="0.25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 x14ac:dyDescent="0.25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 x14ac:dyDescent="0.25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 x14ac:dyDescent="0.25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 x14ac:dyDescent="0.25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 x14ac:dyDescent="0.25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 x14ac:dyDescent="0.25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 x14ac:dyDescent="0.25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 x14ac:dyDescent="0.25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 x14ac:dyDescent="0.25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 x14ac:dyDescent="0.25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 x14ac:dyDescent="0.25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 x14ac:dyDescent="0.25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 x14ac:dyDescent="0.25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 x14ac:dyDescent="0.25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 x14ac:dyDescent="0.2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 x14ac:dyDescent="0.25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 x14ac:dyDescent="0.25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thickBot="1" x14ac:dyDescent="0.3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thickBot="1" x14ac:dyDescent="0.3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  <c r="O419" s="39">
        <v>209000</v>
      </c>
    </row>
    <row r="420" spans="1:15" ht="15" customHeight="1" x14ac:dyDescent="0.2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282</v>
      </c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 x14ac:dyDescent="0.25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IFERROR(O419+O432,"")</f>
        <v>438150</v>
      </c>
    </row>
    <row r="434" spans="1:15" ht="15" customHeight="1" x14ac:dyDescent="0.2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 x14ac:dyDescent="0.25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 x14ac:dyDescent="0.25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 x14ac:dyDescent="0.25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 x14ac:dyDescent="0.25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 x14ac:dyDescent="0.25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 x14ac:dyDescent="0.25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 x14ac:dyDescent="0.25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 x14ac:dyDescent="0.25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 x14ac:dyDescent="0.25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 x14ac:dyDescent="0.25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 x14ac:dyDescent="0.25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 x14ac:dyDescent="0.25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 x14ac:dyDescent="0.25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 x14ac:dyDescent="0.25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 x14ac:dyDescent="0.25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 x14ac:dyDescent="0.25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 x14ac:dyDescent="0.25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 x14ac:dyDescent="0.25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6.5369675925467163E-2</v>
      </c>
      <c r="N128" s="27"/>
      <c r="O128" s="60"/>
    </row>
    <row r="129" spans="1:18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0.26467523148102279</v>
      </c>
      <c r="N135" s="36" t="s">
        <v>225</v>
      </c>
      <c r="O135" s="39">
        <v>729290</v>
      </c>
    </row>
    <row r="136" spans="1:18" ht="18" customHeight="1" x14ac:dyDescent="0.25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0.63203634259213382</v>
      </c>
      <c r="N136" s="40" t="s">
        <v>228</v>
      </c>
      <c r="O136" s="48">
        <f>IFERROR(O122+O135,"")</f>
        <v>1003740</v>
      </c>
    </row>
    <row r="137" spans="1:18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 x14ac:dyDescent="0.25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 x14ac:dyDescent="0.25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 x14ac:dyDescent="0.25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 x14ac:dyDescent="0.25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 x14ac:dyDescent="0.25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 x14ac:dyDescent="0.25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 x14ac:dyDescent="0.25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 x14ac:dyDescent="0.25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 x14ac:dyDescent="0.25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 x14ac:dyDescent="0.25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 x14ac:dyDescent="0.25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 x14ac:dyDescent="0.25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 x14ac:dyDescent="0.25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 x14ac:dyDescent="0.25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 x14ac:dyDescent="0.25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 x14ac:dyDescent="0.25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 x14ac:dyDescent="0.25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 x14ac:dyDescent="0.25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 x14ac:dyDescent="0.25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 x14ac:dyDescent="0.25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 x14ac:dyDescent="0.25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 x14ac:dyDescent="0.25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 x14ac:dyDescent="0.25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 x14ac:dyDescent="0.25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 x14ac:dyDescent="0.25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 x14ac:dyDescent="0.25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 x14ac:dyDescent="0.25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 x14ac:dyDescent="0.25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 x14ac:dyDescent="0.25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 x14ac:dyDescent="0.25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 x14ac:dyDescent="0.25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 x14ac:dyDescent="0.25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 x14ac:dyDescent="0.25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 x14ac:dyDescent="0.25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2026-07-17T11:33:32Z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