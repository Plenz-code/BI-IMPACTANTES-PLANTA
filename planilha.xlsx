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13" documentId="13_ncr:1_{0A10D8D4-8450-4366-8075-B53B08E6B7EA}" xr6:coauthVersionLast="47" xr6:coauthVersionMax="47" xr10:uidLastSave="{F89D3594-C686-4C44-ABEE-4F312E9F1735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0" i="6" s="1"/>
  <c r="J370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0" i="5" s="1"/>
  <c r="J370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0" i="4" s="1"/>
  <c r="J370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<sst xmlns="http://schemas.openxmlformats.org/spreadsheetml/2006/main" count="6544" uniqueCount="348">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</sst>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0" sqref="F37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160</v>
      </c>
      <c r="G378" s="36">
        <f>SUM(G366:G377)</f>
        <v>800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560</v>
      </c>
      <c r="G379" s="40">
        <f>G365+G378</f>
        <v>2766.4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0.92783900462382007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1.0667278935127089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1.1514501157349313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285.60000000000002</v>
      </c>
      <c r="L378" s="37"/>
      <c r="M378" s="37"/>
      <c r="N378" s="37"/>
      <c r="O378" s="37"/>
      <c r="P378" s="37"/>
      <c r="Q378" s="38">
        <f ca="1">IFERROR(SUM(Q366:Q377),"")</f>
        <v>7.5694444444444592E-2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176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739.2</v>
      </c>
      <c r="L379" s="41"/>
      <c r="M379" s="41"/>
      <c r="N379" s="41"/>
      <c r="O379" s="41"/>
      <c r="P379" s="41"/>
      <c r="Q379" s="42">
        <f ca="1">IFERROR(Q365+Q378,"")</f>
        <v>0.15902777777777785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1" sqref="G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445.2000000000001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N368" sqref="N3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100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419.99999999999994</v>
      </c>
      <c r="L378" s="37"/>
      <c r="M378" s="37"/>
      <c r="N378" s="37"/>
      <c r="O378" s="61"/>
      <c r="P378" s="61"/>
      <c r="Q378" s="38">
        <f ca="1">IFERROR(SUM(Q366:Q377),"")</f>
        <v>5.763888888888892E-2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1243.2</v>
      </c>
      <c r="L379" s="41"/>
      <c r="M379" s="41"/>
      <c r="N379" s="41"/>
      <c r="O379" s="63"/>
      <c r="P379" s="63"/>
      <c r="Q379" s="42">
        <f ca="1">IFERROR(Q365+Q378,"")</f>
        <v>0.1756944444444446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2026-08-15T05:11:37Z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