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74" documentId="13_ncr:1_{A6DBCFB4-28D9-4249-9038-216934055CA6}" xr6:coauthVersionLast="47" xr6:coauthVersionMax="47" xr10:uidLastSave="{C27CB593-1569-4B73-83C6-EAF39EA340E7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<sst xmlns="http://schemas.openxmlformats.org/spreadsheetml/2006/main" count="10866" uniqueCount="444">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</sst>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H651" sqref="H65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/>
      <c r="J651" s="69"/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327</v>
      </c>
      <c r="G676" s="1">
        <f>G662+G675</f>
        <v>1635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G662" sqref="G66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0.6556328703663894</v>
      </c>
      <c r="R53" s="79" t="s">
        <v>320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0.79452175925527713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0.87924398147749994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70"/>
        <v>0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0</v>
      </c>
      <c r="I661" s="92">
        <f>IFERROR(IF($D661="","",VLOOKUP($D661,Cadastro!$C$4:$G$7,5,FALSE())),"")</f>
        <v>0.6</v>
      </c>
      <c r="J661" s="93">
        <f t="shared" si="170"/>
        <v>0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67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67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281.40000000000003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62" sqref="G66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372</v>
      </c>
      <c r="Q222" s="65" t="str">
        <f t="shared" ca="1" si="49"/>
        <v/>
      </c>
      <c r="R222" s="62" t="s">
        <v>373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0</v>
      </c>
      <c r="I661" s="92">
        <f>IFERROR(IF($D661="","",VLOOKUP($D661,Cadastro!$C$4:$G$7,5,FALSE())),"")</f>
        <v>0.6</v>
      </c>
      <c r="J661" s="93">
        <f t="shared" si="167"/>
        <v>0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2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2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8.4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1" activePane="bottomLeft" state="frozen"/>
      <selection pane="bottomLeft" activeCell="G662" sqref="G66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390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391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392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393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394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395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396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397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398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399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400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401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402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403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404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405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406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407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408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409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410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411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412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413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414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415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416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417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418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419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420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421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422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423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417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424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425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426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427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428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429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430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431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432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433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416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417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434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435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436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437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416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438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433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439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440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441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442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443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70"/>
        <v>0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0</v>
      </c>
      <c r="I661" s="92">
        <f>IFERROR(IF($D661="","",VLOOKUP($D661,Cadastro!$C$4:$G$7,5,FALSE())),"")</f>
        <v>0.6</v>
      </c>
      <c r="J661" s="93">
        <f t="shared" si="170"/>
        <v>0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130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130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556.4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2026-08-25T22:39:09Z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