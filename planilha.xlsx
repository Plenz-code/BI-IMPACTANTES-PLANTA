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84" documentId="8_{C51EB6CB-002B-4D6B-B68F-DDEBDB4460C0}" xr6:coauthVersionLast="47" xr6:coauthVersionMax="47" xr10:uidLastSave="{3BDD70AF-8FC2-43EE-9BFA-E6BE059F8C40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<sst xmlns="http://schemas.openxmlformats.org/spreadsheetml/2006/main" count="1803" uniqueCount="257">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</sst>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8" activePane="bottomLeft" state="frozen"/>
      <selection pane="bottomLeft" activeCell="E52" sqref="E5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72</v>
      </c>
      <c r="G54" s="36">
        <f>SUM(G42:G53)</f>
        <v>360</v>
      </c>
      <c r="H54" s="37"/>
      <c r="I54" s="37"/>
      <c r="J54" s="37"/>
      <c r="K54" s="37"/>
      <c r="L54" s="37"/>
      <c r="M54" s="38">
        <f ca="1">IFERROR(SUM(M42:M53),"")</f>
        <v>0.13402777777777775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325</v>
      </c>
      <c r="G55" s="40">
        <f>G41+G54</f>
        <v>1055</v>
      </c>
      <c r="H55" s="41"/>
      <c r="I55" s="41"/>
      <c r="J55" s="41"/>
      <c r="K55" s="41"/>
      <c r="L55" s="41"/>
      <c r="M55" s="42">
        <f ca="1">IFERROR(M41+M54,"")</f>
        <v>0.19374999999999992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F46" sqref="F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/>
      <c r="M48" s="30">
        <f t="shared" ca="1" si="11"/>
        <v>3.7874537039897405E-2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30</v>
      </c>
      <c r="G54" s="36">
        <f>SUM(G42:G53)</f>
        <v>126</v>
      </c>
      <c r="H54" s="37"/>
      <c r="I54" s="37"/>
      <c r="J54" s="37"/>
      <c r="K54" s="37"/>
      <c r="L54" s="37"/>
      <c r="M54" s="38">
        <f ca="1">IFERROR(SUM(M42:M53),"")</f>
        <v>8.0235648151008587E-2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110</v>
      </c>
      <c r="G55" s="40">
        <f>G41+G54</f>
        <v>449.4</v>
      </c>
      <c r="H55" s="41"/>
      <c r="I55" s="41"/>
      <c r="J55" s="41"/>
      <c r="K55" s="41"/>
      <c r="L55" s="41"/>
      <c r="M55" s="42">
        <f ca="1">IFERROR(M41+M54,"")</f>
        <v>0.1649578703732309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46" sqref="F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75.599999999999994</v>
      </c>
      <c r="H54" s="37"/>
      <c r="I54" s="37"/>
      <c r="J54" s="37"/>
      <c r="K54" s="37"/>
      <c r="L54" s="37"/>
      <c r="M54" s="38">
        <f ca="1">IFERROR(SUM(M42:M53),"")</f>
        <v>8.6111111111111138E-2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95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0.10694444444444451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F46" sqref="F4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0</v>
      </c>
      <c r="M46" s="35">
        <f t="shared" ca="1" si="10"/>
        <v>4.1666666666666519E-3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42</v>
      </c>
      <c r="G54" s="36">
        <f>SUM(G42:G53)</f>
        <v>176.4</v>
      </c>
      <c r="H54" s="37"/>
      <c r="I54" s="37"/>
      <c r="J54" s="37"/>
      <c r="K54" s="61"/>
      <c r="L54" s="61"/>
      <c r="M54" s="38">
        <f ca="1">IFERROR(SUM(M42:M53),"")</f>
        <v>7.7083333333333282E-2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183</v>
      </c>
      <c r="G55" s="40">
        <f>G41+G54</f>
        <v>735</v>
      </c>
      <c r="H55" s="41"/>
      <c r="I55" s="41"/>
      <c r="J55" s="41"/>
      <c r="K55" s="63"/>
      <c r="L55" s="63"/>
      <c r="M55" s="42">
        <f ca="1">IFERROR(M41+M54,"")</f>
        <v>8.8194444444444353E-2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2026-08-03T04:06:35Z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