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19" documentId="8_{AF585B22-221D-4780-BB9C-493D365A6A02}" xr6:coauthVersionLast="47" xr6:coauthVersionMax="47" xr10:uidLastSave="{780CE370-3D34-4466-934F-4D4902C1F6F1}"/>
  <bookViews>
    <workbookView xWindow="-110" yWindow="-110" windowWidth="25820" windowHeight="15500" tabRatio="500" firstSheet="3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<sst xmlns="http://schemas.openxmlformats.org/spreadsheetml/2006/main" count="5132" uniqueCount="297">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</sst>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abSelected="1" topLeftCell="E24" zoomScale="85" zoomScaleNormal="85" workbookViewId="0">
      <selection activeCell="K64" sqref="K6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6" sqref="F3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213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217</v>
      </c>
      <c r="O27" s="39">
        <v>1183060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217</v>
      </c>
      <c r="O54" s="39">
        <v>959290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217</v>
      </c>
      <c r="O81" s="39">
        <v>878050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217</v>
      </c>
      <c r="O108" s="39">
        <v>1700000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217</v>
      </c>
      <c r="O135" s="39">
        <v>862330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217</v>
      </c>
      <c r="O162" s="44">
        <v>1546080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217</v>
      </c>
      <c r="O189" s="39">
        <v>2355810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217</v>
      </c>
      <c r="O216" s="45">
        <v>2013260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217</v>
      </c>
      <c r="O243" s="39">
        <v>1545480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217</v>
      </c>
      <c r="O270" s="39">
        <v>1182690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228</v>
      </c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217</v>
      </c>
      <c r="O297" s="39">
        <v>1843460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214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106.5</v>
      </c>
      <c r="G311" s="36">
        <f>SUM(G299:G310)</f>
        <v>532.5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106.5</v>
      </c>
      <c r="G325" s="40">
        <f>G311+G324</f>
        <v>532.5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6" sqref="F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217</v>
      </c>
      <c r="O27" s="78">
        <v>393200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85">
        <v>276360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217</v>
      </c>
      <c r="O81" s="54">
        <v>787860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217</v>
      </c>
      <c r="O108" s="54">
        <v>1087080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217</v>
      </c>
      <c r="O135" s="54">
        <v>794480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217</v>
      </c>
      <c r="O162" s="54">
        <v>882280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217</v>
      </c>
      <c r="O189" s="78"/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217</v>
      </c>
      <c r="O216" s="78">
        <v>648410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217</v>
      </c>
      <c r="O243" s="78">
        <v>849060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217</v>
      </c>
      <c r="O270" s="78">
        <v>625070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217</v>
      </c>
      <c r="O297" s="78">
        <v>761660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10</v>
      </c>
      <c r="G303" s="34">
        <f t="shared" si="66"/>
        <v>42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52</v>
      </c>
      <c r="G311" s="36">
        <f>SUM(G299:G310)</f>
        <v>218.4</v>
      </c>
      <c r="H311" s="37"/>
      <c r="I311" s="37"/>
      <c r="J311" s="37"/>
      <c r="K311" s="37"/>
      <c r="L311" s="37"/>
      <c r="M311" s="38">
        <f ca="1">IFERROR(SUM(M299:M310),"")</f>
        <v>6.1111111111111061E-2</v>
      </c>
      <c r="N311" s="36" t="s">
        <v>217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78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52</v>
      </c>
      <c r="G325" s="40">
        <f>G311+G324</f>
        <v>218.4</v>
      </c>
      <c r="H325" s="41"/>
      <c r="I325" s="41"/>
      <c r="J325" s="41"/>
      <c r="K325" s="41"/>
      <c r="L325" s="41"/>
      <c r="M325" s="42">
        <f ca="1">IFERROR(M311+M324,"")</f>
        <v>6.1111111111111061E-2</v>
      </c>
      <c r="N325" s="40" t="s">
        <v>220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78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78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78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78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78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78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78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78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78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78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78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78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78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78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78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6" sqref="F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217</v>
      </c>
      <c r="O27" s="39">
        <v>308500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39">
        <v>124290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217</v>
      </c>
      <c r="O81" s="39">
        <v>396340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217</v>
      </c>
      <c r="O108" s="39">
        <v>41230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217</v>
      </c>
      <c r="O135" s="39">
        <v>381250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217</v>
      </c>
      <c r="O162" s="39">
        <v>337120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217</v>
      </c>
      <c r="O189" s="39">
        <v>747210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217</v>
      </c>
      <c r="O216" s="39">
        <v>468430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217</v>
      </c>
      <c r="O243" s="39">
        <v>575930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217</v>
      </c>
      <c r="O270" s="39">
        <v>483510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217</v>
      </c>
      <c r="O297" s="39">
        <v>487980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36</v>
      </c>
      <c r="G311" s="36">
        <f>SUM(G299:G310)</f>
        <v>151.20000000000002</v>
      </c>
      <c r="H311" s="37"/>
      <c r="I311" s="37"/>
      <c r="J311" s="37"/>
      <c r="K311" s="37"/>
      <c r="L311" s="37"/>
      <c r="M311" s="38">
        <f ca="1">IFERROR(SUM(M299:M310),"")</f>
        <v>3.9583333333333304E-2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36</v>
      </c>
      <c r="G325" s="40">
        <f>G311+G324</f>
        <v>151.20000000000002</v>
      </c>
      <c r="H325" s="41"/>
      <c r="I325" s="41"/>
      <c r="J325" s="41"/>
      <c r="K325" s="41"/>
      <c r="L325" s="41"/>
      <c r="M325" s="42">
        <f ca="1">IFERROR(M311+M324,"")</f>
        <v>3.9583333333333304E-2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K301" sqref="K3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217</v>
      </c>
      <c r="O27" s="39">
        <v>202230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217</v>
      </c>
      <c r="O54" s="39">
        <v>473910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275</v>
      </c>
      <c r="L58" s="29">
        <v>0.54097222222222219</v>
      </c>
      <c r="M58" s="30" t="str">
        <f t="shared" ca="1" si="13"/>
        <v/>
      </c>
      <c r="N58" s="27" t="s">
        <v>276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217</v>
      </c>
      <c r="O81" s="39">
        <v>565120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217</v>
      </c>
      <c r="O108" s="39">
        <v>558590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0.35877083333616611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0.55807638889172173</v>
      </c>
      <c r="N135" s="36" t="s">
        <v>217</v>
      </c>
      <c r="O135" s="39">
        <v>729290</v>
      </c>
    </row>
    <row r="136" spans="1:18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0.92543750000283276</v>
      </c>
      <c r="N136" s="40" t="s">
        <v>220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217</v>
      </c>
      <c r="O162" s="39">
        <v>697320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217</v>
      </c>
      <c r="O189" s="39">
        <v>973580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217</v>
      </c>
      <c r="O216" s="45">
        <v>1060630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217</v>
      </c>
      <c r="O243" s="39">
        <v>982340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217</v>
      </c>
      <c r="O270" s="39">
        <v>1208450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217</v>
      </c>
      <c r="O297" s="39">
        <v>1049090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0</v>
      </c>
      <c r="G301" s="34">
        <f t="shared" si="66"/>
        <v>0</v>
      </c>
      <c r="H301" s="33"/>
      <c r="I301" s="33"/>
      <c r="J301" s="33"/>
      <c r="K301" s="65">
        <v>0.60069444444444442</v>
      </c>
      <c r="L301" s="29"/>
      <c r="M301" s="35">
        <f t="shared" ca="1" si="67"/>
        <v>7.3819444442051463E-3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10</v>
      </c>
      <c r="G311" s="36">
        <f>SUM(G299:G310)</f>
        <v>42</v>
      </c>
      <c r="H311" s="37"/>
      <c r="I311" s="37"/>
      <c r="J311" s="37"/>
      <c r="K311" s="61"/>
      <c r="L311" s="61"/>
      <c r="M311" s="38">
        <f ca="1">IFERROR(SUM(M299:M310),"")</f>
        <v>0.24627083333309407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10</v>
      </c>
      <c r="G325" s="40">
        <f>G311+G324</f>
        <v>42</v>
      </c>
      <c r="H325" s="41"/>
      <c r="I325" s="41"/>
      <c r="J325" s="41"/>
      <c r="K325" s="63"/>
      <c r="L325" s="63"/>
      <c r="M325" s="42">
        <f ca="1">IFERROR(M311+M324,"")</f>
        <v>0.24627083333309407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217</v>
      </c>
      <c r="O432" s="39"/>
    </row>
    <row r="433" spans="1:17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2026-07-12T18:36:11Z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