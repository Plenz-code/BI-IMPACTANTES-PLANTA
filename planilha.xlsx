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968" documentId="8_{AF585B22-221D-4780-BB9C-493D365A6A02}" xr6:coauthVersionLast="47" xr6:coauthVersionMax="47" xr10:uidLastSave="{0F289CD7-7318-47D7-BDB0-98EFA6881703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<sst xmlns="http://schemas.openxmlformats.org/spreadsheetml/2006/main" count="11103" uniqueCount="410">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</sst>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D731" sqref="D731:D7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17" activePane="bottomLeft" state="frozen"/>
      <selection pane="bottomLeft" activeCell="E739" sqref="E7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0.11269363425526535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0.27033252314415424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0.3800547453663764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9.1165856480074581E-2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0.26199918981340797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0.40713807870229685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14</v>
      </c>
      <c r="G743" s="36">
        <f>SUM(G731:G742)</f>
        <v>58.800000000000004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14</v>
      </c>
      <c r="G757" s="40">
        <f>G743+G756</f>
        <v>58.800000000000004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F732" sqref="F7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/>
      <c r="F731" s="27">
        <v>1</v>
      </c>
      <c r="G731" s="34" t="str">
        <f t="shared" ref="G731:G742" si="162">IF(F731="","",IF(E731="PC 17",F731*4.2,IF(E731="PC 19",F731*5,"")))</f>
        <v/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1.5277777777777779E-2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1.5277777777777779E-2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2" activePane="bottomLeft" state="frozen"/>
      <selection pane="bottomLeft" activeCell="I733" sqref="I73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0.10297141203773208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0.3022769675932877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0.66963807870439873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/>
      <c r="G732" s="28" t="str">
        <f t="shared" si="162"/>
        <v/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/>
      <c r="M732" s="30">
        <f t="shared" ca="1" si="163"/>
        <v>1.6165856482984964E-2</v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/>
      <c r="G733" s="34" t="str">
        <f t="shared" si="162"/>
        <v/>
      </c>
      <c r="H733" s="33"/>
      <c r="I733" s="33" t="s">
        <v>57</v>
      </c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15</v>
      </c>
      <c r="G743" s="36">
        <f>SUM(G731:G742)</f>
        <v>63</v>
      </c>
      <c r="H743" s="37"/>
      <c r="I743" s="37"/>
      <c r="J743" s="37"/>
      <c r="K743" s="61"/>
      <c r="L743" s="61"/>
      <c r="M743" s="38">
        <f ca="1">IFERROR(SUM(M731:M742),"")</f>
        <v>2.3804745371873826E-2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15</v>
      </c>
      <c r="G757" s="40">
        <f>G743+G756</f>
        <v>63</v>
      </c>
      <c r="H757" s="41"/>
      <c r="I757" s="41"/>
      <c r="J757" s="41"/>
      <c r="K757" s="63"/>
      <c r="L757" s="63"/>
      <c r="M757" s="42">
        <f ca="1">IFERROR(M743+M756,"")</f>
        <v>2.3804745371873826E-2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2026-07-28T12:27:50Z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