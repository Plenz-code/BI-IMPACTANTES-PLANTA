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643" documentId="8_{C51EB6CB-002B-4D6B-B68F-DDEBDB4460C0}" xr6:coauthVersionLast="47" xr6:coauthVersionMax="47" xr10:uidLastSave="{74ABDEE2-921C-4BFA-8792-5D6FCFFC48C5}"/>
  <bookViews>
    <workbookView xWindow="-120" yWindow="-120" windowWidth="29040" windowHeight="1572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<sst xmlns="http://schemas.openxmlformats.org/spreadsheetml/2006/main" count="5495" uniqueCount="334">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</sst>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1583020</v>
      </c>
      <c r="D14" s="8">
        <f>IFERROR('Linha 1'!O298,"")</f>
        <v>571950</v>
      </c>
      <c r="E14" s="8">
        <f>IFERROR('Linha 2'!O298,"")</f>
        <v>373120</v>
      </c>
      <c r="F14" s="8">
        <f>IFERROR('Linha 3'!O298,"")</f>
        <v>762600</v>
      </c>
      <c r="G14" s="9">
        <f t="shared" si="0"/>
        <v>1707670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35714910</v>
      </c>
      <c r="D35" s="13">
        <f>IFERROR(SUM(D4:D34),"")</f>
        <v>11855370</v>
      </c>
      <c r="E35" s="13">
        <f>IFERROR(SUM(E4:E34),"")</f>
        <v>5810400</v>
      </c>
      <c r="F35" s="13">
        <f>IFERROR(SUM(F4:F34),"")</f>
        <v>14648740</v>
      </c>
      <c r="G35" s="13">
        <f>IFERROR(SUM(G4:G34),"")</f>
        <v>32314510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67" activePane="bottomLeft" state="frozen"/>
      <selection pane="bottomLeft" activeCell="F287" sqref="F287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20</v>
      </c>
      <c r="G297" s="36">
        <f>SUM(G285:G296)</f>
        <v>84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283</v>
      </c>
      <c r="G298" s="40">
        <f>G284+G297</f>
        <v>1399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1583020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60" activePane="bottomLeft" state="frozen"/>
      <selection pane="bottomLeft" activeCell="F287" sqref="F287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0.7534032407347695</v>
      </c>
      <c r="N53" s="46" t="s">
        <v>266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0.89229212962365834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0.9770143518458807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268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269</v>
      </c>
      <c r="M96" s="30" t="str">
        <f t="shared" ref="M96:M107" ca="1" si="22">IFERROR(IF(K96="","",IF(L96="",MOD(NOW()-K96,1),IF(L96&gt;=K96,L96-K96,L96+1-K96))),"")</f>
        <v/>
      </c>
      <c r="N96" s="46" t="s">
        <v>270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278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279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280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273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267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282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283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284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285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286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287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234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250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38</v>
      </c>
      <c r="E289" s="62" t="s">
        <v>234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38</v>
      </c>
      <c r="E290" s="62" t="s">
        <v>234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38</v>
      </c>
      <c r="E291" s="62" t="s">
        <v>234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38</v>
      </c>
      <c r="E292" s="62" t="s">
        <v>234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38</v>
      </c>
      <c r="E293" s="62" t="s">
        <v>234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38</v>
      </c>
      <c r="E294" s="62" t="s">
        <v>234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38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38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20</v>
      </c>
      <c r="G297" s="36">
        <f>SUM(G285:G296)</f>
        <v>100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142</v>
      </c>
      <c r="G298" s="40">
        <f>G284+G297</f>
        <v>588.6</v>
      </c>
      <c r="H298" s="41"/>
      <c r="I298" s="41"/>
      <c r="J298" s="41"/>
      <c r="K298" s="41"/>
      <c r="L298" s="41"/>
      <c r="M298" s="42">
        <f ca="1">IFERROR(M284+M297,"")</f>
        <v>0.1208333333333334</v>
      </c>
      <c r="N298" s="40" t="s">
        <v>240</v>
      </c>
      <c r="O298" s="83">
        <f>IFERROR(O284+O297,"")</f>
        <v>571950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8" zoomScale="68" zoomScaleNormal="68" workbookViewId="0">
      <selection activeCell="F287" sqref="F287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279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301</v>
      </c>
      <c r="M222" s="30" t="str">
        <f t="shared" ca="1" si="49"/>
        <v/>
      </c>
      <c r="N222" s="27" t="s">
        <v>302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303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267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0.68048657407052815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0.74229212962608371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0.80340324073719493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234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38</v>
      </c>
      <c r="E289" s="62" t="s">
        <v>234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38</v>
      </c>
      <c r="E290" s="62" t="s">
        <v>234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38</v>
      </c>
      <c r="E291" s="62" t="s">
        <v>234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38</v>
      </c>
      <c r="E292" s="62" t="s">
        <v>234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38</v>
      </c>
      <c r="E293" s="62" t="s">
        <v>234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38</v>
      </c>
      <c r="E294" s="62" t="s">
        <v>234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38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38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10</v>
      </c>
      <c r="G297" s="36">
        <f>SUM(G285:G296)</f>
        <v>50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105</v>
      </c>
      <c r="G298" s="40">
        <f>G284+G297</f>
        <v>457</v>
      </c>
      <c r="H298" s="41"/>
      <c r="I298" s="41"/>
      <c r="J298" s="41"/>
      <c r="K298" s="41"/>
      <c r="L298" s="41"/>
      <c r="M298" s="42">
        <f ca="1">IFERROR(M284+M297,"")</f>
        <v>0.13680555555555557</v>
      </c>
      <c r="N298" s="40" t="s">
        <v>240</v>
      </c>
      <c r="O298" s="48">
        <f>IFERROR(O284+O297,"")</f>
        <v>373120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66" activePane="bottomLeft" state="frozen"/>
      <selection pane="bottomLeft" activeCell="F287" sqref="F287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328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329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295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330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331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332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333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234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38</v>
      </c>
      <c r="E289" s="62" t="s">
        <v>234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38</v>
      </c>
      <c r="E290" s="62" t="s">
        <v>234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38</v>
      </c>
      <c r="E291" s="62" t="s">
        <v>234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38</v>
      </c>
      <c r="E292" s="62" t="s">
        <v>234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38</v>
      </c>
      <c r="E293" s="62" t="s">
        <v>234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38</v>
      </c>
      <c r="E294" s="62" t="s">
        <v>234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38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38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20</v>
      </c>
      <c r="G297" s="36">
        <f>SUM(G285:G296)</f>
        <v>100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192</v>
      </c>
      <c r="G298" s="40">
        <f>G284+G297</f>
        <v>822.4</v>
      </c>
      <c r="H298" s="41"/>
      <c r="I298" s="41"/>
      <c r="J298" s="41"/>
      <c r="K298" s="63"/>
      <c r="L298" s="63"/>
      <c r="M298" s="42">
        <f ca="1">IFERROR(M284+M297,"")</f>
        <v>7.2222222222222188E-2</v>
      </c>
      <c r="N298" s="40" t="s">
        <v>240</v>
      </c>
      <c r="O298" s="48">
        <f>IFERROR(O284+O297,"")</f>
        <v>762600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2026-08-12T01:00:04Z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