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706" documentId="8_{AF585B22-221D-4780-BB9C-493D365A6A02}" xr6:coauthVersionLast="47" xr6:coauthVersionMax="47" xr10:uidLastSave="{C084BB8E-BCE7-4271-BE1D-933284BAB199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<sst xmlns="http://schemas.openxmlformats.org/spreadsheetml/2006/main" count="2798" uniqueCount="246">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</sst>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1" sqref="M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/>
    </row>
    <row r="52" spans="1:13" ht="24" customHeight="1">
      <c r="H52" s="96"/>
      <c r="I52" s="16"/>
      <c r="J52" s="16"/>
      <c r="K52" s="16" t="s">
        <v>185</v>
      </c>
      <c r="L52" s="16"/>
      <c r="M52" s="16"/>
    </row>
    <row r="53" spans="1:13" ht="36" customHeight="1">
      <c r="H53" s="96"/>
      <c r="I53" s="17"/>
      <c r="J53" s="17"/>
      <c r="K53" s="17" t="s">
        <v>186</v>
      </c>
      <c r="L53" s="17"/>
      <c r="M53" s="17"/>
    </row>
    <row r="54" spans="1:13" ht="15" customHeight="1">
      <c r="H54" s="96"/>
      <c r="I54" s="16"/>
      <c r="J54" s="16"/>
      <c r="K54" s="16" t="s">
        <v>187</v>
      </c>
      <c r="L54" s="16"/>
      <c r="M54" s="16"/>
    </row>
    <row r="55" spans="1:13" ht="15" customHeight="1">
      <c r="H55" s="96"/>
      <c r="I55" s="17"/>
      <c r="J55" s="17"/>
      <c r="K55" s="17" t="s">
        <v>188</v>
      </c>
      <c r="L55" s="17"/>
      <c r="M55" s="17"/>
    </row>
    <row r="56" spans="1:13" ht="15" customHeight="1">
      <c r="H56" s="96"/>
      <c r="I56" s="16"/>
      <c r="J56" s="16"/>
      <c r="K56" s="16" t="s">
        <v>189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21" activePane="bottomLeft" state="frozen"/>
      <selection pane="bottomLeft" activeCell="E147" sqref="E1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204</v>
      </c>
      <c r="O27" s="39">
        <v>1183060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204</v>
      </c>
      <c r="O54" s="39">
        <v>959290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209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204</v>
      </c>
      <c r="O81" s="39">
        <v>878050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207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204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204</v>
      </c>
      <c r="O108" s="39">
        <v>1700000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207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188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204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204</v>
      </c>
      <c r="O135" s="39">
        <v>862330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207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4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22" activePane="bottomLeft" state="frozen"/>
      <selection pane="bottomLeft" activeCell="J137" sqref="J13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204</v>
      </c>
      <c r="O27" s="78">
        <v>393200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207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204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212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85">
        <v>276360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207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204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204</v>
      </c>
      <c r="O81" s="54">
        <v>787860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207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204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204</v>
      </c>
      <c r="O108" s="54">
        <v>1087080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207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204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204</v>
      </c>
      <c r="O135" s="54">
        <v>794480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207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 t="s">
        <v>18</v>
      </c>
      <c r="I137" s="33" t="s">
        <v>63</v>
      </c>
      <c r="J137" s="33" t="s">
        <v>187</v>
      </c>
      <c r="K137" s="29">
        <v>0.29166666666666669</v>
      </c>
      <c r="L137" s="29"/>
      <c r="M137" s="35">
        <f t="shared" ref="M137:M148" ca="1" si="31">IFERROR(IF(K137="","",IF(L137="",MOD(NOW()-K137,1),IF(L137&gt;=K137,L137-K137,L137+1-K137))),"")</f>
        <v>2.5758912037417758E-2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2.5758912037417758E-2</v>
      </c>
      <c r="N149" s="36" t="s">
        <v>204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5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2.5758912037417758E-2</v>
      </c>
      <c r="N163" s="40" t="s">
        <v>207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78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78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78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78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78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78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78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78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78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78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78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78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78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78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78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78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78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78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78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78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78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22" activePane="bottomLeft" state="frozen"/>
      <selection pane="bottomLeft" activeCell="E145" sqref="E1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204</v>
      </c>
      <c r="O27" s="39">
        <v>308500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39">
        <v>124290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204</v>
      </c>
      <c r="O81" s="39">
        <v>396340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207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204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204</v>
      </c>
      <c r="O108" s="39">
        <v>41230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207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204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204</v>
      </c>
      <c r="O135" s="39">
        <v>381250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207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39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21" activePane="bottomLeft" state="frozen"/>
      <selection pane="bottomLeft" activeCell="J137" sqref="J13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204</v>
      </c>
      <c r="O27" s="39">
        <v>202230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204</v>
      </c>
      <c r="O54" s="39">
        <v>473910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236</v>
      </c>
      <c r="L58" s="29">
        <v>0.54097222222222219</v>
      </c>
      <c r="M58" s="30" t="str">
        <f t="shared" ca="1" si="13"/>
        <v/>
      </c>
      <c r="N58" s="27" t="s">
        <v>237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204</v>
      </c>
      <c r="O81" s="39">
        <v>565120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207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204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204</v>
      </c>
      <c r="O108" s="39">
        <v>558590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207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204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189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6.8120023148367181E-2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0.26742557870392281</v>
      </c>
      <c r="N135" s="36" t="s">
        <v>204</v>
      </c>
      <c r="O135" s="39">
        <v>729290</v>
      </c>
    </row>
    <row r="136" spans="1:18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0.63478668981503383</v>
      </c>
      <c r="N136" s="40" t="s">
        <v>207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/>
      <c r="M137" s="35">
        <f t="shared" ref="M137:M148" ca="1" si="31">IFERROR(IF(K137="","",IF(L137="",MOD(NOW()-K137,1),IF(L137&gt;=K137,L137-K137,L137+1-K137))),"")</f>
        <v>7.5891203596256673E-4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7.5891203596256673E-4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7.5891203596256673E-4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204</v>
      </c>
      <c r="O432" s="39"/>
    </row>
    <row r="433" spans="1:17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2026-07-06T11:38:44Z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