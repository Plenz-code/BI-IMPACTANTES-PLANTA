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6" documentId="8_{C51EB6CB-002B-4D6B-B68F-DDEBDB4460C0}" xr6:coauthVersionLast="47" xr6:coauthVersionMax="47" xr10:uidLastSave="{A4687C93-8E0E-4572-991F-B08F56070E6C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25" i="6" l="1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G28" i="6"/>
  <c r="M648" i="6"/>
  <c r="G27" i="6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487" i="3" l="1"/>
  <c r="M838" i="4"/>
  <c r="M703" i="6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<sst xmlns="http://schemas.openxmlformats.org/spreadsheetml/2006/main" count="1209" uniqueCount="237">
  <si>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</si>
  <si>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</si>
  <si>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</si>
  <si>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</si>
  <si>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</si>
  <si>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</si>
  <si>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</si>
  <si>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</si>
  <si>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</si>
  <si>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</si>
  <si>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</si>
  <si>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</si>
  <si>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</si>
  <si>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</si>
  <si>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</si>
  <si>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</si>
  <si>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</si>
  <si>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</si>
  <si>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</si>
  <si>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</si>
  <si>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</si>
  <si>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</si>
  <si>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</si>
  <si>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</si>
  <si>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</si>
  <si>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</si>
  <si>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</si>
  <si>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</si>
  <si>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</si>
  <si>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</si>
  <si>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</si>
  <si>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</si>
  <si>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</si>
  <si>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</si>
  <si>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</si>
  <si>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</si>
  <si>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</si>
  <si>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</si>
  <si>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</si>
  <si>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</si>
  <si>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</si>
  <si>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</si>
  <si>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</si>
  <si>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</si>
  <si>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</si>
  <si>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</si>
  <si>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</si>
  <si>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</si>
  <si>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</si>
  <si>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</si>
  <si>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</si>
  <si>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</si>
  <si>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</si>
  <si>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</si>
  <si>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</si>
  <si>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</si>
  <si>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</si>
  <si>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</si>
  <si>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</si>
  <si>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</si>
  <si>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</si>
  <si>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</si>
  <si>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</si>
  <si>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</si>
  <si>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</si>
  <si>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</si>
  <si>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</si>
  <si>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</si>
  <si>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</si>
  <si>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</si>
  <si>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</si>
  <si>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</si>
  <si>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</si>
  <si>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</si>
  <si>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</si>
  <si>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</si>
  <si>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</si>
  <si>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</si>
  <si>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</si>
  <si>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</si>
  <si>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</si>
  <si>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</si>
  <si>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</si>
  <si>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</si>
  <si>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</si>
  <si>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</si>
  <si>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</si>
  <si>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</si>
  <si>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</si>
  <si>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</si>
  <si>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</si>
  <si>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</si>
  <si>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</si>
  <si>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</si>
  <si>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</si>
  <si>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</si>
  <si>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</si>
  <si>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</si>
  <si>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</si>
  <si>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</si>
  <si>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</si>
  <si>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</si>
  <si>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</si>
  <si>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</si>
  <si>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</si>
  <si>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</si>
  <si>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</si>
  <si>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</si>
  <si>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</si>
  <si>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</si>
  <si>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</si>
  <si>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</si>
  <si>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</si>
  <si>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</si>
  <si>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</si>
  <si>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</si>
  <si>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</si>
  <si>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</si>
  <si>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</si>
  <si>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</si>
  <si>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</si>
  <si>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</si>
  <si>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</si>
  <si>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</si>
  <si>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</si>
  <si>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</si>
  <si>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</si>
  <si>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</si>
  <si>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</si>
  <si>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</si>
  <si>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</si>
  <si>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</si>
  <si>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</si>
  <si>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</si>
  <si>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</si>
  <si>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</si>
  <si>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</si>
  <si>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</si>
  <si>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</si>
  <si>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</si>
  <si>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</si>
  <si>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</si>
  <si>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</si>
  <si>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</si>
  <si>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</si>
  <si>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</si>
  <si>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</si>
  <si>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</si>
  <si>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</si>
  <si>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</si>
  <si>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</si>
  <si>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</si>
  <si>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</si>
  <si>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</si>
  <si>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</si>
  <si>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</si>
  <si>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</si>
  <si>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</si>
  <si>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</si>
  <si>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</si>
  <si>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</si>
  <si>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</si>
  <si>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</si>
  <si>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</si>
  <si>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</si>
  <si>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</si>
  <si>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</si>
  <si>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</si>
  <si>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</si>
  <si>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</si>
  <si>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</si>
  <si>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</si>
  <si>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</si>
  <si>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</si>
  <si>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</si>
  <si>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</si>
  <si>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</si>
  <si>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</si>
  <si>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</si>
  <si>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</si>
  <si>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</si>
  <si>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</si>
  <si>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</si>
  <si>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</si>
  <si>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</si>
  <si>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</si>
  <si>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</si>
  <si>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</si>
  <si>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</si>
  <si>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</si>
  <si>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</si>
  <si>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</si>
  <si>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</si>
  <si>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</si>
  <si>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</si>
  <si>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</si>
  <si>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</si>
  <si>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</si>
  <si>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</si>
  <si>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</si>
  <si>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</si>
  <si>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</si>
  <si>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</si>
  <si>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</si>
  <si>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</si>
  <si>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</si>
  <si>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</si>
  <si>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</si>
  <si>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</si>
  <si>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</si>
  <si>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</si>
  <si>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</si>
  <si>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</si>
  <si>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</si>
  <si>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</si>
  <si>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</si>
  <si>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</si>
  <si>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</si>
  <si>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</si>
  <si>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</si>
  <si>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</si>
  <si>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</si>
  <si>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</si>
  <si>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</si>
  <si>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</si>
  <si>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</si>
  <si>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</si>
  <si>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</si>
  <si>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</si>
  <si>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</si>
  <si>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</si>
  <si>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</si>
  <si>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</si>
  <si>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</si>
  <si>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</si>
  <si>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</si>
  <si>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00:020:00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</si>
</sst>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5" x14ac:dyDescent="0.2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 x14ac:dyDescent="0.25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 x14ac:dyDescent="0.25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2">
        <v>46235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 x14ac:dyDescent="0.25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 x14ac:dyDescent="0.25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 x14ac:dyDescent="0.25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 x14ac:dyDescent="0.25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 x14ac:dyDescent="0.25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25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25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25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25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25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25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25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25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25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 x14ac:dyDescent="0.25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25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25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25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25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25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25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25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25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25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25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25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110" t="s">
        <v>9</v>
      </c>
      <c r="B35" s="110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3" sqref="K73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 x14ac:dyDescent="0.25">
      <c r="H2" s="112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25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25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25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25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25">
      <c r="A19" s="17"/>
      <c r="C19" s="17"/>
      <c r="E19" s="17"/>
      <c r="G19" s="17" t="s">
        <v>114</v>
      </c>
      <c r="H19" s="112"/>
      <c r="I19" s="17"/>
      <c r="J19" s="17"/>
      <c r="K19" s="17" t="s">
        <v>115</v>
      </c>
      <c r="L19" s="17"/>
      <c r="M19" s="17" t="s">
        <v>116</v>
      </c>
    </row>
    <row r="20" spans="1:13" ht="15.75" customHeight="1" x14ac:dyDescent="0.25">
      <c r="A20" s="16"/>
      <c r="C20" s="16"/>
      <c r="E20" s="16"/>
      <c r="G20" s="16" t="s">
        <v>117</v>
      </c>
      <c r="H20" s="112"/>
      <c r="I20" s="16"/>
      <c r="J20" s="16"/>
      <c r="K20" s="16" t="s">
        <v>118</v>
      </c>
      <c r="L20" s="16"/>
      <c r="M20" s="16" t="s">
        <v>119</v>
      </c>
    </row>
    <row r="21" spans="1:13" ht="15.75" customHeight="1" x14ac:dyDescent="0.25">
      <c r="A21" s="17"/>
      <c r="C21" s="17"/>
      <c r="E21" s="17"/>
      <c r="G21" s="17" t="s">
        <v>120</v>
      </c>
      <c r="H21" s="112"/>
      <c r="I21" s="17"/>
      <c r="J21" s="17"/>
      <c r="K21" s="17" t="s">
        <v>121</v>
      </c>
      <c r="L21" s="17"/>
      <c r="M21" s="17" t="s">
        <v>122</v>
      </c>
    </row>
    <row r="22" spans="1:13" ht="15.75" customHeight="1" x14ac:dyDescent="0.25">
      <c r="A22" s="16"/>
      <c r="C22" s="16"/>
      <c r="E22" s="16"/>
      <c r="G22" s="16" t="s">
        <v>123</v>
      </c>
      <c r="H22" s="112"/>
      <c r="I22" s="16"/>
      <c r="J22" s="16"/>
      <c r="K22" s="16" t="s">
        <v>124</v>
      </c>
      <c r="L22" s="16"/>
      <c r="M22" s="16" t="s">
        <v>125</v>
      </c>
    </row>
    <row r="23" spans="1:13" ht="15.75" customHeight="1" x14ac:dyDescent="0.25">
      <c r="A23" s="17"/>
      <c r="C23" s="17"/>
      <c r="E23" s="17"/>
      <c r="G23" s="17" t="s">
        <v>126</v>
      </c>
      <c r="H23" s="112"/>
      <c r="I23" s="17"/>
      <c r="J23" s="17"/>
      <c r="K23" s="17" t="s">
        <v>127</v>
      </c>
      <c r="L23" s="17"/>
      <c r="M23" s="17" t="s">
        <v>128</v>
      </c>
    </row>
    <row r="24" spans="1:13" ht="15.75" customHeight="1" x14ac:dyDescent="0.25">
      <c r="A24" s="16"/>
      <c r="C24" s="16"/>
      <c r="E24" s="16"/>
      <c r="G24" s="16" t="s">
        <v>129</v>
      </c>
      <c r="H24" s="112"/>
      <c r="I24" s="16"/>
      <c r="J24" s="16"/>
      <c r="K24" s="16" t="s">
        <v>130</v>
      </c>
      <c r="L24" s="16"/>
      <c r="M24" s="16" t="s">
        <v>131</v>
      </c>
    </row>
    <row r="25" spans="1:13" ht="15.75" customHeight="1" x14ac:dyDescent="0.25">
      <c r="A25" s="17"/>
      <c r="C25" s="17"/>
      <c r="E25" s="17"/>
      <c r="G25" s="17" t="s">
        <v>132</v>
      </c>
      <c r="H25" s="112"/>
      <c r="I25" s="17"/>
      <c r="J25" s="17"/>
      <c r="K25" s="17" t="s">
        <v>133</v>
      </c>
      <c r="L25" s="17"/>
      <c r="M25" s="17" t="s">
        <v>134</v>
      </c>
    </row>
    <row r="26" spans="1:13" ht="15.75" customHeight="1" x14ac:dyDescent="0.25">
      <c r="A26" s="16"/>
      <c r="C26" s="16"/>
      <c r="E26" s="16"/>
      <c r="G26" s="16" t="s">
        <v>135</v>
      </c>
      <c r="H26" s="112"/>
      <c r="I26" s="16"/>
      <c r="J26" s="16"/>
      <c r="K26" s="16" t="s">
        <v>136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137</v>
      </c>
      <c r="H27" s="112"/>
      <c r="I27" s="17"/>
      <c r="J27" s="17"/>
      <c r="K27" s="17" t="s">
        <v>128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138</v>
      </c>
      <c r="H28" s="112"/>
      <c r="I28" s="16"/>
      <c r="J28" s="16"/>
      <c r="K28" s="16" t="s">
        <v>131</v>
      </c>
      <c r="L28" s="16"/>
      <c r="M28" s="16" t="s">
        <v>139</v>
      </c>
    </row>
    <row r="29" spans="1:13" ht="15.75" customHeight="1" x14ac:dyDescent="0.25">
      <c r="A29" s="17"/>
      <c r="C29" s="17"/>
      <c r="E29" s="17"/>
      <c r="G29" s="17" t="s">
        <v>140</v>
      </c>
      <c r="H29" s="112"/>
      <c r="I29" s="17"/>
      <c r="J29" s="17"/>
      <c r="K29" s="17" t="s">
        <v>141</v>
      </c>
      <c r="L29" s="17"/>
      <c r="M29" s="17" t="s">
        <v>142</v>
      </c>
    </row>
    <row r="30" spans="1:13" ht="15.75" customHeight="1" x14ac:dyDescent="0.25">
      <c r="A30" s="16"/>
      <c r="C30" s="16"/>
      <c r="E30" s="16"/>
      <c r="G30" s="16" t="s">
        <v>143</v>
      </c>
      <c r="H30" s="112"/>
      <c r="I30" s="16"/>
      <c r="J30" s="16"/>
      <c r="K30" s="16" t="s">
        <v>144</v>
      </c>
      <c r="L30" s="16"/>
      <c r="M30" s="16" t="s">
        <v>145</v>
      </c>
    </row>
    <row r="31" spans="1:13" ht="15.75" customHeight="1" x14ac:dyDescent="0.25">
      <c r="A31" s="17"/>
      <c r="C31" s="17"/>
      <c r="E31" s="17"/>
      <c r="G31" s="17" t="s">
        <v>146</v>
      </c>
      <c r="H31" s="112"/>
      <c r="I31" s="17"/>
      <c r="J31" s="17"/>
      <c r="K31" s="18" t="s">
        <v>147</v>
      </c>
      <c r="L31" s="17"/>
      <c r="M31" s="17" t="s">
        <v>148</v>
      </c>
    </row>
    <row r="32" spans="1:13" ht="15.75" customHeight="1" x14ac:dyDescent="0.25">
      <c r="A32" s="16"/>
      <c r="C32" s="16"/>
      <c r="E32" s="16"/>
      <c r="G32" s="16" t="s">
        <v>149</v>
      </c>
      <c r="H32" s="112"/>
      <c r="I32" s="16"/>
      <c r="J32" s="16"/>
      <c r="K32" s="16" t="s">
        <v>150</v>
      </c>
      <c r="L32" s="16"/>
      <c r="M32" t="s">
        <v>151</v>
      </c>
    </row>
    <row r="33" spans="1:13" ht="15.75" customHeight="1" x14ac:dyDescent="0.25">
      <c r="A33" s="17"/>
      <c r="C33" s="17"/>
      <c r="E33" s="17"/>
      <c r="G33" s="17" t="s">
        <v>152</v>
      </c>
      <c r="H33" s="112"/>
      <c r="I33" s="17"/>
      <c r="J33" s="17"/>
      <c r="K33" s="18" t="s">
        <v>153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154</v>
      </c>
      <c r="H34" s="112"/>
      <c r="I34" s="16"/>
      <c r="J34" s="16"/>
      <c r="K34" s="16" t="s">
        <v>79</v>
      </c>
      <c r="L34" s="16"/>
      <c r="M34" s="16" t="s">
        <v>155</v>
      </c>
    </row>
    <row r="35" spans="1:13" ht="15.75" customHeight="1" x14ac:dyDescent="0.25">
      <c r="A35" s="17"/>
      <c r="C35" s="17"/>
      <c r="E35" s="17"/>
      <c r="G35" s="17" t="s">
        <v>156</v>
      </c>
      <c r="H35" s="112"/>
      <c r="I35" s="17"/>
      <c r="J35" s="17"/>
      <c r="K35" s="17" t="s">
        <v>157</v>
      </c>
      <c r="L35" s="17"/>
      <c r="M35" s="17" t="s">
        <v>158</v>
      </c>
    </row>
    <row r="36" spans="1:13" ht="15.75" customHeight="1" x14ac:dyDescent="0.25">
      <c r="A36" s="16"/>
      <c r="C36" s="16"/>
      <c r="E36" s="16"/>
      <c r="G36" s="16" t="s">
        <v>159</v>
      </c>
      <c r="H36" s="112"/>
      <c r="I36" s="16"/>
      <c r="J36" s="16"/>
      <c r="K36" s="16" t="s">
        <v>160</v>
      </c>
      <c r="L36" s="16"/>
      <c r="M36" s="16" t="s">
        <v>161</v>
      </c>
    </row>
    <row r="37" spans="1:13" ht="15.75" customHeight="1" x14ac:dyDescent="0.25">
      <c r="A37" s="17"/>
      <c r="C37" s="17"/>
      <c r="E37" s="17"/>
      <c r="G37" s="17" t="s">
        <v>162</v>
      </c>
      <c r="H37" s="112"/>
      <c r="I37" s="17"/>
      <c r="J37" s="17"/>
      <c r="K37" s="17" t="s">
        <v>163</v>
      </c>
      <c r="L37" s="17"/>
      <c r="M37" s="17" t="s">
        <v>164</v>
      </c>
    </row>
    <row r="38" spans="1:13" ht="15.75" customHeight="1" x14ac:dyDescent="0.25">
      <c r="A38" s="16"/>
      <c r="C38" s="16"/>
      <c r="E38" s="16"/>
      <c r="G38" s="16" t="s">
        <v>165</v>
      </c>
      <c r="H38" s="112"/>
      <c r="I38" s="16"/>
      <c r="J38" s="16"/>
      <c r="K38" s="16" t="s">
        <v>166</v>
      </c>
      <c r="L38" s="16"/>
      <c r="M38" s="16" t="s">
        <v>167</v>
      </c>
    </row>
    <row r="39" spans="1:13" ht="15.75" customHeight="1" x14ac:dyDescent="0.25">
      <c r="A39" s="17"/>
      <c r="C39" s="17"/>
      <c r="E39" s="17"/>
      <c r="G39" s="17"/>
      <c r="H39" s="112"/>
      <c r="I39" s="17"/>
      <c r="J39" s="17"/>
      <c r="K39" s="17" t="s">
        <v>168</v>
      </c>
      <c r="L39" s="17"/>
      <c r="M39" s="17" t="s">
        <v>169</v>
      </c>
    </row>
    <row r="40" spans="1:13" ht="15.75" customHeight="1" x14ac:dyDescent="0.25">
      <c r="A40" s="16"/>
      <c r="C40" s="16"/>
      <c r="E40" s="16"/>
      <c r="G40" s="16"/>
      <c r="H40" s="112"/>
      <c r="I40" s="16"/>
      <c r="J40" s="16"/>
      <c r="K40" s="16" t="s">
        <v>170</v>
      </c>
      <c r="L40" s="16"/>
      <c r="M40" s="16" t="s">
        <v>171</v>
      </c>
    </row>
    <row r="41" spans="1:13" ht="15.75" customHeight="1" x14ac:dyDescent="0.25">
      <c r="A41" s="17"/>
      <c r="C41" s="17"/>
      <c r="E41" s="17"/>
      <c r="G41" s="17"/>
      <c r="H41" s="112"/>
      <c r="I41" s="17"/>
      <c r="J41" s="17"/>
      <c r="K41" s="17" t="s">
        <v>172</v>
      </c>
      <c r="L41" s="17"/>
      <c r="M41" s="17" t="s">
        <v>173</v>
      </c>
    </row>
    <row r="42" spans="1:13" ht="15.75" customHeight="1" x14ac:dyDescent="0.25">
      <c r="A42" s="16"/>
      <c r="C42" s="16"/>
      <c r="E42" s="16"/>
      <c r="G42" s="16"/>
      <c r="H42" s="112"/>
      <c r="I42" s="16"/>
      <c r="J42" s="16"/>
      <c r="K42" s="16" t="s">
        <v>174</v>
      </c>
      <c r="L42" s="16"/>
      <c r="M42" s="16" t="s">
        <v>175</v>
      </c>
    </row>
    <row r="43" spans="1:13" ht="15.75" customHeight="1" x14ac:dyDescent="0.25">
      <c r="A43" s="17"/>
      <c r="C43" s="17"/>
      <c r="E43" s="17"/>
      <c r="G43" s="17"/>
      <c r="H43" s="112"/>
      <c r="I43" s="17"/>
      <c r="J43" s="17"/>
      <c r="K43" s="17" t="s">
        <v>176</v>
      </c>
      <c r="L43" s="17"/>
      <c r="M43" s="17" t="s">
        <v>177</v>
      </c>
    </row>
    <row r="44" spans="1:13" ht="15.75" customHeight="1" x14ac:dyDescent="0.25">
      <c r="A44" s="16"/>
      <c r="C44" s="16"/>
      <c r="E44" s="16"/>
      <c r="G44" s="16"/>
      <c r="H44" s="112"/>
      <c r="I44" s="16"/>
      <c r="J44" s="16"/>
      <c r="K44" s="16" t="s">
        <v>178</v>
      </c>
      <c r="L44" s="16"/>
      <c r="M44" s="16" t="s">
        <v>179</v>
      </c>
    </row>
    <row r="45" spans="1:13" ht="15.75" customHeight="1" x14ac:dyDescent="0.25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180</v>
      </c>
    </row>
    <row r="46" spans="1:13" ht="15.75" customHeight="1" x14ac:dyDescent="0.25">
      <c r="A46" s="16"/>
      <c r="C46" s="16"/>
      <c r="E46" s="16"/>
      <c r="G46" s="16"/>
      <c r="H46" s="112"/>
      <c r="I46" s="16"/>
      <c r="J46" s="16"/>
      <c r="K46" s="16" t="s">
        <v>181</v>
      </c>
      <c r="L46" s="16"/>
      <c r="M46" s="16" t="s">
        <v>182</v>
      </c>
    </row>
    <row r="47" spans="1:13" ht="15.75" customHeight="1" x14ac:dyDescent="0.25">
      <c r="A47" s="17"/>
      <c r="C47" s="17"/>
      <c r="E47" s="17"/>
      <c r="G47" s="17"/>
      <c r="H47" s="112"/>
      <c r="I47" s="17"/>
      <c r="J47" s="17"/>
      <c r="K47" s="17" t="s">
        <v>183</v>
      </c>
      <c r="L47" s="17"/>
      <c r="M47" s="17" t="s">
        <v>184</v>
      </c>
    </row>
    <row r="48" spans="1:13" ht="15.75" customHeight="1" x14ac:dyDescent="0.25">
      <c r="A48" s="16"/>
      <c r="C48" s="16"/>
      <c r="E48" s="16"/>
      <c r="G48" s="16"/>
      <c r="H48" s="112"/>
      <c r="I48" s="16"/>
      <c r="J48" s="16"/>
      <c r="K48" s="16" t="s">
        <v>185</v>
      </c>
      <c r="L48" s="16"/>
      <c r="M48" s="16" t="s">
        <v>186</v>
      </c>
    </row>
    <row r="49" spans="1:13" ht="18" customHeight="1" x14ac:dyDescent="0.25">
      <c r="H49" s="112"/>
      <c r="I49" s="17"/>
      <c r="J49" s="17"/>
      <c r="K49" s="17" t="s">
        <v>187</v>
      </c>
      <c r="L49" s="17"/>
      <c r="M49" s="17" t="s">
        <v>188</v>
      </c>
    </row>
    <row r="50" spans="1:13" ht="21" customHeight="1" x14ac:dyDescent="0.25">
      <c r="A50" s="19" t="s">
        <v>189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190</v>
      </c>
      <c r="L50" s="16"/>
      <c r="M50" s="16" t="s">
        <v>191</v>
      </c>
    </row>
    <row r="51" spans="1:13" ht="24" customHeight="1" x14ac:dyDescent="0.25">
      <c r="H51" s="112"/>
      <c r="I51" s="17"/>
      <c r="J51" s="17"/>
      <c r="K51" s="17" t="s">
        <v>192</v>
      </c>
      <c r="L51" s="17"/>
      <c r="M51" s="17" t="s">
        <v>193</v>
      </c>
    </row>
    <row r="52" spans="1:13" ht="24" customHeight="1" x14ac:dyDescent="0.25">
      <c r="H52" s="112"/>
      <c r="I52" s="16"/>
      <c r="J52" s="16"/>
      <c r="K52" s="16" t="s">
        <v>194</v>
      </c>
      <c r="L52" s="16"/>
      <c r="M52" s="16" t="s">
        <v>195</v>
      </c>
    </row>
    <row r="53" spans="1:13" ht="36" customHeight="1" x14ac:dyDescent="0.25">
      <c r="H53" s="112"/>
      <c r="I53" s="17"/>
      <c r="J53" s="17"/>
      <c r="K53" s="17" t="s">
        <v>196</v>
      </c>
      <c r="L53" s="17"/>
      <c r="M53" s="17" t="s">
        <v>197</v>
      </c>
    </row>
    <row r="54" spans="1:13" ht="15" customHeight="1" x14ac:dyDescent="0.25">
      <c r="H54" s="112"/>
      <c r="I54" s="16"/>
      <c r="J54" s="16"/>
      <c r="K54" s="16" t="s">
        <v>198</v>
      </c>
      <c r="L54" s="16"/>
      <c r="M54" s="16" t="s">
        <v>199</v>
      </c>
    </row>
    <row r="55" spans="1:13" ht="15" customHeight="1" x14ac:dyDescent="0.25">
      <c r="H55" s="112"/>
      <c r="I55" s="17"/>
      <c r="J55" s="17"/>
      <c r="K55" s="17" t="s">
        <v>200</v>
      </c>
      <c r="L55" s="17"/>
      <c r="M55" s="17" t="s">
        <v>201</v>
      </c>
    </row>
    <row r="56" spans="1:13" ht="15" customHeight="1" x14ac:dyDescent="0.25">
      <c r="H56" s="112"/>
      <c r="I56" s="16"/>
      <c r="J56" s="16"/>
      <c r="K56" s="16" t="s">
        <v>202</v>
      </c>
      <c r="L56" s="16"/>
      <c r="M56" s="16"/>
    </row>
    <row r="57" spans="1:13" ht="15" customHeight="1" x14ac:dyDescent="0.25">
      <c r="H57" s="112"/>
      <c r="I57" s="17"/>
      <c r="J57" s="17"/>
      <c r="K57" s="17" t="s">
        <v>50</v>
      </c>
      <c r="L57" s="17"/>
      <c r="M57" s="17"/>
    </row>
    <row r="58" spans="1:13" ht="15" customHeight="1" x14ac:dyDescent="0.25">
      <c r="H58" s="112"/>
      <c r="I58" s="16"/>
      <c r="J58" s="16"/>
      <c r="K58" s="16" t="s">
        <v>203</v>
      </c>
      <c r="L58" s="16"/>
      <c r="M58" s="16"/>
    </row>
    <row r="59" spans="1:13" ht="15" customHeight="1" x14ac:dyDescent="0.25">
      <c r="H59" s="112"/>
      <c r="I59" s="17"/>
      <c r="J59" s="17"/>
      <c r="K59" s="17" t="s">
        <v>204</v>
      </c>
      <c r="L59" s="17"/>
      <c r="M59" s="17"/>
    </row>
    <row r="60" spans="1:13" ht="15" customHeight="1" x14ac:dyDescent="0.25">
      <c r="H60" s="112"/>
      <c r="I60" s="16"/>
      <c r="J60" s="16"/>
      <c r="K60" s="86" t="s">
        <v>105</v>
      </c>
      <c r="L60" s="16"/>
      <c r="M60" s="16"/>
    </row>
    <row r="61" spans="1:13" ht="15" customHeight="1" x14ac:dyDescent="0.25">
      <c r="H61" s="112"/>
      <c r="I61" s="17"/>
      <c r="J61" s="17"/>
      <c r="K61" s="17" t="s">
        <v>205</v>
      </c>
      <c r="L61" s="17"/>
      <c r="M61" s="17"/>
    </row>
    <row r="62" spans="1:13" ht="15" customHeight="1" x14ac:dyDescent="0.25">
      <c r="H62" s="112"/>
      <c r="I62" s="16"/>
      <c r="J62" s="16"/>
      <c r="K62" s="16" t="s">
        <v>206</v>
      </c>
      <c r="L62" s="16"/>
      <c r="M62" s="16"/>
    </row>
    <row r="63" spans="1:13" ht="15" customHeight="1" x14ac:dyDescent="0.25">
      <c r="H63" s="112"/>
      <c r="I63" s="17"/>
      <c r="J63" s="17"/>
      <c r="K63" s="17" t="s">
        <v>207</v>
      </c>
      <c r="L63" s="17"/>
      <c r="M63" s="17"/>
    </row>
    <row r="64" spans="1:13" ht="15" customHeight="1" x14ac:dyDescent="0.25">
      <c r="H64" s="112"/>
      <c r="I64" s="16"/>
      <c r="J64" s="16"/>
      <c r="K64" s="16" t="s">
        <v>208</v>
      </c>
      <c r="L64" s="16"/>
      <c r="M64" s="16"/>
    </row>
    <row r="65" spans="8:13" ht="15" customHeight="1" x14ac:dyDescent="0.25">
      <c r="H65" s="112"/>
      <c r="I65" s="17"/>
      <c r="J65" s="17"/>
      <c r="K65" s="17" t="s">
        <v>209</v>
      </c>
      <c r="L65" s="17"/>
      <c r="M65" s="17"/>
    </row>
    <row r="66" spans="8:13" ht="15" customHeight="1" x14ac:dyDescent="0.25">
      <c r="H66" s="112"/>
      <c r="I66" s="16"/>
      <c r="J66" s="16"/>
      <c r="K66" s="16" t="s">
        <v>210</v>
      </c>
      <c r="L66" s="16"/>
      <c r="M66" s="16"/>
    </row>
    <row r="67" spans="8:13" ht="15" customHeight="1" x14ac:dyDescent="0.25">
      <c r="H67" s="112"/>
      <c r="I67" s="17"/>
      <c r="J67" s="17"/>
      <c r="K67" s="17" t="s">
        <v>211</v>
      </c>
      <c r="L67" s="17"/>
      <c r="M67" s="17"/>
    </row>
    <row r="68" spans="8:13" ht="15" customHeight="1" x14ac:dyDescent="0.25">
      <c r="H68" s="112"/>
      <c r="I68" s="16"/>
      <c r="J68" s="16"/>
      <c r="K68" s="16" t="s">
        <v>212</v>
      </c>
      <c r="L68" s="16"/>
      <c r="M68" s="16"/>
    </row>
    <row r="69" spans="8:13" ht="15" customHeight="1" x14ac:dyDescent="0.25">
      <c r="H69" s="112"/>
      <c r="I69" s="17"/>
      <c r="J69" s="17"/>
      <c r="K69" s="17" t="s">
        <v>213</v>
      </c>
      <c r="L69" s="17"/>
      <c r="M69" s="17"/>
    </row>
    <row r="70" spans="8:13" ht="15" customHeight="1" x14ac:dyDescent="0.25">
      <c r="H70" s="112"/>
      <c r="I70" s="16"/>
      <c r="J70" s="16"/>
      <c r="K70" s="16" t="s">
        <v>214</v>
      </c>
      <c r="L70" s="16"/>
      <c r="M70" s="16"/>
    </row>
    <row r="71" spans="8:13" ht="15" customHeight="1" x14ac:dyDescent="0.25">
      <c r="H71" s="112"/>
      <c r="I71" s="17"/>
      <c r="J71" s="17"/>
      <c r="K71" s="17" t="s">
        <v>215</v>
      </c>
      <c r="L71" s="17"/>
      <c r="M71" s="17"/>
    </row>
    <row r="72" spans="8:13" ht="15" customHeight="1" x14ac:dyDescent="0.25">
      <c r="H72" s="112"/>
      <c r="I72" s="16"/>
      <c r="J72" s="16"/>
      <c r="K72" s="16" t="s">
        <v>216</v>
      </c>
      <c r="L72" s="16"/>
      <c r="M72" s="16"/>
    </row>
    <row r="73" spans="8:13" ht="15" customHeight="1" x14ac:dyDescent="0.25">
      <c r="H73" s="112"/>
      <c r="I73" s="17"/>
      <c r="J73" s="17"/>
      <c r="K73" s="17"/>
      <c r="L73" s="17"/>
      <c r="M73" s="17"/>
    </row>
    <row r="74" spans="8:13" ht="15" customHeight="1" x14ac:dyDescent="0.25">
      <c r="H74" s="112"/>
      <c r="I74" s="16"/>
      <c r="J74" s="16"/>
      <c r="K74" s="16"/>
      <c r="L74" s="16"/>
      <c r="M74" s="16"/>
    </row>
    <row r="75" spans="8:13" ht="15" customHeight="1" x14ac:dyDescent="0.25">
      <c r="H75" s="112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77" activePane="bottomLeft" state="frozen"/>
      <selection pane="bottomLeft" activeCell="M528" sqref="M528"/>
    </sheetView>
  </sheetViews>
  <sheetFormatPr defaultColWidth="8.5703125" defaultRowHeight="15" x14ac:dyDescent="0.2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/>
      <c r="I2" s="26"/>
      <c r="J2" s="26"/>
      <c r="K2" s="29"/>
      <c r="L2" s="29"/>
      <c r="M2" s="30" t="str">
        <f ca="1">IFERROR(IF(K2="","",IF(L2="",MOD(NOW()-K2,1),IF(L2&gt;=K2,L2-K2,L2+1-K2))),"")</f>
        <v/>
      </c>
      <c r="N2" s="27"/>
      <c r="O2" s="31"/>
    </row>
    <row r="3" spans="1:15" ht="15" customHeight="1" x14ac:dyDescent="0.25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99" t="s">
        <v>228</v>
      </c>
      <c r="B14" s="100"/>
      <c r="C14" s="100"/>
      <c r="D14" s="100"/>
      <c r="E14" s="101"/>
      <c r="F14" s="36">
        <f>SUM(F2:F13)</f>
        <v>116</v>
      </c>
      <c r="G14" s="36">
        <f>SUM(G2:G13)</f>
        <v>580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229</v>
      </c>
      <c r="O14" s="39"/>
    </row>
    <row r="15" spans="1:15" ht="15" customHeight="1" x14ac:dyDescent="0.25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99" t="s">
        <v>230</v>
      </c>
      <c r="B27" s="100"/>
      <c r="C27" s="100"/>
      <c r="D27" s="100"/>
      <c r="E27" s="101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 x14ac:dyDescent="0.25">
      <c r="A28" s="102" t="s">
        <v>231</v>
      </c>
      <c r="B28" s="103"/>
      <c r="C28" s="103"/>
      <c r="D28" s="103"/>
      <c r="E28" s="104"/>
      <c r="F28" s="40">
        <f>F14+F27</f>
        <v>116</v>
      </c>
      <c r="G28" s="40">
        <f>G14+G27</f>
        <v>580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232</v>
      </c>
      <c r="O28" s="43">
        <f>IFERROR(O14+O27,"")</f>
        <v>0</v>
      </c>
    </row>
    <row r="29" spans="1:15" ht="15" customHeight="1" x14ac:dyDescent="0.25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 x14ac:dyDescent="0.25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 x14ac:dyDescent="0.25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 x14ac:dyDescent="0.25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 x14ac:dyDescent="0.25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 x14ac:dyDescent="0.25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 x14ac:dyDescent="0.25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 x14ac:dyDescent="0.25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 x14ac:dyDescent="0.25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 x14ac:dyDescent="0.25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 x14ac:dyDescent="0.25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 x14ac:dyDescent="0.25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 x14ac:dyDescent="0.25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 x14ac:dyDescent="0.25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 x14ac:dyDescent="0.25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 x14ac:dyDescent="0.25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 x14ac:dyDescent="0.25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 x14ac:dyDescent="0.25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 x14ac:dyDescent="0.25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 x14ac:dyDescent="0.25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 x14ac:dyDescent="0.25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 x14ac:dyDescent="0.25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 x14ac:dyDescent="0.25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25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 x14ac:dyDescent="0.25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 x14ac:dyDescent="0.25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 x14ac:dyDescent="0.25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 x14ac:dyDescent="0.25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 x14ac:dyDescent="0.25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 x14ac:dyDescent="0.25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 x14ac:dyDescent="0.25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 x14ac:dyDescent="0.25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 x14ac:dyDescent="0.25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 x14ac:dyDescent="0.25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 x14ac:dyDescent="0.25">
      <c r="A811" s="114" t="s">
        <v>231</v>
      </c>
      <c r="B811" s="115"/>
      <c r="C811" s="115"/>
      <c r="D811" s="115"/>
      <c r="E811" s="116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25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25">
      <c r="A837" s="99" t="s">
        <v>230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 x14ac:dyDescent="0.25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90" zoomScaleNormal="90" workbookViewId="0">
      <pane ySplit="1" topLeftCell="A215" activePane="bottomLeft" state="frozen"/>
      <selection pane="bottomLeft" activeCell="G306" sqref="G306:H306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31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28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99" t="s">
        <v>228</v>
      </c>
      <c r="B14" s="100"/>
      <c r="C14" s="100"/>
      <c r="D14" s="100"/>
      <c r="E14" s="101"/>
      <c r="F14" s="36">
        <f>SUM(F2:F13)</f>
        <v>79</v>
      </c>
      <c r="G14" s="36">
        <f>SUM(G2:G13)</f>
        <v>331.8</v>
      </c>
      <c r="H14" s="37"/>
      <c r="I14" s="37"/>
      <c r="J14" s="37"/>
      <c r="K14" s="37"/>
      <c r="L14" s="37"/>
      <c r="M14" s="38">
        <f ca="1">IFERROR(SUM(M2:M13),"")</f>
        <v>0.14930555555555552</v>
      </c>
      <c r="N14" s="36" t="s">
        <v>229</v>
      </c>
      <c r="O14" s="77"/>
    </row>
    <row r="15" spans="1:15" ht="15" customHeight="1" x14ac:dyDescent="0.25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/>
      <c r="D23" s="62"/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99" t="s">
        <v>230</v>
      </c>
      <c r="B27" s="100"/>
      <c r="C27" s="100"/>
      <c r="D27" s="100"/>
      <c r="E27" s="101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 x14ac:dyDescent="0.25">
      <c r="A28" s="102" t="s">
        <v>231</v>
      </c>
      <c r="B28" s="103"/>
      <c r="C28" s="103"/>
      <c r="D28" s="103"/>
      <c r="E28" s="104"/>
      <c r="F28" s="40">
        <f>F14+F27</f>
        <v>79</v>
      </c>
      <c r="G28" s="40">
        <f>G14+G27</f>
        <v>331.8</v>
      </c>
      <c r="H28" s="41"/>
      <c r="I28" s="41"/>
      <c r="J28" s="41"/>
      <c r="K28" s="41"/>
      <c r="L28" s="41"/>
      <c r="M28" s="42">
        <f ca="1">IFERROR(M14+M27,"")</f>
        <v>0.14930555555555552</v>
      </c>
      <c r="N28" s="40" t="s">
        <v>232</v>
      </c>
      <c r="O28" s="82">
        <f>O14+O27</f>
        <v>0</v>
      </c>
    </row>
    <row r="29" spans="1:15" ht="15" customHeight="1" x14ac:dyDescent="0.25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 x14ac:dyDescent="0.25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 x14ac:dyDescent="0.25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 x14ac:dyDescent="0.25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 x14ac:dyDescent="0.25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 x14ac:dyDescent="0.25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25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25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25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25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25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25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25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25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 x14ac:dyDescent="0.25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 x14ac:dyDescent="0.25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 x14ac:dyDescent="0.25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35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 x14ac:dyDescent="0.25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 x14ac:dyDescent="0.25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 x14ac:dyDescent="0.25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 x14ac:dyDescent="0.25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35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 x14ac:dyDescent="0.25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 x14ac:dyDescent="0.25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 x14ac:dyDescent="0.25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 x14ac:dyDescent="0.25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 x14ac:dyDescent="0.25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 x14ac:dyDescent="0.25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 x14ac:dyDescent="0.25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 x14ac:dyDescent="0.25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 x14ac:dyDescent="0.25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 x14ac:dyDescent="0.25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 x14ac:dyDescent="0.25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 x14ac:dyDescent="0.25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 x14ac:dyDescent="0.25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 x14ac:dyDescent="0.25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 x14ac:dyDescent="0.25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 x14ac:dyDescent="0.25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 x14ac:dyDescent="0.25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 x14ac:dyDescent="0.25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 x14ac:dyDescent="0.25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 x14ac:dyDescent="0.25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 x14ac:dyDescent="0.25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 x14ac:dyDescent="0.25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 x14ac:dyDescent="0.25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 x14ac:dyDescent="0.25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 x14ac:dyDescent="0.25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 x14ac:dyDescent="0.25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 x14ac:dyDescent="0.25">
      <c r="A837" s="99" t="s">
        <v>230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 x14ac:dyDescent="0.25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12" zoomScale="70" zoomScaleNormal="70" workbookViewId="0">
      <selection activeCell="M305" sqref="M305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/>
      <c r="I3" s="33"/>
      <c r="J3" s="33"/>
      <c r="K3" s="29"/>
      <c r="L3" s="29"/>
      <c r="M3" s="35" t="str">
        <f t="shared" ca="1" si="1"/>
        <v/>
      </c>
      <c r="N3" s="27"/>
      <c r="O3" s="31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99" t="s">
        <v>228</v>
      </c>
      <c r="B14" s="100"/>
      <c r="C14" s="100"/>
      <c r="D14" s="100"/>
      <c r="E14" s="101"/>
      <c r="F14" s="36">
        <f>SUM(F2:F13)</f>
        <v>48</v>
      </c>
      <c r="G14" s="36">
        <f>SUM(G2:G13)</f>
        <v>201.6</v>
      </c>
      <c r="H14" s="37"/>
      <c r="I14" s="37"/>
      <c r="J14" s="37"/>
      <c r="K14" s="37"/>
      <c r="L14" s="37"/>
      <c r="M14" s="38">
        <f ca="1">IFERROR(SUM(M2:M13),"")</f>
        <v>3.4722222222222099E-3</v>
      </c>
      <c r="N14" s="36" t="s">
        <v>229</v>
      </c>
      <c r="O14" s="39"/>
    </row>
    <row r="15" spans="1:15" ht="15" customHeight="1" x14ac:dyDescent="0.25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8">
        <v>46235</v>
      </c>
      <c r="B16" s="25">
        <f t="shared" ref="B16:B26" si="4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25">
      <c r="A17" s="69">
        <v>46235</v>
      </c>
      <c r="B17" s="32">
        <f t="shared" si="4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25">
      <c r="A18" s="68">
        <v>46235</v>
      </c>
      <c r="B18" s="25">
        <f t="shared" si="4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25">
      <c r="A19" s="69">
        <v>46235</v>
      </c>
      <c r="B19" s="32">
        <f t="shared" si="4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25">
      <c r="A20" s="68">
        <v>46235</v>
      </c>
      <c r="B20" s="25">
        <f t="shared" si="4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69">
        <v>46235</v>
      </c>
      <c r="B21" s="32">
        <f t="shared" si="4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8">
        <v>46235</v>
      </c>
      <c r="B22" s="25">
        <f t="shared" si="4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69">
        <v>46235</v>
      </c>
      <c r="B23" s="32">
        <f t="shared" si="4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8">
        <v>46235</v>
      </c>
      <c r="B24" s="25">
        <f t="shared" si="4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69">
        <v>46235</v>
      </c>
      <c r="B25" s="32">
        <f t="shared" si="4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8">
        <v>46235</v>
      </c>
      <c r="B26" s="25">
        <f t="shared" si="4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99" t="s">
        <v>230</v>
      </c>
      <c r="B27" s="100"/>
      <c r="C27" s="100"/>
      <c r="D27" s="100"/>
      <c r="E27" s="101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 x14ac:dyDescent="0.25">
      <c r="A28" s="102" t="s">
        <v>231</v>
      </c>
      <c r="B28" s="103"/>
      <c r="C28" s="103"/>
      <c r="D28" s="103"/>
      <c r="E28" s="104"/>
      <c r="F28" s="40">
        <f>F14+F27</f>
        <v>48</v>
      </c>
      <c r="G28" s="40">
        <f>G14+G27</f>
        <v>201.6</v>
      </c>
      <c r="H28" s="41"/>
      <c r="I28" s="41"/>
      <c r="J28" s="41"/>
      <c r="K28" s="41"/>
      <c r="L28" s="41"/>
      <c r="M28" s="42">
        <f ca="1">IFERROR(M14+M27,"")</f>
        <v>3.4722222222222099E-3</v>
      </c>
      <c r="N28" s="40" t="s">
        <v>232</v>
      </c>
      <c r="O28" s="43">
        <f>IFERROR(O14+O27,"")</f>
        <v>0</v>
      </c>
    </row>
    <row r="29" spans="1:15" ht="15" customHeight="1" x14ac:dyDescent="0.25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 x14ac:dyDescent="0.25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 x14ac:dyDescent="0.25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 x14ac:dyDescent="0.25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 x14ac:dyDescent="0.25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 x14ac:dyDescent="0.25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 x14ac:dyDescent="0.25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 x14ac:dyDescent="0.25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 x14ac:dyDescent="0.25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 x14ac:dyDescent="0.25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">
        <v>236</v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 x14ac:dyDescent="0.25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 x14ac:dyDescent="0.25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 x14ac:dyDescent="0.25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 x14ac:dyDescent="0.25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 x14ac:dyDescent="0.25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0" t="str">
        <f t="shared" ca="1" si="67"/>
        <v/>
      </c>
      <c r="N303" s="27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 x14ac:dyDescent="0.25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 x14ac:dyDescent="0.25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 x14ac:dyDescent="0.25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 x14ac:dyDescent="0.25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25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 x14ac:dyDescent="0.25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 x14ac:dyDescent="0.25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 x14ac:dyDescent="0.25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 x14ac:dyDescent="0.25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 x14ac:dyDescent="0.25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 x14ac:dyDescent="0.25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 x14ac:dyDescent="0.25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 x14ac:dyDescent="0.25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 x14ac:dyDescent="0.25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 x14ac:dyDescent="0.25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 x14ac:dyDescent="0.25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 x14ac:dyDescent="0.25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 x14ac:dyDescent="0.25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 x14ac:dyDescent="0.25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 x14ac:dyDescent="0.25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25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25">
      <c r="A837" s="99" t="s">
        <v>230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 x14ac:dyDescent="0.25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C29:C900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D296:D900 D29:D294 D2:D13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70" zoomScaleNormal="70" workbookViewId="0">
      <pane ySplit="1" topLeftCell="A215" activePane="bottomLeft" state="frozen"/>
      <selection pane="bottomLeft" activeCell="M225" sqref="M225"/>
    </sheetView>
  </sheetViews>
  <sheetFormatPr defaultColWidth="8.5703125" defaultRowHeight="15" x14ac:dyDescent="0.2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99" t="s">
        <v>228</v>
      </c>
      <c r="B14" s="100"/>
      <c r="C14" s="100"/>
      <c r="D14" s="100"/>
      <c r="E14" s="101"/>
      <c r="F14" s="36">
        <f>SUM(F2:F13)</f>
        <v>100</v>
      </c>
      <c r="G14" s="36">
        <f>SUM(G2:G13)</f>
        <v>420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/>
    </row>
    <row r="15" spans="1:15" ht="15" customHeight="1" x14ac:dyDescent="0.25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 x14ac:dyDescent="0.25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25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25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25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25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25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25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99" t="s">
        <v>230</v>
      </c>
      <c r="B27" s="100"/>
      <c r="C27" s="100"/>
      <c r="D27" s="100"/>
      <c r="E27" s="101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229</v>
      </c>
      <c r="O27" s="39"/>
    </row>
    <row r="28" spans="1:15" ht="18" customHeight="1" x14ac:dyDescent="0.25">
      <c r="A28" s="102" t="s">
        <v>231</v>
      </c>
      <c r="B28" s="103"/>
      <c r="C28" s="103"/>
      <c r="D28" s="103"/>
      <c r="E28" s="104"/>
      <c r="F28" s="40">
        <f>F14+F27</f>
        <v>100</v>
      </c>
      <c r="G28" s="40">
        <f>G14+G27</f>
        <v>420</v>
      </c>
      <c r="H28" s="41"/>
      <c r="I28" s="41"/>
      <c r="J28" s="41"/>
      <c r="K28" s="63"/>
      <c r="L28" s="63"/>
      <c r="M28" s="42">
        <f ca="1">IFERROR(M14+M27,"")</f>
        <v>3.8888888888888917E-2</v>
      </c>
      <c r="N28" s="40" t="s">
        <v>232</v>
      </c>
      <c r="O28" s="48">
        <f>IFERROR(O14+O27,"")</f>
        <v>0</v>
      </c>
    </row>
    <row r="29" spans="1:15" ht="15" customHeight="1" x14ac:dyDescent="0.25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25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25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25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25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25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25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25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 x14ac:dyDescent="0.25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 x14ac:dyDescent="0.25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25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25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25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25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25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 x14ac:dyDescent="0.25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 x14ac:dyDescent="0.25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 x14ac:dyDescent="0.25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 x14ac:dyDescent="0.25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 x14ac:dyDescent="0.25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25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 x14ac:dyDescent="0.25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 x14ac:dyDescent="0.25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 x14ac:dyDescent="0.25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 x14ac:dyDescent="0.25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 x14ac:dyDescent="0.25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 x14ac:dyDescent="0.25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25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25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25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 x14ac:dyDescent="0.25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 x14ac:dyDescent="0.25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 x14ac:dyDescent="0.25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 x14ac:dyDescent="0.25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25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 x14ac:dyDescent="0.25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 x14ac:dyDescent="0.25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 x14ac:dyDescent="0.25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 x14ac:dyDescent="0.25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0" t="str">
        <f t="shared" ca="1" si="49"/>
        <v/>
      </c>
      <c r="N225" s="27"/>
      <c r="O225" s="60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 x14ac:dyDescent="0.25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 x14ac:dyDescent="0.25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 x14ac:dyDescent="0.25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 x14ac:dyDescent="0.25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 x14ac:dyDescent="0.25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 x14ac:dyDescent="0.25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 x14ac:dyDescent="0.25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25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25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25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25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25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25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25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25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25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 x14ac:dyDescent="0.25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25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 x14ac:dyDescent="0.25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 x14ac:dyDescent="0.25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 x14ac:dyDescent="0.25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 x14ac:dyDescent="0.25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 x14ac:dyDescent="0.25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25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25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25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25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 x14ac:dyDescent="0.25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 x14ac:dyDescent="0.25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 x14ac:dyDescent="0.25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 x14ac:dyDescent="0.25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 x14ac:dyDescent="0.25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25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25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25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25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25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25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25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25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25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 x14ac:dyDescent="0.25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25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 x14ac:dyDescent="0.25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 x14ac:dyDescent="0.25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 x14ac:dyDescent="0.25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 x14ac:dyDescent="0.25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 x14ac:dyDescent="0.25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 x14ac:dyDescent="0.25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 x14ac:dyDescent="0.25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 x14ac:dyDescent="0.25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 x14ac:dyDescent="0.25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 x14ac:dyDescent="0.25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 x14ac:dyDescent="0.25">
      <c r="A837" s="99" t="s">
        <v>230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 x14ac:dyDescent="0.25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C366:C900 C29:C364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D29:D900 C365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2026-08-01T19:22:17Z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