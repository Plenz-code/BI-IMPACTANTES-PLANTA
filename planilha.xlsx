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29" documentId="13_ncr:1_{9DFDFEE8-78F7-4C04-B87C-99924EE6CC37}" xr6:coauthVersionLast="47" xr6:coauthVersionMax="47" xr10:uidLastSave="{EF0D472E-ACC4-4AD8-9D37-03BC3869235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<sst xmlns="http://schemas.openxmlformats.org/spreadsheetml/2006/main" count="4633" uniqueCount="1312">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</sst>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G49" sqref="G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238</v>
      </c>
      <c r="G54" s="2">
        <f>SUM(G42:G53)</f>
        <v>1190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411</v>
      </c>
      <c r="G55" s="1">
        <f>G41+G54</f>
        <v>2055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30" activePane="bottomLeft" state="frozen"/>
      <selection pane="bottomLeft" activeCell="P48" sqref="P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6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25.200000000000003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592.20000000000016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718.20000000000016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3" sqref="G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156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655.20000000000005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" activePane="bottomLeft" state="frozen"/>
      <selection pane="bottomLeft" activeCell="G53" sqref="G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/>
      <c r="Q47" s="86">
        <f t="shared" ca="1" si="14"/>
        <v>9.4575231487397105E-3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42</v>
      </c>
      <c r="L52" s="76"/>
      <c r="M52" s="76"/>
      <c r="N52" s="76"/>
      <c r="O52" s="80">
        <v>0.18472222222222223</v>
      </c>
      <c r="P52" s="80"/>
      <c r="Q52" s="86">
        <f t="shared" ca="1" si="14"/>
        <v>6.7790856483043171E-2</v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558.6</v>
      </c>
      <c r="L54" s="87"/>
      <c r="M54" s="87"/>
      <c r="N54" s="87"/>
      <c r="O54" s="154"/>
      <c r="P54" s="154"/>
      <c r="Q54" s="88">
        <f ca="1">IFERROR(SUM(Q42:Q53),"")</f>
        <v>0.22863726852067179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932.40000000000009</v>
      </c>
      <c r="L55" s="91"/>
      <c r="M55" s="91"/>
      <c r="N55" s="91"/>
      <c r="O55" s="155"/>
      <c r="P55" s="155"/>
      <c r="Q55" s="92">
        <f ca="1">IFERROR(Q41+Q54,"")</f>
        <v>0.52585949074289418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