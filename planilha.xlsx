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48" documentId="13_ncr:1_{0A10D8D4-8450-4366-8075-B53B08E6B7EA}" xr6:coauthVersionLast="47" xr6:coauthVersionMax="47" xr10:uidLastSave="{CF0FAF62-6DA5-4846-A96D-5A26694857F7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7" i="6"/>
  <c r="J367" i="6" s="1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6" l="1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<sst xmlns="http://schemas.openxmlformats.org/spreadsheetml/2006/main" count="6516" uniqueCount="347">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</sst>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R366" sqref="R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0.75009699073416414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0.88898587962305298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0.97370810184527534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4.3750000000000067E-2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0.12708333333333333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7" sqref="P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6.1805555555555558E-2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0.25694444444444436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67" sqref="P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0.85069444444444442</v>
      </c>
      <c r="Q366" s="30">
        <f t="shared" ref="Q366:Q377" ca="1" si="88">IFERROR(IF(O366="","",IF(P366="",MOD(NOW()-O366,1),IF(P366&gt;=O366,P366-O366,P366+1-O366))),"")</f>
        <v>2.9861111111111116E-2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79.8</v>
      </c>
      <c r="L378" s="37"/>
      <c r="M378" s="37"/>
      <c r="N378" s="37"/>
      <c r="O378" s="61"/>
      <c r="P378" s="61"/>
      <c r="Q378" s="38">
        <f ca="1">IFERROR(SUM(Q366:Q377),"")</f>
        <v>2.9861111111111116E-2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215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903</v>
      </c>
      <c r="L379" s="41"/>
      <c r="M379" s="41"/>
      <c r="N379" s="41"/>
      <c r="O379" s="63"/>
      <c r="P379" s="63"/>
      <c r="Q379" s="42">
        <f ca="1">IFERROR(Q365+Q378,"")</f>
        <v>0.14791666666666681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