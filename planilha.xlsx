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31" documentId="8_{AF585B22-221D-4780-BB9C-493D365A6A02}" xr6:coauthVersionLast="47" xr6:coauthVersionMax="47" xr10:uidLastSave="{02CD8500-5978-4DA4-941D-2D4FE2ADC821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<sst xmlns="http://schemas.openxmlformats.org/spreadsheetml/2006/main" count="2212" uniqueCount="227">
  <si>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</si>
  <si>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</si>
  <si>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</si>
  <si>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</si>
  <si>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</si>
  <si>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</si>
  <si>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</si>
  <si>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</si>
  <si>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</si>
  <si>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</si>
  <si>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</si>
  <si>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</si>
  <si>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</si>
  <si>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</si>
  <si>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</si>
  <si>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</si>
  <si>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</si>
  <si>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</si>
  <si>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</si>
  <si>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</si>
  <si>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</si>
  <si>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</si>
  <si>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</si>
  <si>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</si>
  <si>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</si>
  <si>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</si>
  <si>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</si>
  <si>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</si>
  <si>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</si>
  <si>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</si>
  <si>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</si>
  <si>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</si>
  <si>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</si>
  <si>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</si>
  <si>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</si>
  <si>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</si>
  <si>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</si>
  <si>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</si>
  <si>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</si>
  <si>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</si>
  <si>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</si>
  <si>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</si>
  <si>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</si>
  <si>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</si>
  <si>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</si>
  <si>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</si>
  <si>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</si>
  <si>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</si>
  <si>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</si>
  <si>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</si>
  <si>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</si>
  <si>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</si>
  <si>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</si>
  <si>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</si>
  <si>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</si>
  <si>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</si>
  <si>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</si>
  <si>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</si>
  <si>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</si>
  <si>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</si>
  <si>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</si>
  <si>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</si>
  <si>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</si>
  <si>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</si>
  <si>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</si>
  <si>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</si>
  <si>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</si>
  <si>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</si>
  <si>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</si>
  <si>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</si>
  <si>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</si>
  <si>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</si>
  <si>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</si>
  <si>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</si>
  <si>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</si>
  <si>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</si>
  <si>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</si>
  <si>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</si>
  <si>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</si>
  <si>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</si>
  <si>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</si>
  <si>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</si>
  <si>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</si>
  <si>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</si>
  <si>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</si>
  <si>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</si>
  <si>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</si>
  <si>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</si>
  <si>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</si>
  <si>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</si>
  <si>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</si>
  <si>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</si>
  <si>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</si>
  <si>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</si>
  <si>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</si>
  <si>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</si>
  <si>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</si>
  <si>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</si>
  <si>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</si>
  <si>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</si>
  <si>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</si>
  <si>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</si>
  <si>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</si>
  <si>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</si>
  <si>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</si>
  <si>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</si>
  <si>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</si>
  <si>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</si>
  <si>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</si>
  <si>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</si>
  <si>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</si>
  <si>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</si>
  <si>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</si>
  <si>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</si>
  <si>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</si>
  <si>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</si>
  <si>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</si>
  <si>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</si>
  <si>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</si>
  <si>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</si>
  <si>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</si>
  <si>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</si>
  <si>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</si>
  <si>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</si>
  <si>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</si>
  <si>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</si>
  <si>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</si>
  <si>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</si>
  <si>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</si>
  <si>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</si>
  <si>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</si>
  <si>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</si>
  <si>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</si>
  <si>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</si>
  <si>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</si>
  <si>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</si>
  <si>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</si>
  <si>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</si>
  <si>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</si>
  <si>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</si>
  <si>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</si>
  <si>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</si>
  <si>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</si>
  <si>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</si>
  <si>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</si>
  <si>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</si>
  <si>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</si>
  <si>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</si>
  <si>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</si>
  <si>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</si>
  <si>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</si>
  <si>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</si>
  <si>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</si>
  <si>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</si>
  <si>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</si>
  <si>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</si>
  <si>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</si>
  <si>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</si>
  <si>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</si>
  <si>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</si>
  <si>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</si>
  <si>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</si>
  <si>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</si>
  <si>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</si>
  <si>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</si>
  <si>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</si>
  <si>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</si>
  <si>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</si>
  <si>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</si>
  <si>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</si>
  <si>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</si>
  <si>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</si>
  <si>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</si>
  <si>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</si>
  <si>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</si>
  <si>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</si>
  <si>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</si>
  <si>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</si>
  <si>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</si>
  <si>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</si>
  <si>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</si>
  <si>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</si>
  <si>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</si>
  <si>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</si>
  <si>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</si>
  <si>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</si>
  <si>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</si>
  <si>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</si>
  <si>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</si>
  <si>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</si>
  <si>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</si>
  <si>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</si>
  <si>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</si>
  <si>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</si>
  <si>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</si>
  <si>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</si>
  <si>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</si>
  <si>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</si>
  <si>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</si>
  <si>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</si>
  <si>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</si>
  <si>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</si>
  <si>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</si>
  <si>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</si>
  <si>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</si>
  <si>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</si>
  <si>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</si>
  <si>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</si>
  <si>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</si>
  <si>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</si>
  <si>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</si>
  <si>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</si>
  <si>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</si>
  <si>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</si>
  <si>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</si>
  <si>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</si>
  <si>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</si>
  <si>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</si>
  <si>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</si>
  <si>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</si>
  <si>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</si>
  <si>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</si>
  <si>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</si>
  <si>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</si>
  <si>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</si>
  <si>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</si>
  <si>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martelo,troca de grelha,revestimento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</si>
</sst>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J85" sqref="J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0.11180555555555555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0.11180555555555555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74" activePane="bottomLeft" state="frozen"/>
      <selection pane="bottomLeft" activeCell="E94" sqref="E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51</v>
      </c>
      <c r="G95" s="36">
        <f>SUM(G83:G94)</f>
        <v>214.2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51</v>
      </c>
      <c r="G109" s="40">
        <f>G95+G108</f>
        <v>214.2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1" activePane="bottomLeft" state="frozen"/>
      <selection pane="bottomLeft" activeCell="N89" sqref="N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/>
      <c r="G83" s="28" t="str">
        <f t="shared" ref="G83:G94" si="18">IF(F83="","",IF(E83="PC 17",F83*4.2,IF(E83="PC 19",F83*5,"")))</f>
        <v/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J83" sqref="J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15</v>
      </c>
      <c r="G95" s="36">
        <f>SUM(G83:G94)</f>
        <v>63.000000000000007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15</v>
      </c>
      <c r="G109" s="40">
        <f>G95+G108</f>
        <v>63.000000000000007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2026-07-04T17:04:23Z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