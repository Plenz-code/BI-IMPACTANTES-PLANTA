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68" documentId="8_{AF585B22-221D-4780-BB9C-493D365A6A02}" xr6:coauthVersionLast="47" xr6:coauthVersionMax="47" xr10:uidLastSave="{85AC2473-77B5-4394-B18C-3602BE4C7343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<sst xmlns="http://schemas.openxmlformats.org/spreadsheetml/2006/main" count="4929" uniqueCount="293">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</sst>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68" activePane="bottomLeft" state="frozen"/>
      <selection pane="bottomLeft" activeCell="F292" sqref="F29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185.2</v>
      </c>
      <c r="G297" s="36">
        <f>SUM(G285:G296)</f>
        <v>926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501.2</v>
      </c>
      <c r="G298" s="40">
        <f>G284+G297</f>
        <v>2506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I289" sqref="I2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/>
      <c r="I289" s="33" t="s">
        <v>31</v>
      </c>
      <c r="J289" s="33"/>
      <c r="K289" s="29">
        <v>6.7361111111111108E-2</v>
      </c>
      <c r="L289" s="29"/>
      <c r="M289" s="35">
        <f t="shared" ca="1" si="64"/>
        <v>1.7518171298434027E-2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27</v>
      </c>
      <c r="G290" s="28">
        <f t="shared" si="63"/>
        <v>113.4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110</v>
      </c>
      <c r="G297" s="36">
        <f>SUM(G285:G296)</f>
        <v>468.4</v>
      </c>
      <c r="H297" s="37"/>
      <c r="I297" s="37"/>
      <c r="J297" s="37"/>
      <c r="K297" s="37"/>
      <c r="L297" s="37"/>
      <c r="M297" s="38">
        <f ca="1">IFERROR(SUM(M285:M296),"")</f>
        <v>6.543483796510069E-2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293</v>
      </c>
      <c r="G298" s="40">
        <f>G284+G297</f>
        <v>1237</v>
      </c>
      <c r="H298" s="41"/>
      <c r="I298" s="41"/>
      <c r="J298" s="41"/>
      <c r="K298" s="41"/>
      <c r="L298" s="41"/>
      <c r="M298" s="42">
        <f ca="1">IFERROR(M284+M297,"")</f>
        <v>0.22307372685398952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3" zoomScale="50" zoomScaleNormal="50" workbookViewId="0">
      <selection activeCell="F291" sqref="F2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261</v>
      </c>
      <c r="N166" s="27" t="s">
        <v>262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61</v>
      </c>
      <c r="G297" s="36">
        <f>SUM(G285:G296)</f>
        <v>256.20000000000005</v>
      </c>
      <c r="H297" s="37"/>
      <c r="I297" s="37"/>
      <c r="J297" s="37"/>
      <c r="K297" s="37"/>
      <c r="L297" s="37"/>
      <c r="M297" s="38">
        <f ca="1">IFERROR(SUM(M285:M296),"")</f>
        <v>8.3333333333333384E-2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61</v>
      </c>
      <c r="G298" s="40">
        <f>G284+G297</f>
        <v>562.79999999999995</v>
      </c>
      <c r="H298" s="41"/>
      <c r="I298" s="41"/>
      <c r="J298" s="41"/>
      <c r="K298" s="41"/>
      <c r="L298" s="41"/>
      <c r="M298" s="42">
        <f ca="1">IFERROR(M284+M297,"")</f>
        <v>0.1388888888888889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2" activePane="bottomLeft" state="frozen"/>
      <selection pane="bottomLeft" activeCell="E289" sqref="E28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272</v>
      </c>
      <c r="L58" s="29">
        <v>0.54097222222222219</v>
      </c>
      <c r="M58" s="30" t="str">
        <f t="shared" ca="1" si="13"/>
        <v/>
      </c>
      <c r="N58" s="27" t="s">
        <v>273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0.83557372685754672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1.0348792824131023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1.4022403935242134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16</v>
      </c>
      <c r="G288" s="28">
        <f t="shared" si="63"/>
        <v>67.2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25</v>
      </c>
      <c r="G290" s="28">
        <f t="shared" si="63"/>
        <v>105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99</v>
      </c>
      <c r="G297" s="36">
        <f>SUM(G285:G296)</f>
        <v>429.4</v>
      </c>
      <c r="H297" s="37"/>
      <c r="I297" s="37"/>
      <c r="J297" s="37"/>
      <c r="K297" s="61"/>
      <c r="L297" s="61"/>
      <c r="M297" s="38">
        <f ca="1">IFERROR(SUM(M285:M296),"")</f>
        <v>8.2638888888888942E-2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286</v>
      </c>
      <c r="G298" s="40">
        <f>G284+G297</f>
        <v>1214.8000000000002</v>
      </c>
      <c r="H298" s="41"/>
      <c r="I298" s="41"/>
      <c r="J298" s="41"/>
      <c r="K298" s="63"/>
      <c r="L298" s="63"/>
      <c r="M298" s="42">
        <f ca="1">IFERROR(M284+M297,"")</f>
        <v>0.14652777777777776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2026-07-12T06:02:26Z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