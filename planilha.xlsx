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308" documentId="8_{AF585B22-221D-4780-BB9C-493D365A6A02}" xr6:coauthVersionLast="47" xr6:coauthVersionMax="47" xr10:uidLastSave="{C518F300-127F-4F78-94AD-979F8F27965B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<sst xmlns="http://schemas.openxmlformats.org/spreadsheetml/2006/main" count="4913" uniqueCount="293">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</sst>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1881460</v>
      </c>
      <c r="D14" s="8">
        <f>IFERROR('Linha 1'!O298,"")</f>
        <v>623460</v>
      </c>
      <c r="E14" s="8">
        <f>IFERROR('Linha 2'!O298,"")</f>
        <v>303720</v>
      </c>
      <c r="F14" s="8">
        <f>IFERROR('Linha 3'!O298,"")</f>
        <v>787000</v>
      </c>
      <c r="G14" s="9">
        <f t="shared" si="0"/>
        <v>1714180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31457540</v>
      </c>
      <c r="D35" s="13">
        <f>IFERROR(SUM(D4:D34),"")</f>
        <v>11098620</v>
      </c>
      <c r="E35" s="13">
        <f>IFERROR(SUM(E4:E34),"")</f>
        <v>7720770</v>
      </c>
      <c r="F35" s="13">
        <f>IFERROR(SUM(F4:F34),"")</f>
        <v>14380110</v>
      </c>
      <c r="G35" s="13">
        <f>IFERROR(SUM(G4:G34),"")</f>
        <v>33199500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F288" sqref="F28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1881460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213</v>
      </c>
      <c r="F286" s="27">
        <v>24</v>
      </c>
      <c r="G286" s="28">
        <f t="shared" si="63"/>
        <v>120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213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213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213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213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213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213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213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213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79</v>
      </c>
      <c r="G297" s="36">
        <f>SUM(G285:G296)</f>
        <v>395</v>
      </c>
      <c r="H297" s="37"/>
      <c r="I297" s="37"/>
      <c r="J297" s="37"/>
      <c r="K297" s="37"/>
      <c r="L297" s="37"/>
      <c r="M297" s="38">
        <f ca="1">IFERROR(SUM(M285:M296),"")</f>
        <v>2.5694444444444464E-2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1975</v>
      </c>
      <c r="H298" s="41"/>
      <c r="I298" s="41"/>
      <c r="J298" s="41"/>
      <c r="K298" s="41"/>
      <c r="L298" s="41"/>
      <c r="M298" s="42">
        <f ca="1">IFERROR(M284+M297,"")</f>
        <v>4.7222222222222276E-2</v>
      </c>
      <c r="N298" s="40" t="s">
        <v>219</v>
      </c>
      <c r="O298" s="48">
        <f>IFERROR(O284+O297,"")</f>
        <v>1881460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68" activePane="bottomLeft" state="frozen"/>
      <selection pane="bottomLeft" activeCell="N286" sqref="N28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244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245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247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242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250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251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18</v>
      </c>
      <c r="I285" s="33" t="s">
        <v>39</v>
      </c>
      <c r="J285" s="33" t="s">
        <v>126</v>
      </c>
      <c r="K285" s="29">
        <v>0.92569444444444449</v>
      </c>
      <c r="L285" s="29"/>
      <c r="M285" s="35">
        <f t="shared" ref="M285:M296" ca="1" si="64">IFERROR(IF(K285="","",IF(L285="",MOD(NOW()-K285,1),IF(L285&gt;=K285,L285-K285,L285+1-K285))),"")</f>
        <v>1.144282407767605E-2</v>
      </c>
      <c r="N285" s="46" t="s">
        <v>252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100.80000000000001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45</v>
      </c>
      <c r="G297" s="36">
        <f>SUM(G285:G296)</f>
        <v>189</v>
      </c>
      <c r="H297" s="37"/>
      <c r="I297" s="37"/>
      <c r="J297" s="37"/>
      <c r="K297" s="37"/>
      <c r="L297" s="37"/>
      <c r="M297" s="38">
        <f ca="1">IFERROR(SUM(M285:M296),"")</f>
        <v>1.144282407767605E-2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228</v>
      </c>
      <c r="G298" s="40">
        <f>G284+G297</f>
        <v>957.59999999999991</v>
      </c>
      <c r="H298" s="41"/>
      <c r="I298" s="41"/>
      <c r="J298" s="41"/>
      <c r="K298" s="41"/>
      <c r="L298" s="41"/>
      <c r="M298" s="42">
        <f ca="1">IFERROR(M284+M297,"")</f>
        <v>0.16908171296656488</v>
      </c>
      <c r="N298" s="40" t="s">
        <v>219</v>
      </c>
      <c r="O298" s="84">
        <f>IFERROR(O284+O297,"")</f>
        <v>623460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61" zoomScale="50" zoomScaleNormal="50" workbookViewId="0">
      <selection activeCell="N292" sqref="N29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261</v>
      </c>
      <c r="N166" s="27" t="s">
        <v>262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263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264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265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/>
      <c r="G287" s="34" t="str">
        <f t="shared" si="63"/>
        <v/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/>
      <c r="G288" s="28" t="str">
        <f t="shared" si="63"/>
        <v/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/>
      <c r="G289" s="34" t="str">
        <f t="shared" si="63"/>
        <v/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267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5</v>
      </c>
      <c r="G297" s="36">
        <f>SUM(G285:G296)</f>
        <v>21</v>
      </c>
      <c r="H297" s="37"/>
      <c r="I297" s="37"/>
      <c r="J297" s="37"/>
      <c r="K297" s="37"/>
      <c r="L297" s="37"/>
      <c r="M297" s="38">
        <f ca="1">IFERROR(SUM(M285:M296),"")</f>
        <v>7.8472222222222276E-2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5</v>
      </c>
      <c r="G298" s="40">
        <f>G284+G297</f>
        <v>327.59999999999997</v>
      </c>
      <c r="H298" s="41"/>
      <c r="I298" s="41"/>
      <c r="J298" s="41"/>
      <c r="K298" s="41"/>
      <c r="L298" s="41"/>
      <c r="M298" s="42">
        <f ca="1">IFERROR(M284+M297,"")</f>
        <v>0.1340277777777778</v>
      </c>
      <c r="N298" s="40" t="s">
        <v>219</v>
      </c>
      <c r="O298" s="48">
        <f>IFERROR(O284+O297,"")</f>
        <v>303720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68" activePane="bottomLeft" state="frozen"/>
      <selection pane="bottomLeft" activeCell="I290" sqref="I29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272</v>
      </c>
      <c r="L58" s="29">
        <v>0.54097222222222219</v>
      </c>
      <c r="M58" s="30" t="str">
        <f t="shared" ca="1" si="13"/>
        <v/>
      </c>
      <c r="N58" s="27" t="s">
        <v>273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0.68783171296672663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0.88713726852228225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1.2544983796333933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227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1</v>
      </c>
      <c r="G286" s="28">
        <f t="shared" si="63"/>
        <v>4.2</v>
      </c>
      <c r="H286" s="49" t="s">
        <v>19</v>
      </c>
      <c r="I286" s="49" t="s">
        <v>57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</v>
      </c>
      <c r="G297" s="36">
        <f>SUM(G285:G296)</f>
        <v>4.2</v>
      </c>
      <c r="H297" s="37"/>
      <c r="I297" s="37"/>
      <c r="J297" s="37"/>
      <c r="K297" s="61"/>
      <c r="L297" s="61"/>
      <c r="M297" s="38">
        <f ca="1">IFERROR(SUM(M285:M296),"")</f>
        <v>7.986111111111116E-2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188</v>
      </c>
      <c r="G298" s="40">
        <f>G284+G297</f>
        <v>789.60000000000014</v>
      </c>
      <c r="H298" s="41"/>
      <c r="I298" s="41"/>
      <c r="J298" s="41"/>
      <c r="K298" s="63"/>
      <c r="L298" s="63"/>
      <c r="M298" s="42">
        <f ca="1">IFERROR(M284+M297,"")</f>
        <v>0.14374999999999999</v>
      </c>
      <c r="N298" s="40" t="s">
        <v>219</v>
      </c>
      <c r="O298" s="48">
        <f>IFERROR(O284+O297,"")</f>
        <v>787000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2026-07-12T02:30:00Z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