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56" documentId="13_ncr:1_{A6DBCFB4-28D9-4249-9038-216934055CA6}" xr6:coauthVersionLast="47" xr6:coauthVersionMax="47" xr10:uidLastSave="{E2C5670B-314C-4E9D-9A93-65246787BCFA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<sst xmlns="http://schemas.openxmlformats.org/spreadsheetml/2006/main" count="9910" uniqueCount="425">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</sst>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224</v>
      </c>
      <c r="Q61" s="40"/>
      <c r="R61" s="40"/>
    </row>
    <row r="62" spans="1:18" ht="15" customHeight="1">
      <c r="M62" s="164"/>
      <c r="N62" s="37"/>
      <c r="O62" s="37"/>
      <c r="P62" s="37" t="s">
        <v>225</v>
      </c>
      <c r="Q62" s="37"/>
      <c r="R62" s="37"/>
    </row>
    <row r="63" spans="1:18" ht="15" customHeight="1">
      <c r="M63" s="164"/>
      <c r="N63" s="40"/>
      <c r="O63" s="40"/>
      <c r="P63" s="40" t="s">
        <v>226</v>
      </c>
      <c r="Q63" s="40"/>
      <c r="R63" s="40"/>
    </row>
    <row r="64" spans="1:18" ht="15" customHeight="1">
      <c r="M64" s="164"/>
      <c r="N64" s="37"/>
      <c r="O64" s="37"/>
      <c r="P64" s="37" t="s">
        <v>227</v>
      </c>
      <c r="Q64" s="37"/>
      <c r="R64" s="37"/>
    </row>
    <row r="65" spans="13:18" ht="15" customHeight="1">
      <c r="M65" s="164"/>
      <c r="N65" s="40"/>
      <c r="O65" s="40"/>
      <c r="P65" s="40" t="s">
        <v>228</v>
      </c>
      <c r="Q65" s="40"/>
      <c r="R65" s="40"/>
    </row>
    <row r="66" spans="13:18" ht="15" customHeight="1">
      <c r="M66" s="164"/>
      <c r="N66" s="37"/>
      <c r="O66" s="37"/>
      <c r="P66" s="37" t="s">
        <v>229</v>
      </c>
      <c r="Q66" s="37"/>
      <c r="R66" s="37"/>
    </row>
    <row r="67" spans="13:18" ht="15" customHeight="1">
      <c r="M67" s="164"/>
      <c r="N67" s="40"/>
      <c r="O67" s="40"/>
      <c r="P67" s="40" t="s">
        <v>230</v>
      </c>
      <c r="Q67" s="40"/>
      <c r="R67" s="40"/>
    </row>
    <row r="68" spans="13:18" ht="15" customHeight="1">
      <c r="M68" s="164"/>
      <c r="N68" s="37"/>
      <c r="O68" s="37"/>
      <c r="P68" s="37" t="s">
        <v>231</v>
      </c>
      <c r="Q68" s="37"/>
      <c r="R68" s="37"/>
    </row>
    <row r="69" spans="13:18" ht="15" customHeight="1">
      <c r="M69" s="164"/>
      <c r="N69" s="40"/>
      <c r="O69" s="40"/>
      <c r="P69" s="40" t="s">
        <v>232</v>
      </c>
      <c r="Q69" s="40"/>
      <c r="R69" s="40"/>
    </row>
    <row r="70" spans="13:18" ht="15" customHeight="1">
      <c r="M70" s="164"/>
      <c r="N70" s="37"/>
      <c r="O70" s="37"/>
      <c r="P70" s="37" t="s">
        <v>233</v>
      </c>
      <c r="Q70" s="37"/>
      <c r="R70" s="37"/>
    </row>
    <row r="71" spans="13:18" ht="15" customHeight="1">
      <c r="M71" s="164"/>
      <c r="N71" s="40"/>
      <c r="O71" s="40"/>
      <c r="P71" s="40" t="s">
        <v>234</v>
      </c>
      <c r="Q71" s="40"/>
      <c r="R71" s="40"/>
    </row>
    <row r="72" spans="13:18" ht="15" customHeight="1">
      <c r="M72" s="164"/>
      <c r="N72" s="37"/>
      <c r="O72" s="37"/>
      <c r="P72" s="37" t="s">
        <v>235</v>
      </c>
      <c r="Q72" s="37"/>
      <c r="R72" s="37"/>
    </row>
    <row r="73" spans="13:18" ht="15" customHeight="1">
      <c r="M73" s="164"/>
      <c r="N73" s="40"/>
      <c r="O73" s="40"/>
      <c r="P73" s="40" t="s">
        <v>236</v>
      </c>
      <c r="Q73" s="40"/>
      <c r="R73" s="40"/>
    </row>
    <row r="74" spans="13:18" ht="15" customHeight="1">
      <c r="M74" s="164"/>
      <c r="N74" s="37"/>
      <c r="O74" s="37"/>
      <c r="P74" s="37" t="s">
        <v>237</v>
      </c>
      <c r="Q74" s="37"/>
      <c r="R74" s="37"/>
    </row>
    <row r="75" spans="13:18" ht="15" customHeight="1">
      <c r="M75" s="164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78" activePane="bottomLeft" state="frozen"/>
      <selection pane="bottomLeft" activeCell="I582" sqref="I582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156</v>
      </c>
      <c r="J582" s="61" t="s">
        <v>144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302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264</v>
      </c>
      <c r="B594" s="167"/>
      <c r="C594" s="167"/>
      <c r="D594" s="167"/>
      <c r="E594" s="167"/>
      <c r="F594" s="2">
        <f>SUM(F582:F593)</f>
        <v>336</v>
      </c>
      <c r="G594" s="2">
        <f>SUM(G582:G593)</f>
        <v>1680</v>
      </c>
      <c r="H594" s="72"/>
      <c r="I594" s="72"/>
      <c r="J594" s="72"/>
      <c r="K594" s="72"/>
      <c r="L594" s="72"/>
      <c r="M594" s="73">
        <f ca="1">IFERROR(SUM(M582:M593),"")</f>
        <v>3.472222222222221E-2</v>
      </c>
      <c r="N594" s="2" t="s">
        <v>262</v>
      </c>
      <c r="O594" s="74"/>
    </row>
    <row r="595" spans="1:15" ht="18" customHeight="1">
      <c r="A595" s="168" t="s">
        <v>250</v>
      </c>
      <c r="B595" s="168"/>
      <c r="C595" s="168"/>
      <c r="D595" s="168"/>
      <c r="E595" s="168"/>
      <c r="F595" s="1">
        <f>F581+F594</f>
        <v>714</v>
      </c>
      <c r="G595" s="1">
        <f>G581+G594</f>
        <v>3570</v>
      </c>
      <c r="H595" s="76"/>
      <c r="I595" s="76"/>
      <c r="J595" s="76"/>
      <c r="K595" s="76"/>
      <c r="L595" s="76"/>
      <c r="M595" s="77">
        <f ca="1">IFERROR(M581+M594,"")</f>
        <v>0.11180555555555549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E590" sqref="E59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303</v>
      </c>
      <c r="I1" s="86" t="s">
        <v>22</v>
      </c>
      <c r="J1" s="86" t="s">
        <v>304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5.399895832670154E-2</v>
      </c>
      <c r="R53" s="80" t="s">
        <v>313</v>
      </c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0.19288784721558927</v>
      </c>
      <c r="R54" s="2" t="s">
        <v>262</v>
      </c>
      <c r="S54" s="113">
        <v>352430</v>
      </c>
      <c r="T54" s="114"/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0.27761006943781208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315</v>
      </c>
      <c r="Q96" s="66" t="str">
        <f t="shared" ref="Q96:Q107" ca="1" si="22">IFERROR(IF(O96="","",IF(P96="",MOD(NOW()-O96,1),IF(P96&gt;=O96,P96-O96,P96+1-O96))),"")</f>
        <v/>
      </c>
      <c r="R96" s="80" t="s">
        <v>316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340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341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342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343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344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321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345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346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347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348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260</v>
      </c>
      <c r="F590" s="88">
        <f>IFERROR(IF($D590="","",VLOOKUP($D590,Cadastro!$C$4:$E$7,3,FALSE())),"")</f>
        <v>0.35</v>
      </c>
      <c r="G590" s="89">
        <v>16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80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90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390.80000000000007</v>
      </c>
      <c r="L594" s="72"/>
      <c r="M594" s="72"/>
      <c r="N594" s="72"/>
      <c r="O594" s="72"/>
      <c r="P594" s="72"/>
      <c r="Q594" s="73">
        <f ca="1">IFERROR(SUM(Q582:Q593),"")</f>
        <v>0.12708333333333344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139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596.60000000000014</v>
      </c>
      <c r="L595" s="76"/>
      <c r="M595" s="76"/>
      <c r="N595" s="76"/>
      <c r="O595" s="76"/>
      <c r="P595" s="76"/>
      <c r="Q595" s="77">
        <f ca="1">IFERROR(Q581+Q594,"")</f>
        <v>0.53125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1" sqref="G59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303</v>
      </c>
      <c r="I1" s="86" t="s">
        <v>22</v>
      </c>
      <c r="J1" s="86" t="s">
        <v>304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362</v>
      </c>
      <c r="Q222" s="66" t="str">
        <f t="shared" ca="1" si="49"/>
        <v/>
      </c>
      <c r="R222" s="63" t="s">
        <v>363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314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375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376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314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377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349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314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372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70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294.00000000000006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233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987.40000000000009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G591" sqref="G59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303</v>
      </c>
      <c r="I1" s="86" t="s">
        <v>22</v>
      </c>
      <c r="J1" s="86" t="s">
        <v>304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371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131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550.19999999999993</v>
      </c>
      <c r="L594" s="72"/>
      <c r="M594" s="72"/>
      <c r="N594" s="72"/>
      <c r="O594" s="134"/>
      <c r="P594" s="134"/>
      <c r="Q594" s="73">
        <f ca="1">IFERROR(SUM(Q582:Q593),"")</f>
        <v>8.3333333333333259E-2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333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1414.6</v>
      </c>
      <c r="L595" s="76"/>
      <c r="M595" s="76"/>
      <c r="N595" s="76"/>
      <c r="O595" s="135"/>
      <c r="P595" s="135"/>
      <c r="Q595" s="77">
        <f ca="1">IFERROR(Q581+Q594,"")</f>
        <v>0.21736111111111112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2026-08-23T08:13:16Z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