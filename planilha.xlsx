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97" documentId="13_ncr:1_{0A10D8D4-8450-4366-8075-B53B08E6B7EA}" xr6:coauthVersionLast="47" xr6:coauthVersionMax="47" xr10:uidLastSave="{EC6BDDC3-2E93-4EE1-ADDE-646A213ABC24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5" i="6"/>
  <c r="J355" i="6" s="1"/>
  <c r="H356" i="6"/>
  <c r="J356" i="6" s="1"/>
  <c r="H357" i="6"/>
  <c r="J35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5" i="5"/>
  <c r="J355" i="5" s="1"/>
  <c r="H356" i="5"/>
  <c r="J356" i="5" s="1"/>
  <c r="H357" i="5"/>
  <c r="J357" i="5" s="1"/>
  <c r="H358" i="5"/>
  <c r="J358" i="5" s="1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5" i="4"/>
  <c r="J355" i="4" s="1"/>
  <c r="H356" i="4"/>
  <c r="J356" i="4" s="1"/>
  <c r="H357" i="4"/>
  <c r="J357" i="4" s="1"/>
  <c r="H358" i="4"/>
  <c r="J358" i="4" s="1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4" i="6" s="1"/>
  <c r="J35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3" i="5" l="1"/>
  <c r="H354" i="5"/>
  <c r="H353" i="4"/>
  <c r="H354" i="4"/>
  <c r="J354" i="4" s="1"/>
  <c r="J353" i="5"/>
  <c r="H365" i="4"/>
  <c r="H379" i="4" s="1"/>
  <c r="J353" i="4"/>
  <c r="J365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H351" i="6"/>
  <c r="J339" i="5"/>
  <c r="J351" i="5" s="1"/>
  <c r="T351" i="5" s="1"/>
  <c r="H351" i="5"/>
  <c r="J339" i="4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4" i="5" l="1"/>
  <c r="J365" i="5" s="1"/>
  <c r="H365" i="5"/>
  <c r="H379" i="5" s="1"/>
  <c r="J351" i="6"/>
  <c r="T351" i="6" s="1"/>
  <c r="J351" i="4"/>
  <c r="T351" i="4" s="1"/>
  <c r="J338" i="4"/>
  <c r="T338" i="4" s="1"/>
  <c r="J379" i="5"/>
  <c r="T379" i="5" s="1"/>
  <c r="T365" i="5"/>
  <c r="J379" i="4"/>
  <c r="T379" i="4" s="1"/>
  <c r="T365" i="4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<sst xmlns="http://schemas.openxmlformats.org/spreadsheetml/2006/main" count="6275" uniqueCount="344">
  <si>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</si>
  <si>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</si>
  <si>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</si>
  <si>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</si>
  <si>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</si>
  <si>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</si>
  <si>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</si>
  <si>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</si>
  <si>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</si>
  <si>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</si>
  <si>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</si>
  <si>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</si>
  <si>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</si>
  <si>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</si>
  <si>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</si>
  <si>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</si>
  <si>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</si>
  <si>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</si>
  <si>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</si>
  <si>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</si>
  <si>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</si>
  <si>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</si>
  <si>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</si>
  <si>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</si>
  <si>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</si>
  <si>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</si>
  <si>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</si>
  <si>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</si>
  <si>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</si>
  <si>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</si>
  <si>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</si>
  <si>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</si>
  <si>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</si>
  <si>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</si>
  <si>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</si>
  <si>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</si>
  <si>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</si>
  <si>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</si>
  <si>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</si>
  <si>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</si>
  <si>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</si>
  <si>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</si>
  <si>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</si>
  <si>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</si>
  <si>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</si>
  <si>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</si>
  <si>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</si>
  <si>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</si>
  <si>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</si>
  <si>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</si>
  <si>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</si>
  <si>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</si>
  <si>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</si>
  <si>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</si>
  <si>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</si>
  <si>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</si>
  <si>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</si>
  <si>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</si>
  <si>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</si>
  <si>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</si>
  <si>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</si>
  <si>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</si>
  <si>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</si>
  <si>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</si>
  <si>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</si>
  <si>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</si>
  <si>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</si>
  <si>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</si>
  <si>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</si>
  <si>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</si>
  <si>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</si>
  <si>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</si>
  <si>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</si>
  <si>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</si>
  <si>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</si>
  <si>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</si>
  <si>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</si>
  <si>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</si>
  <si>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</si>
  <si>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</si>
  <si>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</si>
  <si>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</si>
  <si>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</si>
  <si>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</si>
  <si>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</si>
  <si>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</si>
  <si>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</si>
  <si>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</si>
  <si>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</si>
  <si>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</si>
  <si>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</si>
  <si>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</si>
  <si>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</si>
  <si>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</si>
  <si>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</si>
  <si>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</si>
  <si>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</si>
  <si>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</si>
  <si>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</si>
  <si>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</si>
  <si>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</si>
  <si>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</si>
  <si>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</si>
  <si>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</si>
  <si>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</si>
  <si>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</si>
  <si>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</si>
  <si>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</si>
  <si>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</si>
  <si>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</si>
  <si>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</si>
  <si>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</si>
  <si>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</si>
  <si>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</si>
  <si>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</si>
  <si>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</si>
  <si>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</si>
  <si>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</si>
  <si>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</si>
  <si>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</si>
  <si>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</si>
  <si>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</si>
  <si>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</si>
  <si>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</si>
  <si>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</si>
  <si>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</si>
  <si>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</si>
  <si>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</si>
  <si>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</si>
  <si>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</si>
  <si>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</si>
  <si>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</si>
  <si>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</si>
  <si>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</si>
  <si>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</si>
  <si>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</si>
  <si>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</si>
  <si>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</si>
  <si>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</si>
  <si>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</si>
  <si>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</si>
  <si>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</si>
  <si>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</si>
  <si>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</si>
  <si>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</si>
  <si>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</si>
  <si>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</si>
  <si>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</si>
  <si>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</si>
  <si>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</si>
  <si>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</si>
  <si>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</si>
  <si>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</si>
  <si>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</si>
  <si>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</si>
  <si>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</si>
  <si>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</si>
  <si>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</si>
  <si>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</si>
  <si>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</si>
  <si>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</si>
  <si>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</si>
  <si>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</si>
  <si>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</si>
  <si>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</si>
  <si>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</si>
  <si>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</si>
  <si>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</si>
  <si>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</si>
  <si>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</si>
  <si>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</si>
  <si>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</si>
  <si>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</si>
  <si>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</si>
  <si>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</si>
  <si>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</si>
  <si>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</si>
  <si>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</si>
  <si>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</si>
  <si>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</si>
  <si>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</si>
  <si>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</si>
  <si>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</si>
  <si>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</si>
  <si>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</si>
  <si>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</si>
  <si>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</si>
  <si>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</si>
  <si>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</si>
  <si>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</si>
  <si>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</si>
  <si>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</si>
  <si>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</si>
  <si>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</si>
  <si>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</si>
  <si>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</si>
  <si>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</si>
  <si>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</si>
  <si>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</si>
  <si>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</si>
  <si>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</si>
  <si>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</si>
  <si>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</si>
  <si>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</si>
  <si>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</si>
  <si>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</si>
  <si>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</si>
  <si>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</si>
  <si>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</si>
  <si>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</si>
  <si>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</si>
  <si>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</si>
  <si>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</si>
  <si>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</si>
  <si>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</si>
  <si>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</si>
  <si>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</si>
  <si>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</si>
  <si>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</si>
  <si>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</si>
  <si>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</si>
  <si>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</si>
  <si>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</si>
  <si>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</si>
  <si>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</si>
  <si>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</si>
  <si>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</si>
  <si>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</si>
  <si>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</si>
  <si>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</si>
  <si>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</si>
  <si>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</si>
  <si>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</si>
  <si>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</si>
  <si>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</si>
  <si>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</si>
  <si>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</si>
  <si>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</si>
  <si>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</si>
  <si>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</si>
  <si>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</si>
  <si>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</si>
  <si>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</si>
  <si>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</si>
  <si>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</si>
  <si>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</si>
  <si>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</si>
  <si>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</si>
  <si>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</si>
  <si>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</si>
  <si>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</si>
  <si>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</si>
  <si>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</si>
  <si>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</si>
  <si>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</si>
  <si>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</si>
  <si>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</si>
  <si>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</si>
  <si>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</si>
  <si>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</si>
  <si>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</si>
  <si>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</si>
  <si>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</si>
  <si>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</si>
  <si>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</si>
  <si>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</si>
  <si>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</si>
  <si>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</si>
  <si>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</si>
  <si>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</si>
  <si>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</si>
  <si>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</si>
  <si>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</si>
  <si>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</si>
  <si>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</si>
  <si>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</si>
  <si>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</si>
  <si>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</si>
  <si>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</si>
  <si>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</si>
  <si>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</si>
  <si>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</si>
  <si>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</si>
  <si>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</si>
  <si>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</si>
  <si>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</si>
  <si>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</si>
  <si>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</si>
  <si>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</si>
  <si>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</si>
  <si>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</si>
  <si>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</si>
  <si>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</si>
  <si>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</si>
  <si>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</si>
  <si>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</si>
  <si>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</si>
  <si>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</si>
  <si>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</si>
  <si>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</si>
  <si>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</si>
  <si>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</si>
  <si>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</si>
  <si>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</si>
  <si>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</si>
  <si>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</si>
  <si>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</si>
  <si>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</si>
  <si>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</si>
  <si>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</si>
  <si>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</si>
  <si>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</si>
  <si>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</si>
  <si>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</si>
  <si>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</si>
  <si>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</si>
  <si>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</si>
  <si>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</si>
  <si>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</si>
  <si>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</si>
  <si>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</si>
  <si>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</si>
  <si>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</si>
  <si>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</si>
  <si>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</si>
  <si>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</si>
  <si>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</si>
  <si>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</si>
  <si>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</si>
  <si>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</si>
  <si>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</si>
  <si>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</si>
  <si>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</si>
  <si>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</si>
  <si>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</si>
  <si>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</si>
  <si>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</si>
  <si>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</si>
  <si>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</si>
  <si>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</si>
  <si>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</si>
  <si>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Ouro Realizado Mina(g)</t>
  </si>
  <si>
    <t>Ouro Realizado da limpeza acumulado (%)</t>
  </si>
  <si>
    <t>Ouro Realizado da limpeza acumulado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</si>
</sst>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5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" fillId="20" borderId="1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/>
    </xf>
    <xf numFmtId="0" fontId="7" fillId="8" borderId="2" xfId="1" applyNumberFormat="1" applyFont="1" applyFill="1" applyBorder="1" applyAlignment="1">
      <alignment horizontal="center" vertical="center"/>
    </xf>
    <xf numFmtId="0" fontId="3" fillId="21" borderId="2" xfId="0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zoomScaleNormal="100" workbookViewId="0">
      <pane ySplit="3" topLeftCell="A10" activePane="bottomLeft" state="frozen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 x14ac:dyDescent="0.25">
      <c r="A1" s="166" t="s">
        <v>0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</row>
    <row r="2" spans="1:11" ht="30" customHeight="1" x14ac:dyDescent="0.25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73" t="s">
        <v>341</v>
      </c>
      <c r="J2" s="127" t="s">
        <v>7</v>
      </c>
      <c r="K2" s="127" t="s">
        <v>343</v>
      </c>
    </row>
    <row r="3" spans="1:11" ht="30" customHeight="1" x14ac:dyDescent="0.25">
      <c r="A3" s="6" t="s">
        <v>8</v>
      </c>
      <c r="B3" s="70" t="s">
        <v>9</v>
      </c>
      <c r="C3" s="6" t="s">
        <v>10</v>
      </c>
      <c r="D3" s="6" t="s">
        <v>10</v>
      </c>
      <c r="E3" s="6" t="s">
        <v>10</v>
      </c>
      <c r="F3" s="6" t="s">
        <v>10</v>
      </c>
      <c r="G3" s="6" t="s">
        <v>10</v>
      </c>
      <c r="H3" s="6" t="s">
        <v>6</v>
      </c>
      <c r="I3" s="6" t="s">
        <v>341</v>
      </c>
      <c r="J3" s="128" t="s">
        <v>7</v>
      </c>
      <c r="K3" s="170" t="s">
        <v>342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29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29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K34" si="1">IF(H6=0,"-",1-ABS(I6-H6)/H6)</f>
        <v>-</v>
      </c>
      <c r="K6" s="129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29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29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29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29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29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29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29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29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 t="shared" si="1"/>
        <v>0.9721290621448434</v>
      </c>
      <c r="K15" s="172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29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29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29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29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29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29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29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29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29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29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29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29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29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29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29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29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29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29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29"/>
    </row>
    <row r="35" spans="1:11" ht="14.25" customHeight="1" x14ac:dyDescent="0.25">
      <c r="A35" s="165" t="s">
        <v>11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1483.4914215403103</v>
      </c>
      <c r="I35" s="97">
        <f>IFERROR(SUM(I4:I34),"")</f>
        <v>702</v>
      </c>
      <c r="J35" s="130">
        <f>IFERROR(AVERAGE(J4:J34),"-")</f>
        <v>0.4860645310724217</v>
      </c>
      <c r="K35" s="174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6" sqref="G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7" t="s">
        <v>12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8"/>
      <c r="N1" s="169" t="s">
        <v>13</v>
      </c>
      <c r="O1" s="169"/>
      <c r="P1" s="169"/>
      <c r="Q1" s="169"/>
      <c r="R1" s="169"/>
    </row>
    <row r="2" spans="1:18" ht="4.5" customHeight="1" x14ac:dyDescent="0.25">
      <c r="M2" s="168"/>
    </row>
    <row r="3" spans="1:18" ht="25.9" customHeight="1" x14ac:dyDescent="0.25">
      <c r="A3" s="14" t="s">
        <v>14</v>
      </c>
      <c r="C3" s="14" t="s">
        <v>15</v>
      </c>
      <c r="E3" s="14" t="s">
        <v>16</v>
      </c>
      <c r="G3" s="14" t="s">
        <v>17</v>
      </c>
      <c r="J3" s="14" t="s">
        <v>18</v>
      </c>
      <c r="L3" s="14" t="s">
        <v>19</v>
      </c>
      <c r="M3" s="168"/>
      <c r="N3" s="15" t="s">
        <v>20</v>
      </c>
      <c r="O3" s="15" t="s">
        <v>21</v>
      </c>
      <c r="P3" s="15" t="s">
        <v>22</v>
      </c>
      <c r="Q3" s="15" t="s">
        <v>23</v>
      </c>
      <c r="R3" s="15" t="s">
        <v>24</v>
      </c>
    </row>
    <row r="4" spans="1:18" ht="15.75" customHeight="1" x14ac:dyDescent="0.25">
      <c r="A4" s="16" t="s">
        <v>25</v>
      </c>
      <c r="C4" s="16" t="s">
        <v>26</v>
      </c>
      <c r="E4" s="92">
        <v>0.35</v>
      </c>
      <c r="G4" s="94">
        <v>0.6</v>
      </c>
      <c r="J4" s="16" t="s">
        <v>20</v>
      </c>
      <c r="L4" s="16" t="s">
        <v>27</v>
      </c>
      <c r="M4" s="168"/>
      <c r="N4" s="16" t="s">
        <v>28</v>
      </c>
      <c r="O4" s="16" t="s">
        <v>29</v>
      </c>
      <c r="P4" s="16" t="s">
        <v>30</v>
      </c>
      <c r="Q4" s="16" t="s">
        <v>31</v>
      </c>
      <c r="R4" s="16" t="s">
        <v>32</v>
      </c>
    </row>
    <row r="5" spans="1:18" ht="15.75" customHeight="1" x14ac:dyDescent="0.25">
      <c r="A5" s="17" t="s">
        <v>33</v>
      </c>
      <c r="C5" s="17" t="s">
        <v>34</v>
      </c>
      <c r="E5" s="93">
        <v>0.24</v>
      </c>
      <c r="G5" s="95">
        <v>0.6</v>
      </c>
      <c r="J5" s="17" t="s">
        <v>21</v>
      </c>
      <c r="L5" s="17" t="s">
        <v>35</v>
      </c>
      <c r="M5" s="168"/>
      <c r="N5" s="17" t="s">
        <v>36</v>
      </c>
      <c r="O5" s="17" t="s">
        <v>37</v>
      </c>
      <c r="P5" s="17" t="s">
        <v>38</v>
      </c>
      <c r="Q5" s="17" t="s">
        <v>39</v>
      </c>
      <c r="R5" s="17" t="s">
        <v>40</v>
      </c>
    </row>
    <row r="6" spans="1:18" ht="15.75" customHeight="1" x14ac:dyDescent="0.25">
      <c r="A6" s="16" t="s">
        <v>41</v>
      </c>
      <c r="C6" s="16" t="s">
        <v>42</v>
      </c>
      <c r="E6" s="92">
        <v>0.21</v>
      </c>
      <c r="G6" s="94">
        <v>0.55000000000000004</v>
      </c>
      <c r="J6" s="16" t="s">
        <v>22</v>
      </c>
      <c r="L6" s="16" t="s">
        <v>43</v>
      </c>
      <c r="M6" s="168"/>
      <c r="N6" s="16" t="s">
        <v>44</v>
      </c>
      <c r="O6" s="16" t="s">
        <v>45</v>
      </c>
      <c r="P6" s="16" t="s">
        <v>46</v>
      </c>
      <c r="Q6" s="16" t="s">
        <v>47</v>
      </c>
      <c r="R6" s="16" t="s">
        <v>48</v>
      </c>
    </row>
    <row r="7" spans="1:18" ht="15.75" customHeight="1" x14ac:dyDescent="0.25">
      <c r="A7" s="17" t="s">
        <v>49</v>
      </c>
      <c r="C7" s="17" t="s">
        <v>50</v>
      </c>
      <c r="E7" s="93">
        <v>0.13</v>
      </c>
      <c r="G7" s="95">
        <v>0.55000000000000004</v>
      </c>
      <c r="J7" s="16" t="s">
        <v>23</v>
      </c>
      <c r="L7" s="17" t="s">
        <v>51</v>
      </c>
      <c r="M7" s="168"/>
      <c r="N7" s="17" t="s">
        <v>52</v>
      </c>
      <c r="O7" s="17" t="s">
        <v>53</v>
      </c>
      <c r="P7" s="17" t="s">
        <v>38</v>
      </c>
      <c r="Q7" s="17" t="s">
        <v>54</v>
      </c>
      <c r="R7" s="17" t="s">
        <v>55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24</v>
      </c>
      <c r="L8" s="16" t="s">
        <v>56</v>
      </c>
      <c r="M8" s="168"/>
      <c r="N8" s="16" t="s">
        <v>57</v>
      </c>
      <c r="O8" s="16" t="s">
        <v>58</v>
      </c>
      <c r="P8" s="16" t="s">
        <v>46</v>
      </c>
      <c r="Q8" s="16" t="s">
        <v>59</v>
      </c>
      <c r="R8" s="16" t="s">
        <v>60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61</v>
      </c>
      <c r="M9" s="168"/>
      <c r="N9" s="17" t="s">
        <v>62</v>
      </c>
      <c r="O9" s="17" t="s">
        <v>63</v>
      </c>
      <c r="P9" s="17" t="s">
        <v>64</v>
      </c>
      <c r="Q9" s="17" t="s">
        <v>65</v>
      </c>
      <c r="R9" s="17" t="s">
        <v>66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67</v>
      </c>
      <c r="M10" s="168"/>
      <c r="N10" s="16" t="s">
        <v>68</v>
      </c>
      <c r="O10" s="16" t="s">
        <v>69</v>
      </c>
      <c r="P10" s="16" t="s">
        <v>70</v>
      </c>
      <c r="Q10" s="16" t="s">
        <v>71</v>
      </c>
      <c r="R10" s="16" t="s">
        <v>72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73</v>
      </c>
      <c r="M11" s="168"/>
      <c r="N11" s="17" t="s">
        <v>74</v>
      </c>
      <c r="O11" s="17" t="s">
        <v>75</v>
      </c>
      <c r="P11" s="17" t="s">
        <v>76</v>
      </c>
      <c r="Q11" s="17" t="s">
        <v>77</v>
      </c>
      <c r="R11" s="17" t="s">
        <v>78</v>
      </c>
    </row>
    <row r="12" spans="1:18" ht="15.75" customHeight="1" x14ac:dyDescent="0.25">
      <c r="A12" s="16"/>
      <c r="C12" s="16"/>
      <c r="J12" s="16"/>
      <c r="L12" s="16" t="s">
        <v>79</v>
      </c>
      <c r="M12" s="168"/>
      <c r="N12" s="16" t="s">
        <v>80</v>
      </c>
      <c r="O12" s="16" t="s">
        <v>81</v>
      </c>
      <c r="P12" s="16" t="s">
        <v>65</v>
      </c>
      <c r="Q12" s="16" t="s">
        <v>82</v>
      </c>
      <c r="R12" s="16" t="s">
        <v>83</v>
      </c>
    </row>
    <row r="13" spans="1:18" ht="15.75" customHeight="1" x14ac:dyDescent="0.25">
      <c r="A13" s="17"/>
      <c r="C13" s="17"/>
      <c r="J13" s="17"/>
      <c r="L13" s="17" t="s">
        <v>84</v>
      </c>
      <c r="M13" s="168"/>
      <c r="N13" s="17"/>
      <c r="O13" s="17" t="s">
        <v>85</v>
      </c>
      <c r="P13" s="17" t="s">
        <v>86</v>
      </c>
      <c r="Q13" s="17" t="s">
        <v>87</v>
      </c>
      <c r="R13" s="17" t="s">
        <v>88</v>
      </c>
    </row>
    <row r="14" spans="1:18" ht="15.75" customHeight="1" x14ac:dyDescent="0.25">
      <c r="A14" s="16"/>
      <c r="C14" s="16"/>
      <c r="J14" s="16"/>
      <c r="L14" s="16" t="s">
        <v>89</v>
      </c>
      <c r="M14" s="168"/>
      <c r="N14" s="16" t="s">
        <v>90</v>
      </c>
      <c r="O14" s="16" t="s">
        <v>91</v>
      </c>
      <c r="P14" s="16" t="s">
        <v>92</v>
      </c>
      <c r="Q14" s="16" t="s">
        <v>93</v>
      </c>
      <c r="R14" s="16" t="s">
        <v>94</v>
      </c>
    </row>
    <row r="15" spans="1:18" ht="15.75" customHeight="1" x14ac:dyDescent="0.25">
      <c r="A15" s="17"/>
      <c r="C15" s="17"/>
      <c r="J15" s="17"/>
      <c r="L15" s="17" t="s">
        <v>95</v>
      </c>
      <c r="M15" s="168"/>
      <c r="N15" s="17" t="s">
        <v>96</v>
      </c>
      <c r="O15" s="17" t="s">
        <v>97</v>
      </c>
      <c r="P15" s="17" t="s">
        <v>98</v>
      </c>
      <c r="Q15" s="17" t="s">
        <v>99</v>
      </c>
      <c r="R15" s="17" t="s">
        <v>100</v>
      </c>
    </row>
    <row r="16" spans="1:18" ht="15.75" customHeight="1" x14ac:dyDescent="0.25">
      <c r="A16" s="16"/>
      <c r="C16" s="16"/>
      <c r="J16" s="16"/>
      <c r="L16" s="16" t="s">
        <v>101</v>
      </c>
      <c r="M16" s="168"/>
      <c r="N16" s="16" t="s">
        <v>102</v>
      </c>
      <c r="O16" s="16" t="s">
        <v>103</v>
      </c>
      <c r="P16" s="16" t="s">
        <v>104</v>
      </c>
      <c r="Q16" s="16" t="s">
        <v>105</v>
      </c>
      <c r="R16" s="16" t="s">
        <v>106</v>
      </c>
    </row>
    <row r="17" spans="1:18" ht="15.75" customHeight="1" x14ac:dyDescent="0.25">
      <c r="A17" s="17"/>
      <c r="C17" s="17"/>
      <c r="J17" s="17"/>
      <c r="L17" s="17" t="s">
        <v>107</v>
      </c>
      <c r="M17" s="168"/>
      <c r="N17" s="17" t="s">
        <v>108</v>
      </c>
      <c r="O17" s="17" t="s">
        <v>109</v>
      </c>
      <c r="P17" s="17" t="s">
        <v>110</v>
      </c>
      <c r="Q17" s="17" t="s">
        <v>111</v>
      </c>
      <c r="R17" s="17" t="s">
        <v>112</v>
      </c>
    </row>
    <row r="18" spans="1:18" ht="15.75" customHeight="1" x14ac:dyDescent="0.25">
      <c r="A18" s="16"/>
      <c r="C18" s="16"/>
      <c r="J18" s="16"/>
      <c r="L18" s="16" t="s">
        <v>113</v>
      </c>
      <c r="M18" s="168"/>
      <c r="N18" s="16" t="s">
        <v>114</v>
      </c>
      <c r="O18" s="16" t="s">
        <v>115</v>
      </c>
      <c r="P18" s="16" t="s">
        <v>116</v>
      </c>
      <c r="Q18" s="16" t="s">
        <v>117</v>
      </c>
      <c r="R18" s="16" t="s">
        <v>118</v>
      </c>
    </row>
    <row r="19" spans="1:18" ht="15.75" customHeight="1" x14ac:dyDescent="0.25">
      <c r="A19" s="17"/>
      <c r="C19" s="17"/>
      <c r="J19" s="17"/>
      <c r="L19" s="17" t="s">
        <v>119</v>
      </c>
      <c r="M19" s="168"/>
      <c r="N19" s="17" t="s">
        <v>120</v>
      </c>
      <c r="O19" s="17" t="s">
        <v>121</v>
      </c>
      <c r="P19" s="17" t="s">
        <v>122</v>
      </c>
      <c r="Q19" s="17"/>
      <c r="R19" s="17" t="s">
        <v>123</v>
      </c>
    </row>
    <row r="20" spans="1:18" ht="15.75" customHeight="1" x14ac:dyDescent="0.25">
      <c r="A20" s="16"/>
      <c r="C20" s="16"/>
      <c r="J20" s="16"/>
      <c r="L20" s="16" t="s">
        <v>124</v>
      </c>
      <c r="M20" s="168"/>
      <c r="N20" s="16"/>
      <c r="O20" s="16"/>
      <c r="P20" s="16" t="s">
        <v>125</v>
      </c>
      <c r="Q20" s="16"/>
      <c r="R20" s="16" t="s">
        <v>126</v>
      </c>
    </row>
    <row r="21" spans="1:18" ht="15.75" customHeight="1" x14ac:dyDescent="0.25">
      <c r="A21" s="17"/>
      <c r="C21" s="17"/>
      <c r="J21" s="17"/>
      <c r="L21" s="17" t="s">
        <v>127</v>
      </c>
      <c r="M21" s="168"/>
      <c r="N21" s="17"/>
      <c r="O21" s="17"/>
      <c r="P21" s="17" t="s">
        <v>128</v>
      </c>
      <c r="Q21" s="17"/>
      <c r="R21" s="17" t="s">
        <v>129</v>
      </c>
    </row>
    <row r="22" spans="1:18" ht="15.75" customHeight="1" x14ac:dyDescent="0.25">
      <c r="A22" s="16"/>
      <c r="C22" s="16"/>
      <c r="J22" s="16"/>
      <c r="L22" s="16" t="s">
        <v>130</v>
      </c>
      <c r="M22" s="168"/>
      <c r="N22" s="16"/>
      <c r="O22" s="16"/>
      <c r="P22" s="16" t="s">
        <v>131</v>
      </c>
      <c r="Q22" s="16"/>
      <c r="R22" s="16" t="s">
        <v>132</v>
      </c>
    </row>
    <row r="23" spans="1:18" ht="15.75" customHeight="1" x14ac:dyDescent="0.25">
      <c r="A23" s="17"/>
      <c r="C23" s="17"/>
      <c r="J23" s="17"/>
      <c r="L23" s="17" t="s">
        <v>133</v>
      </c>
      <c r="M23" s="168"/>
      <c r="N23" s="17"/>
      <c r="O23" s="17"/>
      <c r="P23" s="17" t="s">
        <v>134</v>
      </c>
      <c r="Q23" s="17"/>
      <c r="R23" s="17" t="s">
        <v>135</v>
      </c>
    </row>
    <row r="24" spans="1:18" ht="15.75" customHeight="1" x14ac:dyDescent="0.25">
      <c r="A24" s="16"/>
      <c r="C24" s="16"/>
      <c r="J24" s="16"/>
      <c r="L24" s="16" t="s">
        <v>136</v>
      </c>
      <c r="M24" s="168"/>
      <c r="N24" s="16"/>
      <c r="O24" s="16"/>
      <c r="P24" s="16" t="s">
        <v>137</v>
      </c>
      <c r="Q24" s="16"/>
      <c r="R24" s="16" t="s">
        <v>138</v>
      </c>
    </row>
    <row r="25" spans="1:18" ht="15.75" customHeight="1" x14ac:dyDescent="0.25">
      <c r="A25" s="17"/>
      <c r="C25" s="17"/>
      <c r="J25" s="17"/>
      <c r="L25" s="17" t="s">
        <v>139</v>
      </c>
      <c r="M25" s="168"/>
      <c r="N25" s="17"/>
      <c r="O25" s="17"/>
      <c r="P25" s="17" t="s">
        <v>140</v>
      </c>
      <c r="Q25" s="17"/>
      <c r="R25" s="17" t="s">
        <v>141</v>
      </c>
    </row>
    <row r="26" spans="1:18" ht="15.75" customHeight="1" x14ac:dyDescent="0.25">
      <c r="A26" s="16"/>
      <c r="C26" s="16"/>
      <c r="J26" s="16"/>
      <c r="L26" s="16" t="s">
        <v>142</v>
      </c>
      <c r="M26" s="168"/>
      <c r="N26" s="16"/>
      <c r="O26" s="16"/>
      <c r="P26" s="16" t="s">
        <v>143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144</v>
      </c>
      <c r="M27" s="168"/>
      <c r="N27" s="17"/>
      <c r="O27" s="17"/>
      <c r="P27" s="17" t="s">
        <v>135</v>
      </c>
      <c r="Q27" s="17"/>
      <c r="R27" s="17" t="s">
        <v>66</v>
      </c>
    </row>
    <row r="28" spans="1:18" ht="15.75" customHeight="1" x14ac:dyDescent="0.25">
      <c r="A28" s="16"/>
      <c r="C28" s="16"/>
      <c r="J28" s="16"/>
      <c r="L28" s="16" t="s">
        <v>145</v>
      </c>
      <c r="M28" s="168"/>
      <c r="N28" s="16"/>
      <c r="O28" s="16"/>
      <c r="P28" s="16" t="s">
        <v>138</v>
      </c>
      <c r="Q28" s="16"/>
      <c r="R28" s="16" t="s">
        <v>146</v>
      </c>
    </row>
    <row r="29" spans="1:18" ht="15.75" customHeight="1" x14ac:dyDescent="0.25">
      <c r="A29" s="17"/>
      <c r="C29" s="17"/>
      <c r="J29" s="17"/>
      <c r="L29" s="17" t="s">
        <v>147</v>
      </c>
      <c r="M29" s="168"/>
      <c r="N29" s="17"/>
      <c r="O29" s="17"/>
      <c r="P29" s="17" t="s">
        <v>148</v>
      </c>
      <c r="Q29" s="17"/>
      <c r="R29" s="17" t="s">
        <v>149</v>
      </c>
    </row>
    <row r="30" spans="1:18" ht="15.75" customHeight="1" x14ac:dyDescent="0.25">
      <c r="A30" s="16"/>
      <c r="C30" s="16"/>
      <c r="J30" s="16"/>
      <c r="L30" s="16" t="s">
        <v>150</v>
      </c>
      <c r="M30" s="168"/>
      <c r="N30" s="16"/>
      <c r="O30" s="16"/>
      <c r="P30" s="16" t="s">
        <v>151</v>
      </c>
      <c r="Q30" s="16"/>
      <c r="R30" s="16" t="s">
        <v>152</v>
      </c>
    </row>
    <row r="31" spans="1:18" ht="15.75" customHeight="1" x14ac:dyDescent="0.25">
      <c r="A31" s="17"/>
      <c r="C31" s="17"/>
      <c r="J31" s="17"/>
      <c r="L31" s="17" t="s">
        <v>153</v>
      </c>
      <c r="M31" s="168"/>
      <c r="N31" s="17"/>
      <c r="O31" s="17"/>
      <c r="P31" s="18" t="s">
        <v>154</v>
      </c>
      <c r="Q31" s="17"/>
      <c r="R31" s="17" t="s">
        <v>155</v>
      </c>
    </row>
    <row r="32" spans="1:18" ht="15.75" customHeight="1" x14ac:dyDescent="0.25">
      <c r="A32" s="16"/>
      <c r="C32" s="16"/>
      <c r="J32" s="16"/>
      <c r="L32" s="16" t="s">
        <v>156</v>
      </c>
      <c r="M32" s="168"/>
      <c r="N32" s="16"/>
      <c r="O32" s="16"/>
      <c r="P32" s="16" t="s">
        <v>157</v>
      </c>
      <c r="Q32" s="16"/>
      <c r="R32" t="s">
        <v>158</v>
      </c>
    </row>
    <row r="33" spans="1:18" ht="15.75" customHeight="1" x14ac:dyDescent="0.25">
      <c r="A33" s="17"/>
      <c r="C33" s="131" t="s">
        <v>159</v>
      </c>
      <c r="E33" s="113">
        <v>1000</v>
      </c>
      <c r="J33" s="17"/>
      <c r="L33" s="17" t="s">
        <v>160</v>
      </c>
      <c r="M33" s="168"/>
      <c r="N33" s="17"/>
      <c r="O33" s="17"/>
      <c r="P33" s="18" t="s">
        <v>161</v>
      </c>
      <c r="Q33" s="17"/>
      <c r="R33" s="17" t="s">
        <v>24</v>
      </c>
    </row>
    <row r="34" spans="1:18" ht="15.75" customHeight="1" x14ac:dyDescent="0.25">
      <c r="A34" s="16"/>
      <c r="C34" s="16"/>
      <c r="J34" s="16"/>
      <c r="L34" s="16" t="s">
        <v>162</v>
      </c>
      <c r="M34" s="168"/>
      <c r="N34" s="16"/>
      <c r="O34" s="16"/>
      <c r="P34" s="16" t="s">
        <v>83</v>
      </c>
      <c r="Q34" s="16"/>
      <c r="R34" s="16" t="s">
        <v>163</v>
      </c>
    </row>
    <row r="35" spans="1:18" ht="15.75" customHeight="1" x14ac:dyDescent="0.25">
      <c r="A35" s="17"/>
      <c r="C35" s="17"/>
      <c r="J35" s="17"/>
      <c r="L35" s="17" t="s">
        <v>164</v>
      </c>
      <c r="M35" s="168"/>
      <c r="N35" s="17"/>
      <c r="O35" s="17"/>
      <c r="P35" s="17" t="s">
        <v>165</v>
      </c>
      <c r="Q35" s="17"/>
      <c r="R35" s="17" t="s">
        <v>166</v>
      </c>
    </row>
    <row r="36" spans="1:18" ht="15.75" customHeight="1" x14ac:dyDescent="0.25">
      <c r="A36" s="16"/>
      <c r="C36" s="16"/>
      <c r="J36" s="16"/>
      <c r="L36" s="16" t="s">
        <v>167</v>
      </c>
      <c r="M36" s="168"/>
      <c r="N36" s="16"/>
      <c r="O36" s="16"/>
      <c r="P36" s="16" t="s">
        <v>168</v>
      </c>
      <c r="Q36" s="16"/>
      <c r="R36" s="16" t="s">
        <v>169</v>
      </c>
    </row>
    <row r="37" spans="1:18" ht="15.75" customHeight="1" x14ac:dyDescent="0.25">
      <c r="A37" s="17"/>
      <c r="C37" s="17"/>
      <c r="J37" s="17"/>
      <c r="L37" s="17" t="s">
        <v>170</v>
      </c>
      <c r="M37" s="168"/>
      <c r="N37" s="17"/>
      <c r="O37" s="17"/>
      <c r="P37" s="17" t="s">
        <v>171</v>
      </c>
      <c r="Q37" s="17"/>
      <c r="R37" s="17" t="s">
        <v>172</v>
      </c>
    </row>
    <row r="38" spans="1:18" ht="15.75" customHeight="1" x14ac:dyDescent="0.25">
      <c r="A38" s="16"/>
      <c r="C38" s="16"/>
      <c r="J38" s="16"/>
      <c r="L38" s="16" t="s">
        <v>173</v>
      </c>
      <c r="M38" s="168"/>
      <c r="N38" s="16"/>
      <c r="O38" s="16"/>
      <c r="P38" s="16" t="s">
        <v>174</v>
      </c>
      <c r="Q38" s="16"/>
      <c r="R38" s="16" t="s">
        <v>175</v>
      </c>
    </row>
    <row r="39" spans="1:18" ht="15.75" customHeight="1" x14ac:dyDescent="0.25">
      <c r="A39" s="17"/>
      <c r="C39" s="17"/>
      <c r="J39" s="17"/>
      <c r="L39" s="17"/>
      <c r="M39" s="168"/>
      <c r="N39" s="17"/>
      <c r="O39" s="17"/>
      <c r="P39" s="17" t="s">
        <v>176</v>
      </c>
      <c r="Q39" s="17"/>
      <c r="R39" s="17" t="s">
        <v>177</v>
      </c>
    </row>
    <row r="40" spans="1:18" ht="15.75" customHeight="1" x14ac:dyDescent="0.25">
      <c r="A40" s="16"/>
      <c r="C40" s="16"/>
      <c r="J40" s="16"/>
      <c r="L40" s="16"/>
      <c r="M40" s="168"/>
      <c r="N40" s="16"/>
      <c r="O40" s="16"/>
      <c r="P40" s="16" t="s">
        <v>178</v>
      </c>
      <c r="Q40" s="16"/>
      <c r="R40" s="16" t="s">
        <v>179</v>
      </c>
    </row>
    <row r="41" spans="1:18" ht="15.75" customHeight="1" x14ac:dyDescent="0.25">
      <c r="A41" s="17"/>
      <c r="C41" s="17"/>
      <c r="J41" s="17"/>
      <c r="L41" s="17"/>
      <c r="M41" s="168"/>
      <c r="N41" s="17"/>
      <c r="O41" s="17"/>
      <c r="P41" s="17" t="s">
        <v>180</v>
      </c>
      <c r="Q41" s="17"/>
      <c r="R41" s="17" t="s">
        <v>181</v>
      </c>
    </row>
    <row r="42" spans="1:18" ht="15.75" customHeight="1" x14ac:dyDescent="0.25">
      <c r="A42" s="16"/>
      <c r="C42" s="16"/>
      <c r="J42" s="16"/>
      <c r="L42" s="16"/>
      <c r="M42" s="168"/>
      <c r="N42" s="16"/>
      <c r="O42" s="16"/>
      <c r="P42" s="16" t="s">
        <v>182</v>
      </c>
      <c r="Q42" s="16"/>
      <c r="R42" s="16" t="s">
        <v>183</v>
      </c>
    </row>
    <row r="43" spans="1:18" ht="15.75" customHeight="1" x14ac:dyDescent="0.25">
      <c r="A43" s="17"/>
      <c r="C43" s="17"/>
      <c r="J43" s="17"/>
      <c r="L43" s="17"/>
      <c r="M43" s="168"/>
      <c r="N43" s="17"/>
      <c r="O43" s="17"/>
      <c r="P43" s="17" t="s">
        <v>184</v>
      </c>
      <c r="Q43" s="17"/>
      <c r="R43" s="17" t="s">
        <v>185</v>
      </c>
    </row>
    <row r="44" spans="1:18" ht="15.75" customHeight="1" x14ac:dyDescent="0.25">
      <c r="A44" s="16"/>
      <c r="C44" s="16"/>
      <c r="J44" s="16"/>
      <c r="L44" s="16"/>
      <c r="M44" s="168"/>
      <c r="N44" s="16"/>
      <c r="O44" s="16"/>
      <c r="P44" s="16" t="s">
        <v>186</v>
      </c>
      <c r="Q44" s="16"/>
      <c r="R44" s="16" t="s">
        <v>187</v>
      </c>
    </row>
    <row r="45" spans="1:18" ht="15.75" customHeight="1" x14ac:dyDescent="0.25">
      <c r="A45" s="17"/>
      <c r="C45" s="17"/>
      <c r="J45" s="17"/>
      <c r="L45" s="17"/>
      <c r="M45" s="168"/>
      <c r="N45" s="17"/>
      <c r="O45" s="17"/>
      <c r="P45" s="17"/>
      <c r="Q45" s="17"/>
      <c r="R45" s="17" t="s">
        <v>188</v>
      </c>
    </row>
    <row r="46" spans="1:18" ht="15.75" customHeight="1" x14ac:dyDescent="0.25">
      <c r="A46" s="16"/>
      <c r="C46" s="16"/>
      <c r="J46" s="16"/>
      <c r="L46" s="16"/>
      <c r="M46" s="168"/>
      <c r="N46" s="16"/>
      <c r="O46" s="16"/>
      <c r="P46" s="16" t="s">
        <v>189</v>
      </c>
      <c r="Q46" s="16"/>
      <c r="R46" s="16" t="s">
        <v>190</v>
      </c>
    </row>
    <row r="47" spans="1:18" ht="15.75" customHeight="1" x14ac:dyDescent="0.25">
      <c r="A47" s="17"/>
      <c r="C47" s="17"/>
      <c r="J47" s="17"/>
      <c r="L47" s="17"/>
      <c r="M47" s="168"/>
      <c r="N47" s="17"/>
      <c r="O47" s="17"/>
      <c r="P47" s="17" t="s">
        <v>191</v>
      </c>
      <c r="Q47" s="17"/>
      <c r="R47" s="17" t="s">
        <v>192</v>
      </c>
    </row>
    <row r="48" spans="1:18" ht="15.75" customHeight="1" x14ac:dyDescent="0.25">
      <c r="A48" s="16"/>
      <c r="C48" s="16"/>
      <c r="J48" s="16"/>
      <c r="L48" s="16"/>
      <c r="M48" s="168"/>
      <c r="N48" s="16"/>
      <c r="O48" s="16"/>
      <c r="P48" s="16" t="s">
        <v>193</v>
      </c>
      <c r="Q48" s="16"/>
      <c r="R48" s="16" t="s">
        <v>194</v>
      </c>
    </row>
    <row r="49" spans="1:18" ht="18" customHeight="1" x14ac:dyDescent="0.25">
      <c r="M49" s="168"/>
      <c r="N49" s="17"/>
      <c r="O49" s="17"/>
      <c r="P49" s="17" t="s">
        <v>195</v>
      </c>
      <c r="Q49" s="17"/>
      <c r="R49" s="17" t="s">
        <v>196</v>
      </c>
    </row>
    <row r="50" spans="1:18" ht="21" customHeight="1" x14ac:dyDescent="0.25">
      <c r="A50" s="19" t="s">
        <v>197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8"/>
      <c r="N50" s="16"/>
      <c r="O50" s="16"/>
      <c r="P50" s="16" t="s">
        <v>198</v>
      </c>
      <c r="Q50" s="16"/>
      <c r="R50" s="16" t="s">
        <v>199</v>
      </c>
    </row>
    <row r="51" spans="1:18" ht="24" customHeight="1" x14ac:dyDescent="0.25">
      <c r="M51" s="168"/>
      <c r="N51" s="17"/>
      <c r="O51" s="17"/>
      <c r="P51" s="17" t="s">
        <v>200</v>
      </c>
      <c r="Q51" s="17"/>
      <c r="R51" s="17" t="s">
        <v>201</v>
      </c>
    </row>
    <row r="52" spans="1:18" ht="24" customHeight="1" x14ac:dyDescent="0.25">
      <c r="M52" s="168"/>
      <c r="N52" s="16"/>
      <c r="O52" s="16"/>
      <c r="P52" s="16" t="s">
        <v>202</v>
      </c>
      <c r="Q52" s="16"/>
      <c r="R52" s="16" t="s">
        <v>203</v>
      </c>
    </row>
    <row r="53" spans="1:18" ht="36" customHeight="1" x14ac:dyDescent="0.25">
      <c r="M53" s="168"/>
      <c r="N53" s="17"/>
      <c r="O53" s="17"/>
      <c r="P53" s="17" t="s">
        <v>204</v>
      </c>
      <c r="Q53" s="17"/>
      <c r="R53" s="17" t="s">
        <v>205</v>
      </c>
    </row>
    <row r="54" spans="1:18" ht="15" customHeight="1" x14ac:dyDescent="0.25">
      <c r="M54" s="168"/>
      <c r="N54" s="16"/>
      <c r="O54" s="16"/>
      <c r="P54" s="16" t="s">
        <v>206</v>
      </c>
      <c r="Q54" s="16"/>
      <c r="R54" s="16" t="s">
        <v>207</v>
      </c>
    </row>
    <row r="55" spans="1:18" ht="15" customHeight="1" x14ac:dyDescent="0.25">
      <c r="M55" s="168"/>
      <c r="N55" s="17"/>
      <c r="O55" s="17"/>
      <c r="P55" s="17" t="s">
        <v>208</v>
      </c>
      <c r="Q55" s="17"/>
      <c r="R55" s="17" t="s">
        <v>209</v>
      </c>
    </row>
    <row r="56" spans="1:18" ht="15" customHeight="1" x14ac:dyDescent="0.25">
      <c r="M56" s="168"/>
      <c r="N56" s="16"/>
      <c r="O56" s="16"/>
      <c r="P56" s="16" t="s">
        <v>210</v>
      </c>
      <c r="Q56" s="16"/>
      <c r="R56" s="16" t="s">
        <v>211</v>
      </c>
    </row>
    <row r="57" spans="1:18" ht="15" customHeight="1" x14ac:dyDescent="0.25">
      <c r="M57" s="168"/>
      <c r="N57" s="17"/>
      <c r="O57" s="17"/>
      <c r="P57" s="17" t="s">
        <v>54</v>
      </c>
      <c r="Q57" s="17"/>
      <c r="R57" s="17" t="s">
        <v>212</v>
      </c>
    </row>
    <row r="58" spans="1:18" ht="15" customHeight="1" x14ac:dyDescent="0.25">
      <c r="M58" s="168"/>
      <c r="N58" s="16"/>
      <c r="O58" s="16"/>
      <c r="P58" s="16" t="s">
        <v>213</v>
      </c>
      <c r="Q58" s="16"/>
      <c r="R58" s="16"/>
    </row>
    <row r="59" spans="1:18" ht="15" customHeight="1" x14ac:dyDescent="0.25">
      <c r="M59" s="168"/>
      <c r="N59" s="17"/>
      <c r="O59" s="17"/>
      <c r="P59" s="17" t="s">
        <v>214</v>
      </c>
      <c r="Q59" s="17"/>
      <c r="R59" s="17"/>
    </row>
    <row r="60" spans="1:18" ht="15" customHeight="1" x14ac:dyDescent="0.25">
      <c r="M60" s="168"/>
      <c r="N60" s="16"/>
      <c r="O60" s="16"/>
      <c r="P60" s="77" t="s">
        <v>109</v>
      </c>
      <c r="Q60" s="16"/>
      <c r="R60" s="16"/>
    </row>
    <row r="61" spans="1:18" ht="15" customHeight="1" x14ac:dyDescent="0.25">
      <c r="M61" s="168"/>
      <c r="N61" s="17"/>
      <c r="O61" s="17"/>
      <c r="P61" s="17" t="s">
        <v>215</v>
      </c>
      <c r="Q61" s="17"/>
      <c r="R61" s="17"/>
    </row>
    <row r="62" spans="1:18" ht="15" customHeight="1" x14ac:dyDescent="0.25">
      <c r="M62" s="168"/>
      <c r="N62" s="16"/>
      <c r="O62" s="16"/>
      <c r="P62" s="16" t="s">
        <v>216</v>
      </c>
      <c r="Q62" s="16"/>
      <c r="R62" s="16"/>
    </row>
    <row r="63" spans="1:18" ht="15" customHeight="1" x14ac:dyDescent="0.25">
      <c r="M63" s="168"/>
      <c r="N63" s="17"/>
      <c r="O63" s="17"/>
      <c r="P63" s="17" t="s">
        <v>217</v>
      </c>
      <c r="Q63" s="17"/>
      <c r="R63" s="17"/>
    </row>
    <row r="64" spans="1:18" ht="15" customHeight="1" x14ac:dyDescent="0.25">
      <c r="M64" s="168"/>
      <c r="N64" s="16"/>
      <c r="O64" s="16"/>
      <c r="P64" s="16" t="s">
        <v>218</v>
      </c>
      <c r="Q64" s="16"/>
      <c r="R64" s="16"/>
    </row>
    <row r="65" spans="13:18" ht="15" customHeight="1" x14ac:dyDescent="0.25">
      <c r="M65" s="168"/>
      <c r="N65" s="17"/>
      <c r="O65" s="17"/>
      <c r="P65" s="17" t="s">
        <v>219</v>
      </c>
      <c r="Q65" s="17"/>
      <c r="R65" s="17"/>
    </row>
    <row r="66" spans="13:18" ht="15" customHeight="1" x14ac:dyDescent="0.25">
      <c r="M66" s="168"/>
      <c r="N66" s="16"/>
      <c r="O66" s="16"/>
      <c r="P66" s="16" t="s">
        <v>220</v>
      </c>
      <c r="Q66" s="16"/>
      <c r="R66" s="16"/>
    </row>
    <row r="67" spans="13:18" ht="15" customHeight="1" x14ac:dyDescent="0.25">
      <c r="M67" s="168"/>
      <c r="N67" s="17"/>
      <c r="O67" s="17"/>
      <c r="P67" s="17" t="s">
        <v>221</v>
      </c>
      <c r="Q67" s="17"/>
      <c r="R67" s="17"/>
    </row>
    <row r="68" spans="13:18" ht="15" customHeight="1" x14ac:dyDescent="0.25">
      <c r="M68" s="168"/>
      <c r="N68" s="16"/>
      <c r="O68" s="16"/>
      <c r="P68" s="16" t="s">
        <v>222</v>
      </c>
      <c r="Q68" s="16"/>
      <c r="R68" s="16"/>
    </row>
    <row r="69" spans="13:18" ht="15" customHeight="1" x14ac:dyDescent="0.25">
      <c r="M69" s="168"/>
      <c r="N69" s="17"/>
      <c r="O69" s="17"/>
      <c r="P69" s="17" t="s">
        <v>223</v>
      </c>
      <c r="Q69" s="17"/>
      <c r="R69" s="17"/>
    </row>
    <row r="70" spans="13:18" ht="15" customHeight="1" x14ac:dyDescent="0.25">
      <c r="M70" s="168"/>
      <c r="N70" s="16"/>
      <c r="O70" s="16"/>
      <c r="P70" s="16" t="s">
        <v>224</v>
      </c>
      <c r="Q70" s="16"/>
      <c r="R70" s="16"/>
    </row>
    <row r="71" spans="13:18" ht="15" customHeight="1" x14ac:dyDescent="0.25">
      <c r="M71" s="168"/>
      <c r="N71" s="17"/>
      <c r="O71" s="17"/>
      <c r="P71" s="17" t="s">
        <v>225</v>
      </c>
      <c r="Q71" s="17"/>
      <c r="R71" s="17"/>
    </row>
    <row r="72" spans="13:18" ht="15" customHeight="1" x14ac:dyDescent="0.25">
      <c r="M72" s="168"/>
      <c r="N72" s="16"/>
      <c r="O72" s="16"/>
      <c r="P72" s="16" t="s">
        <v>226</v>
      </c>
      <c r="Q72" s="16"/>
      <c r="R72" s="16"/>
    </row>
    <row r="73" spans="13:18" ht="15" customHeight="1" x14ac:dyDescent="0.25">
      <c r="M73" s="168"/>
      <c r="N73" s="17"/>
      <c r="O73" s="17"/>
      <c r="P73" s="17" t="s">
        <v>227</v>
      </c>
      <c r="Q73" s="17"/>
      <c r="R73" s="17"/>
    </row>
    <row r="74" spans="13:18" ht="15" customHeight="1" x14ac:dyDescent="0.25">
      <c r="M74" s="168"/>
      <c r="N74" s="16"/>
      <c r="O74" s="16"/>
      <c r="P74" s="16" t="s">
        <v>228</v>
      </c>
      <c r="Q74" s="16"/>
      <c r="R74" s="16"/>
    </row>
    <row r="75" spans="13:18" ht="15" customHeight="1" x14ac:dyDescent="0.25">
      <c r="M75" s="168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4" activePane="bottomLeft" state="frozen"/>
      <selection pane="bottomLeft" activeCell="F355" sqref="F355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9</v>
      </c>
      <c r="B1" s="23" t="s">
        <v>229</v>
      </c>
      <c r="C1" s="23" t="s">
        <v>14</v>
      </c>
      <c r="D1" s="22" t="s">
        <v>15</v>
      </c>
      <c r="E1" s="22" t="s">
        <v>230</v>
      </c>
      <c r="F1" s="23" t="s">
        <v>231</v>
      </c>
      <c r="G1" s="23" t="s">
        <v>232</v>
      </c>
      <c r="H1" s="23" t="s">
        <v>18</v>
      </c>
      <c r="I1" s="23" t="s">
        <v>19</v>
      </c>
      <c r="J1" s="23" t="s">
        <v>233</v>
      </c>
      <c r="K1" s="23" t="s">
        <v>234</v>
      </c>
      <c r="L1" s="23" t="s">
        <v>235</v>
      </c>
      <c r="M1" s="24" t="s">
        <v>236</v>
      </c>
      <c r="N1" s="23" t="s">
        <v>237</v>
      </c>
      <c r="O1" s="23" t="s">
        <v>238</v>
      </c>
    </row>
    <row r="2" spans="1:15" ht="15" customHeight="1" x14ac:dyDescent="0.25">
      <c r="A2" s="67">
        <v>46235</v>
      </c>
      <c r="B2" s="25">
        <v>0.33333333333333298</v>
      </c>
      <c r="C2" s="26" t="s">
        <v>49</v>
      </c>
      <c r="D2" s="20" t="s">
        <v>42</v>
      </c>
      <c r="E2" s="59" t="s">
        <v>239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23</v>
      </c>
      <c r="I2" s="26" t="s">
        <v>27</v>
      </c>
      <c r="J2" s="26" t="s">
        <v>71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49</v>
      </c>
      <c r="D3" s="59" t="s">
        <v>42</v>
      </c>
      <c r="E3" s="59" t="s">
        <v>239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49</v>
      </c>
      <c r="D4" s="59" t="s">
        <v>42</v>
      </c>
      <c r="E4" s="59" t="s">
        <v>239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49</v>
      </c>
      <c r="D5" s="59" t="s">
        <v>42</v>
      </c>
      <c r="E5" s="59" t="s">
        <v>239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49</v>
      </c>
      <c r="D6" s="59" t="s">
        <v>42</v>
      </c>
      <c r="E6" s="59" t="s">
        <v>239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49</v>
      </c>
      <c r="D7" s="59" t="s">
        <v>42</v>
      </c>
      <c r="E7" s="59" t="s">
        <v>239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49</v>
      </c>
      <c r="D8" s="59" t="s">
        <v>42</v>
      </c>
      <c r="E8" s="59" t="s">
        <v>239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49</v>
      </c>
      <c r="D9" s="59" t="s">
        <v>42</v>
      </c>
      <c r="E9" s="59" t="s">
        <v>239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49</v>
      </c>
      <c r="D10" s="59" t="s">
        <v>42</v>
      </c>
      <c r="E10" s="59" t="s">
        <v>239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49</v>
      </c>
      <c r="D11" s="59" t="s">
        <v>42</v>
      </c>
      <c r="E11" s="59" t="s">
        <v>239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49</v>
      </c>
      <c r="D12" s="59" t="s">
        <v>42</v>
      </c>
      <c r="E12" s="59" t="s">
        <v>239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49</v>
      </c>
      <c r="D13" s="59" t="s">
        <v>42</v>
      </c>
      <c r="E13" s="59" t="s">
        <v>239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1" t="s">
        <v>240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241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33</v>
      </c>
      <c r="D15" s="62" t="s">
        <v>34</v>
      </c>
      <c r="E15" s="62" t="s">
        <v>239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24</v>
      </c>
      <c r="I15" s="33" t="s">
        <v>27</v>
      </c>
      <c r="J15" s="33" t="s">
        <v>135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33</v>
      </c>
      <c r="D16" s="62" t="s">
        <v>34</v>
      </c>
      <c r="E16" s="62" t="s">
        <v>239</v>
      </c>
      <c r="F16" s="27">
        <v>10</v>
      </c>
      <c r="G16" s="34">
        <f t="shared" si="3"/>
        <v>50</v>
      </c>
      <c r="H16" s="26" t="s">
        <v>24</v>
      </c>
      <c r="I16" s="26" t="s">
        <v>27</v>
      </c>
      <c r="J16" s="26" t="s">
        <v>48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33</v>
      </c>
      <c r="D17" s="62" t="s">
        <v>34</v>
      </c>
      <c r="E17" s="62" t="s">
        <v>239</v>
      </c>
      <c r="F17" s="27">
        <v>35</v>
      </c>
      <c r="G17" s="34">
        <f t="shared" si="3"/>
        <v>175</v>
      </c>
      <c r="H17" s="33" t="s">
        <v>22</v>
      </c>
      <c r="I17" s="33" t="s">
        <v>27</v>
      </c>
      <c r="J17" s="33" t="s">
        <v>54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242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33</v>
      </c>
      <c r="D18" s="62" t="s">
        <v>34</v>
      </c>
      <c r="E18" s="62" t="s">
        <v>239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33</v>
      </c>
      <c r="D19" s="62" t="s">
        <v>34</v>
      </c>
      <c r="E19" s="62" t="s">
        <v>239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33</v>
      </c>
      <c r="D20" s="62" t="s">
        <v>34</v>
      </c>
      <c r="E20" s="62" t="s">
        <v>239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33</v>
      </c>
      <c r="D21" s="62" t="s">
        <v>34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33</v>
      </c>
      <c r="D22" s="62" t="s">
        <v>34</v>
      </c>
      <c r="E22" s="62" t="s">
        <v>239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33</v>
      </c>
      <c r="D23" s="62" t="s">
        <v>34</v>
      </c>
      <c r="E23" s="62" t="s">
        <v>239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33</v>
      </c>
      <c r="D24" s="62" t="s">
        <v>34</v>
      </c>
      <c r="E24" s="62" t="s">
        <v>239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33</v>
      </c>
      <c r="D25" s="62" t="s">
        <v>34</v>
      </c>
      <c r="E25" s="62" t="s">
        <v>239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33</v>
      </c>
      <c r="D26" s="62" t="s">
        <v>34</v>
      </c>
      <c r="E26" s="62" t="s">
        <v>239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1" t="s">
        <v>243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241</v>
      </c>
      <c r="O27" s="39">
        <v>997910</v>
      </c>
    </row>
    <row r="28" spans="1:15" ht="18" customHeight="1" x14ac:dyDescent="0.25">
      <c r="A28" s="158" t="s">
        <v>244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245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49</v>
      </c>
      <c r="D29" s="59" t="s">
        <v>42</v>
      </c>
      <c r="E29" s="59" t="s">
        <v>239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22</v>
      </c>
      <c r="I29" s="33" t="s">
        <v>27</v>
      </c>
      <c r="J29" s="33" t="s">
        <v>161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49</v>
      </c>
      <c r="D30" s="59" t="s">
        <v>42</v>
      </c>
      <c r="E30" s="59" t="s">
        <v>239</v>
      </c>
      <c r="F30" s="27">
        <v>36</v>
      </c>
      <c r="G30" s="34">
        <f t="shared" si="6"/>
        <v>180</v>
      </c>
      <c r="H30" s="26" t="s">
        <v>22</v>
      </c>
      <c r="I30" s="26" t="s">
        <v>27</v>
      </c>
      <c r="J30" s="26" t="s">
        <v>134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246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49</v>
      </c>
      <c r="D31" s="59" t="s">
        <v>42</v>
      </c>
      <c r="E31" s="59" t="s">
        <v>239</v>
      </c>
      <c r="F31" s="27">
        <v>35</v>
      </c>
      <c r="G31" s="28">
        <f t="shared" si="6"/>
        <v>175</v>
      </c>
      <c r="H31" s="33" t="s">
        <v>22</v>
      </c>
      <c r="I31" s="33" t="s">
        <v>27</v>
      </c>
      <c r="J31" s="33" t="s">
        <v>54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242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49</v>
      </c>
      <c r="D32" s="59" t="s">
        <v>42</v>
      </c>
      <c r="E32" s="59" t="s">
        <v>239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49</v>
      </c>
      <c r="D33" s="59" t="s">
        <v>42</v>
      </c>
      <c r="E33" s="59" t="s">
        <v>239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49</v>
      </c>
      <c r="D34" s="59" t="s">
        <v>42</v>
      </c>
      <c r="E34" s="59" t="s">
        <v>239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49</v>
      </c>
      <c r="D35" s="59" t="s">
        <v>42</v>
      </c>
      <c r="E35" s="59" t="s">
        <v>239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49</v>
      </c>
      <c r="D36" s="59" t="s">
        <v>42</v>
      </c>
      <c r="E36" s="59" t="s">
        <v>239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49</v>
      </c>
      <c r="D37" s="59" t="s">
        <v>42</v>
      </c>
      <c r="E37" s="59" t="s">
        <v>239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49</v>
      </c>
      <c r="D38" s="59" t="s">
        <v>42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49</v>
      </c>
      <c r="D39" s="59" t="s">
        <v>42</v>
      </c>
      <c r="E39" s="59" t="s">
        <v>239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49</v>
      </c>
      <c r="D40" s="59" t="s">
        <v>42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1" t="s">
        <v>240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241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33</v>
      </c>
      <c r="D42" s="62" t="s">
        <v>42</v>
      </c>
      <c r="E42" s="62" t="s">
        <v>239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23</v>
      </c>
      <c r="I42" s="26" t="s">
        <v>27</v>
      </c>
      <c r="J42" s="26" t="s">
        <v>71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247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33</v>
      </c>
      <c r="D43" s="62" t="s">
        <v>42</v>
      </c>
      <c r="E43" s="62" t="s">
        <v>239</v>
      </c>
      <c r="F43" s="27">
        <v>0</v>
      </c>
      <c r="G43" s="28">
        <f t="shared" si="9"/>
        <v>0</v>
      </c>
      <c r="H43" s="33" t="s">
        <v>24</v>
      </c>
      <c r="I43" s="33" t="s">
        <v>27</v>
      </c>
      <c r="J43" s="33" t="s">
        <v>48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33</v>
      </c>
      <c r="D44" s="62" t="s">
        <v>42</v>
      </c>
      <c r="E44" s="62" t="s">
        <v>239</v>
      </c>
      <c r="F44" s="27">
        <v>0</v>
      </c>
      <c r="G44" s="34">
        <f t="shared" si="9"/>
        <v>0</v>
      </c>
      <c r="H44" s="26" t="s">
        <v>24</v>
      </c>
      <c r="I44" s="26" t="s">
        <v>27</v>
      </c>
      <c r="J44" s="26" t="s">
        <v>48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33</v>
      </c>
      <c r="D45" s="62" t="s">
        <v>42</v>
      </c>
      <c r="E45" s="62" t="s">
        <v>239</v>
      </c>
      <c r="F45" s="27">
        <v>0</v>
      </c>
      <c r="G45" s="28">
        <f t="shared" si="9"/>
        <v>0</v>
      </c>
      <c r="H45" s="33" t="s">
        <v>23</v>
      </c>
      <c r="I45" s="33" t="s">
        <v>27</v>
      </c>
      <c r="J45" s="33" t="s">
        <v>54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33</v>
      </c>
      <c r="D46" s="62" t="s">
        <v>42</v>
      </c>
      <c r="E46" s="62" t="s">
        <v>239</v>
      </c>
      <c r="F46" s="27">
        <v>27</v>
      </c>
      <c r="G46" s="34">
        <f t="shared" si="9"/>
        <v>135</v>
      </c>
      <c r="H46" s="26" t="s">
        <v>24</v>
      </c>
      <c r="I46" s="26" t="s">
        <v>27</v>
      </c>
      <c r="J46" s="26" t="s">
        <v>48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33</v>
      </c>
      <c r="D47" s="62" t="s">
        <v>42</v>
      </c>
      <c r="E47" s="62" t="s">
        <v>239</v>
      </c>
      <c r="F47" s="27">
        <v>17</v>
      </c>
      <c r="G47" s="28">
        <f t="shared" si="9"/>
        <v>85</v>
      </c>
      <c r="H47" s="33" t="s">
        <v>24</v>
      </c>
      <c r="I47" s="33" t="s">
        <v>27</v>
      </c>
      <c r="J47" s="33" t="s">
        <v>48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33</v>
      </c>
      <c r="D48" s="62" t="s">
        <v>42</v>
      </c>
      <c r="E48" s="62" t="s">
        <v>239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33</v>
      </c>
      <c r="D49" s="62" t="s">
        <v>42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33</v>
      </c>
      <c r="D50" s="62" t="s">
        <v>42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33</v>
      </c>
      <c r="D51" s="62" t="s">
        <v>42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33</v>
      </c>
      <c r="D52" s="62" t="s">
        <v>42</v>
      </c>
      <c r="E52" s="62" t="s">
        <v>239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33</v>
      </c>
      <c r="D53" s="62" t="s">
        <v>42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1" t="s">
        <v>243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241</v>
      </c>
      <c r="O54" s="39">
        <v>981310</v>
      </c>
    </row>
    <row r="55" spans="1:15" ht="18" customHeight="1" x14ac:dyDescent="0.25">
      <c r="A55" s="158" t="s">
        <v>244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245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49</v>
      </c>
      <c r="D56" s="20" t="s">
        <v>42</v>
      </c>
      <c r="E56" s="59" t="s">
        <v>239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22</v>
      </c>
      <c r="I56" s="26" t="s">
        <v>27</v>
      </c>
      <c r="J56" s="26" t="s">
        <v>161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49</v>
      </c>
      <c r="D57" s="59" t="s">
        <v>42</v>
      </c>
      <c r="E57" s="59" t="s">
        <v>239</v>
      </c>
      <c r="F57" s="27">
        <v>16</v>
      </c>
      <c r="G57" s="34">
        <f t="shared" si="12"/>
        <v>80</v>
      </c>
      <c r="H57" s="33" t="s">
        <v>24</v>
      </c>
      <c r="I57" s="33" t="s">
        <v>27</v>
      </c>
      <c r="J57" s="33" t="s">
        <v>138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49</v>
      </c>
      <c r="D58" s="59" t="s">
        <v>42</v>
      </c>
      <c r="E58" s="59" t="s">
        <v>239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49</v>
      </c>
      <c r="D59" s="59" t="s">
        <v>42</v>
      </c>
      <c r="E59" s="59" t="s">
        <v>239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49</v>
      </c>
      <c r="D60" s="59" t="s">
        <v>42</v>
      </c>
      <c r="E60" s="59" t="s">
        <v>239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49</v>
      </c>
      <c r="D61" s="59" t="s">
        <v>42</v>
      </c>
      <c r="E61" s="59" t="s">
        <v>239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49</v>
      </c>
      <c r="D62" s="59" t="s">
        <v>42</v>
      </c>
      <c r="E62" s="59" t="s">
        <v>239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49</v>
      </c>
      <c r="D63" s="59" t="s">
        <v>42</v>
      </c>
      <c r="E63" s="59" t="s">
        <v>239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49</v>
      </c>
      <c r="D64" s="59" t="s">
        <v>42</v>
      </c>
      <c r="E64" s="59" t="s">
        <v>239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49</v>
      </c>
      <c r="D65" s="59" t="s">
        <v>42</v>
      </c>
      <c r="E65" s="59" t="s">
        <v>239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49</v>
      </c>
      <c r="D66" s="59" t="s">
        <v>42</v>
      </c>
      <c r="E66" s="59" t="s">
        <v>239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49</v>
      </c>
      <c r="D67" s="59" t="s">
        <v>42</v>
      </c>
      <c r="E67" s="59" t="s">
        <v>239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1" t="s">
        <v>240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241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33</v>
      </c>
      <c r="D69" s="62" t="s">
        <v>42</v>
      </c>
      <c r="E69" s="62" t="s">
        <v>239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24</v>
      </c>
      <c r="I69" s="33" t="s">
        <v>27</v>
      </c>
      <c r="J69" s="33" t="s">
        <v>48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33</v>
      </c>
      <c r="D70" s="62" t="s">
        <v>42</v>
      </c>
      <c r="E70" s="62" t="s">
        <v>239</v>
      </c>
      <c r="F70" s="27">
        <v>14</v>
      </c>
      <c r="G70" s="28">
        <f t="shared" si="15"/>
        <v>70</v>
      </c>
      <c r="H70" s="26" t="s">
        <v>23</v>
      </c>
      <c r="I70" s="26" t="s">
        <v>27</v>
      </c>
      <c r="J70" s="26" t="s">
        <v>71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248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33</v>
      </c>
      <c r="D71" s="62" t="s">
        <v>42</v>
      </c>
      <c r="E71" s="62" t="s">
        <v>239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33</v>
      </c>
      <c r="D72" s="62" t="s">
        <v>42</v>
      </c>
      <c r="E72" s="62" t="s">
        <v>239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33</v>
      </c>
      <c r="D73" s="62" t="s">
        <v>42</v>
      </c>
      <c r="E73" s="62" t="s">
        <v>239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33</v>
      </c>
      <c r="D74" s="62" t="s">
        <v>42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33</v>
      </c>
      <c r="D75" s="62" t="s">
        <v>42</v>
      </c>
      <c r="E75" s="62" t="s">
        <v>239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33</v>
      </c>
      <c r="D76" s="62" t="s">
        <v>42</v>
      </c>
      <c r="E76" s="62" t="s">
        <v>239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33</v>
      </c>
      <c r="D77" s="62" t="s">
        <v>42</v>
      </c>
      <c r="E77" s="62" t="s">
        <v>239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33</v>
      </c>
      <c r="D78" s="62" t="s">
        <v>34</v>
      </c>
      <c r="E78" s="62" t="s">
        <v>239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33</v>
      </c>
      <c r="D79" s="62" t="s">
        <v>34</v>
      </c>
      <c r="E79" s="62" t="s">
        <v>239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33</v>
      </c>
      <c r="D80" s="62" t="s">
        <v>34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1" t="s">
        <v>243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241</v>
      </c>
      <c r="O81" s="39">
        <v>1547910</v>
      </c>
    </row>
    <row r="82" spans="1:15" ht="18" customHeight="1" x14ac:dyDescent="0.25">
      <c r="A82" s="158" t="s">
        <v>244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245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49</v>
      </c>
      <c r="D83" s="59" t="s">
        <v>34</v>
      </c>
      <c r="E83" s="59" t="s">
        <v>239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20</v>
      </c>
      <c r="I83" s="33" t="s">
        <v>27</v>
      </c>
      <c r="J83" s="33" t="s">
        <v>62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49</v>
      </c>
      <c r="D84" s="59" t="s">
        <v>34</v>
      </c>
      <c r="E84" s="59" t="s">
        <v>239</v>
      </c>
      <c r="F84" s="27">
        <v>30</v>
      </c>
      <c r="G84" s="34">
        <f t="shared" si="18"/>
        <v>150</v>
      </c>
      <c r="H84" s="26" t="s">
        <v>24</v>
      </c>
      <c r="I84" s="26" t="s">
        <v>27</v>
      </c>
      <c r="J84" s="26" t="s">
        <v>138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49</v>
      </c>
      <c r="D85" s="59" t="s">
        <v>34</v>
      </c>
      <c r="E85" s="59" t="s">
        <v>239</v>
      </c>
      <c r="F85" s="27">
        <v>35</v>
      </c>
      <c r="G85" s="28">
        <f t="shared" si="18"/>
        <v>175</v>
      </c>
      <c r="H85" s="33" t="s">
        <v>24</v>
      </c>
      <c r="I85" s="33" t="s">
        <v>27</v>
      </c>
      <c r="J85" s="33" t="s">
        <v>149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249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49</v>
      </c>
      <c r="D86" s="59" t="s">
        <v>34</v>
      </c>
      <c r="E86" s="59" t="s">
        <v>239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49</v>
      </c>
      <c r="D87" s="59" t="s">
        <v>34</v>
      </c>
      <c r="E87" s="59" t="s">
        <v>239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49</v>
      </c>
      <c r="D88" s="59" t="s">
        <v>34</v>
      </c>
      <c r="E88" s="59" t="s">
        <v>239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49</v>
      </c>
      <c r="D89" s="59" t="s">
        <v>34</v>
      </c>
      <c r="E89" s="59" t="s">
        <v>239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49</v>
      </c>
      <c r="D90" s="59" t="s">
        <v>34</v>
      </c>
      <c r="E90" s="59" t="s">
        <v>239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49</v>
      </c>
      <c r="D91" s="59" t="s">
        <v>34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49</v>
      </c>
      <c r="D92" s="59" t="s">
        <v>34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49</v>
      </c>
      <c r="D93" s="59" t="s">
        <v>34</v>
      </c>
      <c r="E93" s="59" t="s">
        <v>239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49</v>
      </c>
      <c r="D94" s="59" t="s">
        <v>34</v>
      </c>
      <c r="E94" s="59" t="s">
        <v>239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1" t="s">
        <v>240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241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33</v>
      </c>
      <c r="D96" s="62" t="s">
        <v>34</v>
      </c>
      <c r="E96" s="62" t="s">
        <v>239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33</v>
      </c>
      <c r="D97" s="62" t="s">
        <v>34</v>
      </c>
      <c r="E97" s="62" t="s">
        <v>239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33</v>
      </c>
      <c r="D98" s="62" t="s">
        <v>34</v>
      </c>
      <c r="E98" s="62" t="s">
        <v>239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33</v>
      </c>
      <c r="D99" s="62" t="s">
        <v>34</v>
      </c>
      <c r="E99" s="62" t="s">
        <v>239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33</v>
      </c>
      <c r="D100" s="62" t="s">
        <v>34</v>
      </c>
      <c r="E100" s="62" t="s">
        <v>239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33</v>
      </c>
      <c r="D101" s="62" t="s">
        <v>34</v>
      </c>
      <c r="E101" s="62" t="s">
        <v>239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250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33</v>
      </c>
      <c r="D102" s="62" t="s">
        <v>34</v>
      </c>
      <c r="E102" s="62" t="s">
        <v>239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33</v>
      </c>
      <c r="D103" s="62" t="s">
        <v>34</v>
      </c>
      <c r="E103" s="62" t="s">
        <v>239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33</v>
      </c>
      <c r="D104" s="62" t="s">
        <v>34</v>
      </c>
      <c r="E104" s="62" t="s">
        <v>239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33</v>
      </c>
      <c r="D105" s="62" t="s">
        <v>34</v>
      </c>
      <c r="E105" s="62" t="s">
        <v>239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33</v>
      </c>
      <c r="D106" s="62" t="s">
        <v>34</v>
      </c>
      <c r="E106" s="62" t="s">
        <v>239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33</v>
      </c>
      <c r="D107" s="62" t="s">
        <v>34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1" t="s">
        <v>243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241</v>
      </c>
      <c r="O108" s="39">
        <v>3156240</v>
      </c>
    </row>
    <row r="109" spans="1:15" ht="18" customHeight="1" x14ac:dyDescent="0.25">
      <c r="A109" s="158" t="s">
        <v>244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245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49</v>
      </c>
      <c r="D110" s="59" t="s">
        <v>34</v>
      </c>
      <c r="E110" s="59" t="s">
        <v>239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22</v>
      </c>
      <c r="I110" s="26" t="s">
        <v>27</v>
      </c>
      <c r="J110" s="26" t="s">
        <v>38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49</v>
      </c>
      <c r="D111" s="59" t="s">
        <v>34</v>
      </c>
      <c r="E111" s="59" t="s">
        <v>239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49</v>
      </c>
      <c r="D112" s="59" t="s">
        <v>34</v>
      </c>
      <c r="E112" s="59" t="s">
        <v>239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49</v>
      </c>
      <c r="D113" s="59" t="s">
        <v>34</v>
      </c>
      <c r="E113" s="59" t="s">
        <v>239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49</v>
      </c>
      <c r="D114" s="59" t="s">
        <v>34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49</v>
      </c>
      <c r="D115" s="59" t="s">
        <v>34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49</v>
      </c>
      <c r="D116" s="59" t="s">
        <v>34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49</v>
      </c>
      <c r="D117" s="59" t="s">
        <v>34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49</v>
      </c>
      <c r="D118" s="59" t="s">
        <v>34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49</v>
      </c>
      <c r="D119" s="59" t="s">
        <v>34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49</v>
      </c>
      <c r="D120" s="59" t="s">
        <v>34</v>
      </c>
      <c r="E120" s="59" t="s">
        <v>239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49</v>
      </c>
      <c r="D121" s="59" t="s">
        <v>34</v>
      </c>
      <c r="E121" s="59" t="s">
        <v>239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1" t="s">
        <v>240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241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33</v>
      </c>
      <c r="D123" s="62" t="s">
        <v>34</v>
      </c>
      <c r="E123" s="62" t="s">
        <v>239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33</v>
      </c>
      <c r="D124" s="62" t="s">
        <v>34</v>
      </c>
      <c r="E124" s="62" t="s">
        <v>239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33</v>
      </c>
      <c r="D125" s="62" t="s">
        <v>34</v>
      </c>
      <c r="E125" s="62" t="s">
        <v>239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33</v>
      </c>
      <c r="D126" s="62" t="s">
        <v>34</v>
      </c>
      <c r="E126" s="62" t="s">
        <v>239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33</v>
      </c>
      <c r="D127" s="62" t="s">
        <v>34</v>
      </c>
      <c r="E127" s="62" t="s">
        <v>239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33</v>
      </c>
      <c r="D128" s="62" t="s">
        <v>34</v>
      </c>
      <c r="E128" s="62" t="s">
        <v>239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33</v>
      </c>
      <c r="D129" s="62" t="s">
        <v>34</v>
      </c>
      <c r="E129" s="62" t="s">
        <v>239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33</v>
      </c>
      <c r="D130" s="62" t="s">
        <v>34</v>
      </c>
      <c r="E130" s="62" t="s">
        <v>239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33</v>
      </c>
      <c r="D131" s="62" t="s">
        <v>34</v>
      </c>
      <c r="E131" s="62" t="s">
        <v>239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33</v>
      </c>
      <c r="D132" s="62" t="s">
        <v>34</v>
      </c>
      <c r="E132" s="62" t="s">
        <v>239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33</v>
      </c>
      <c r="D133" s="62" t="s">
        <v>42</v>
      </c>
      <c r="E133" s="62" t="s">
        <v>239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33</v>
      </c>
      <c r="D134" s="62" t="s">
        <v>42</v>
      </c>
      <c r="E134" s="62" t="s">
        <v>239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1" t="s">
        <v>243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241</v>
      </c>
      <c r="O135" s="39">
        <v>2875180</v>
      </c>
    </row>
    <row r="136" spans="1:15" ht="18" customHeight="1" x14ac:dyDescent="0.25">
      <c r="A136" s="158" t="s">
        <v>244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245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25</v>
      </c>
      <c r="D137" s="62" t="s">
        <v>42</v>
      </c>
      <c r="E137" s="62" t="s">
        <v>239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21</v>
      </c>
      <c r="I137" s="33" t="s">
        <v>27</v>
      </c>
      <c r="J137" s="33" t="s">
        <v>29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251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25</v>
      </c>
      <c r="D138" s="62" t="s">
        <v>42</v>
      </c>
      <c r="E138" s="62" t="s">
        <v>239</v>
      </c>
      <c r="F138" s="27">
        <v>35</v>
      </c>
      <c r="G138" s="28">
        <f t="shared" si="30"/>
        <v>175</v>
      </c>
      <c r="H138" s="26" t="s">
        <v>23</v>
      </c>
      <c r="I138" s="26" t="s">
        <v>27</v>
      </c>
      <c r="J138" s="26" t="s">
        <v>111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25</v>
      </c>
      <c r="D139" s="62" t="s">
        <v>42</v>
      </c>
      <c r="E139" s="62" t="s">
        <v>239</v>
      </c>
      <c r="F139" s="27">
        <v>25</v>
      </c>
      <c r="G139" s="34">
        <f t="shared" si="30"/>
        <v>125</v>
      </c>
      <c r="H139" s="33" t="s">
        <v>24</v>
      </c>
      <c r="I139" s="33" t="s">
        <v>27</v>
      </c>
      <c r="J139" s="33" t="s">
        <v>40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25</v>
      </c>
      <c r="D140" s="62" t="s">
        <v>42</v>
      </c>
      <c r="E140" s="62" t="s">
        <v>239</v>
      </c>
      <c r="F140" s="27">
        <v>30</v>
      </c>
      <c r="G140" s="28">
        <f t="shared" si="30"/>
        <v>150</v>
      </c>
      <c r="H140" s="26" t="s">
        <v>20</v>
      </c>
      <c r="I140" s="26" t="s">
        <v>27</v>
      </c>
      <c r="J140" s="26" t="s">
        <v>120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25</v>
      </c>
      <c r="D141" s="62" t="s">
        <v>42</v>
      </c>
      <c r="E141" s="62" t="s">
        <v>239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25</v>
      </c>
      <c r="D142" s="62" t="s">
        <v>42</v>
      </c>
      <c r="E142" s="62" t="s">
        <v>239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25</v>
      </c>
      <c r="D143" s="62" t="s">
        <v>42</v>
      </c>
      <c r="E143" s="62" t="s">
        <v>239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25</v>
      </c>
      <c r="D144" s="62" t="s">
        <v>42</v>
      </c>
      <c r="E144" s="62" t="s">
        <v>239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25</v>
      </c>
      <c r="D145" s="62" t="s">
        <v>42</v>
      </c>
      <c r="E145" s="62" t="s">
        <v>239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25</v>
      </c>
      <c r="D146" s="62" t="s">
        <v>42</v>
      </c>
      <c r="E146" s="62" t="s">
        <v>239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25</v>
      </c>
      <c r="D147" s="62" t="s">
        <v>42</v>
      </c>
      <c r="E147" s="62" t="s">
        <v>239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25</v>
      </c>
      <c r="D148" s="62" t="s">
        <v>42</v>
      </c>
      <c r="E148" s="62" t="s">
        <v>239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1" t="s">
        <v>240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241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49</v>
      </c>
      <c r="D150" s="59" t="s">
        <v>42</v>
      </c>
      <c r="E150" s="59" t="s">
        <v>239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24</v>
      </c>
      <c r="I150" s="26" t="s">
        <v>27</v>
      </c>
      <c r="J150" s="26" t="s">
        <v>138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49</v>
      </c>
      <c r="D151" s="59" t="s">
        <v>42</v>
      </c>
      <c r="E151" s="59" t="s">
        <v>239</v>
      </c>
      <c r="F151" s="27">
        <v>0</v>
      </c>
      <c r="G151" s="34">
        <f t="shared" si="33"/>
        <v>0</v>
      </c>
      <c r="H151" s="33" t="s">
        <v>21</v>
      </c>
      <c r="I151" s="33" t="s">
        <v>27</v>
      </c>
      <c r="J151" s="33" t="s">
        <v>91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252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49</v>
      </c>
      <c r="D152" s="59" t="s">
        <v>42</v>
      </c>
      <c r="E152" s="59" t="s">
        <v>239</v>
      </c>
      <c r="F152" s="27">
        <v>14</v>
      </c>
      <c r="G152" s="28">
        <f t="shared" si="33"/>
        <v>70</v>
      </c>
      <c r="H152" s="26" t="s">
        <v>24</v>
      </c>
      <c r="I152" s="26" t="s">
        <v>27</v>
      </c>
      <c r="J152" s="26" t="s">
        <v>138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49</v>
      </c>
      <c r="D153" s="59" t="s">
        <v>42</v>
      </c>
      <c r="E153" s="59" t="s">
        <v>239</v>
      </c>
      <c r="F153" s="27">
        <v>0</v>
      </c>
      <c r="G153" s="34">
        <f t="shared" si="33"/>
        <v>0</v>
      </c>
      <c r="H153" s="33" t="s">
        <v>23</v>
      </c>
      <c r="I153" s="33" t="s">
        <v>27</v>
      </c>
      <c r="J153" s="33" t="s">
        <v>71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49</v>
      </c>
      <c r="D154" s="59" t="s">
        <v>42</v>
      </c>
      <c r="E154" s="59" t="s">
        <v>239</v>
      </c>
      <c r="F154" s="27">
        <v>10</v>
      </c>
      <c r="G154" s="28">
        <f t="shared" si="33"/>
        <v>50</v>
      </c>
      <c r="H154" s="26" t="s">
        <v>24</v>
      </c>
      <c r="I154" s="26" t="s">
        <v>27</v>
      </c>
      <c r="J154" s="26" t="s">
        <v>149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49</v>
      </c>
      <c r="D155" s="59" t="s">
        <v>42</v>
      </c>
      <c r="E155" s="59" t="s">
        <v>239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49</v>
      </c>
      <c r="D156" s="59" t="s">
        <v>42</v>
      </c>
      <c r="E156" s="59" t="s">
        <v>239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49</v>
      </c>
      <c r="D157" s="59" t="s">
        <v>42</v>
      </c>
      <c r="E157" s="59" t="s">
        <v>239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49</v>
      </c>
      <c r="D158" s="59" t="s">
        <v>42</v>
      </c>
      <c r="E158" s="59" t="s">
        <v>239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49</v>
      </c>
      <c r="D159" s="59" t="s">
        <v>42</v>
      </c>
      <c r="E159" s="59" t="s">
        <v>239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49</v>
      </c>
      <c r="D160" s="59" t="s">
        <v>42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49</v>
      </c>
      <c r="D161" s="59" t="s">
        <v>42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1" t="s">
        <v>243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241</v>
      </c>
      <c r="O162" s="44">
        <v>842000</v>
      </c>
    </row>
    <row r="163" spans="1:15" ht="18" customHeight="1" x14ac:dyDescent="0.25">
      <c r="A163" s="158" t="s">
        <v>244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245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25</v>
      </c>
      <c r="D164" s="59" t="s">
        <v>42</v>
      </c>
      <c r="E164" s="59" t="s">
        <v>239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22</v>
      </c>
      <c r="I164" s="26" t="s">
        <v>27</v>
      </c>
      <c r="J164" s="26" t="s">
        <v>228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253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25</v>
      </c>
      <c r="D165" s="59" t="s">
        <v>42</v>
      </c>
      <c r="E165" s="59" t="s">
        <v>239</v>
      </c>
      <c r="F165" s="27">
        <v>35</v>
      </c>
      <c r="G165" s="34">
        <f t="shared" si="36"/>
        <v>175</v>
      </c>
      <c r="H165" s="33" t="s">
        <v>20</v>
      </c>
      <c r="I165" s="33" t="s">
        <v>27</v>
      </c>
      <c r="J165" s="33" t="s">
        <v>120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25</v>
      </c>
      <c r="D166" s="59" t="s">
        <v>42</v>
      </c>
      <c r="E166" s="59" t="s">
        <v>239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25</v>
      </c>
      <c r="D167" s="59" t="s">
        <v>42</v>
      </c>
      <c r="E167" s="59" t="s">
        <v>239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25</v>
      </c>
      <c r="D168" s="59" t="s">
        <v>42</v>
      </c>
      <c r="E168" s="59" t="s">
        <v>239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25</v>
      </c>
      <c r="D169" s="59" t="s">
        <v>42</v>
      </c>
      <c r="E169" s="59" t="s">
        <v>239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25</v>
      </c>
      <c r="D170" s="59" t="s">
        <v>42</v>
      </c>
      <c r="E170" s="59" t="s">
        <v>239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25</v>
      </c>
      <c r="D171" s="59" t="s">
        <v>42</v>
      </c>
      <c r="E171" s="59" t="s">
        <v>239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25</v>
      </c>
      <c r="D172" s="59" t="s">
        <v>42</v>
      </c>
      <c r="E172" s="59" t="s">
        <v>239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25</v>
      </c>
      <c r="D173" s="59" t="s">
        <v>42</v>
      </c>
      <c r="E173" s="59" t="s">
        <v>239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25</v>
      </c>
      <c r="D174" s="59" t="s">
        <v>42</v>
      </c>
      <c r="E174" s="59" t="s">
        <v>239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25</v>
      </c>
      <c r="D175" s="59" t="s">
        <v>42</v>
      </c>
      <c r="E175" s="59" t="s">
        <v>239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1" t="s">
        <v>240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241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49</v>
      </c>
      <c r="D177" s="62" t="s">
        <v>42</v>
      </c>
      <c r="E177" s="62" t="s">
        <v>239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21</v>
      </c>
      <c r="I177" s="33" t="s">
        <v>27</v>
      </c>
      <c r="J177" s="33" t="s">
        <v>91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254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49</v>
      </c>
      <c r="D178" s="62" t="s">
        <v>42</v>
      </c>
      <c r="E178" s="62" t="s">
        <v>239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49</v>
      </c>
      <c r="D179" s="62" t="s">
        <v>42</v>
      </c>
      <c r="E179" s="62" t="s">
        <v>239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49</v>
      </c>
      <c r="D180" s="62" t="s">
        <v>42</v>
      </c>
      <c r="E180" s="62" t="s">
        <v>239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49</v>
      </c>
      <c r="D181" s="62" t="s">
        <v>42</v>
      </c>
      <c r="E181" s="62" t="s">
        <v>239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49</v>
      </c>
      <c r="D182" s="62" t="s">
        <v>42</v>
      </c>
      <c r="E182" s="62" t="s">
        <v>239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49</v>
      </c>
      <c r="D183" s="62" t="s">
        <v>42</v>
      </c>
      <c r="E183" s="62" t="s">
        <v>239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49</v>
      </c>
      <c r="D184" s="62" t="s">
        <v>42</v>
      </c>
      <c r="E184" s="62" t="s">
        <v>239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49</v>
      </c>
      <c r="D185" s="62" t="s">
        <v>42</v>
      </c>
      <c r="E185" s="62" t="s">
        <v>255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49</v>
      </c>
      <c r="D186" s="62" t="s">
        <v>42</v>
      </c>
      <c r="E186" s="62" t="s">
        <v>239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49</v>
      </c>
      <c r="D187" s="62" t="s">
        <v>42</v>
      </c>
      <c r="E187" s="62" t="s">
        <v>239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49</v>
      </c>
      <c r="D188" s="62" t="s">
        <v>42</v>
      </c>
      <c r="E188" s="62" t="s">
        <v>239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1" t="s">
        <v>243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241</v>
      </c>
      <c r="O189" s="39">
        <v>1901630</v>
      </c>
    </row>
    <row r="190" spans="1:15" ht="18" customHeight="1" x14ac:dyDescent="0.25">
      <c r="A190" s="158" t="s">
        <v>244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245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25</v>
      </c>
      <c r="D191" s="62" t="s">
        <v>42</v>
      </c>
      <c r="E191" s="62" t="s">
        <v>239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24</v>
      </c>
      <c r="I191" s="33" t="s">
        <v>27</v>
      </c>
      <c r="J191" s="33" t="s">
        <v>40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25</v>
      </c>
      <c r="D192" s="62" t="s">
        <v>42</v>
      </c>
      <c r="E192" s="62" t="s">
        <v>239</v>
      </c>
      <c r="F192" s="27">
        <v>15</v>
      </c>
      <c r="G192" s="28">
        <f t="shared" si="42"/>
        <v>75</v>
      </c>
      <c r="H192" s="26" t="s">
        <v>24</v>
      </c>
      <c r="I192" s="26" t="s">
        <v>27</v>
      </c>
      <c r="J192" s="26" t="s">
        <v>40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25</v>
      </c>
      <c r="D193" s="62" t="s">
        <v>42</v>
      </c>
      <c r="E193" s="62" t="s">
        <v>239</v>
      </c>
      <c r="F193" s="27">
        <v>20</v>
      </c>
      <c r="G193" s="34">
        <f t="shared" si="42"/>
        <v>100</v>
      </c>
      <c r="H193" s="33" t="s">
        <v>24</v>
      </c>
      <c r="I193" s="33" t="s">
        <v>27</v>
      </c>
      <c r="J193" s="33" t="s">
        <v>40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256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25</v>
      </c>
      <c r="D194" s="62" t="s">
        <v>42</v>
      </c>
      <c r="E194" s="62" t="s">
        <v>239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25</v>
      </c>
      <c r="D195" s="62" t="s">
        <v>42</v>
      </c>
      <c r="E195" s="62" t="s">
        <v>239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25</v>
      </c>
      <c r="D196" s="62" t="s">
        <v>42</v>
      </c>
      <c r="E196" s="62" t="s">
        <v>239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25</v>
      </c>
      <c r="D197" s="62" t="s">
        <v>42</v>
      </c>
      <c r="E197" s="62" t="s">
        <v>239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25</v>
      </c>
      <c r="D198" s="62" t="s">
        <v>42</v>
      </c>
      <c r="E198" s="62" t="s">
        <v>239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25</v>
      </c>
      <c r="D199" s="62" t="s">
        <v>42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25</v>
      </c>
      <c r="D200" s="62" t="s">
        <v>42</v>
      </c>
      <c r="E200" s="62" t="s">
        <v>239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25</v>
      </c>
      <c r="D201" s="62" t="s">
        <v>42</v>
      </c>
      <c r="E201" s="62" t="s">
        <v>239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25</v>
      </c>
      <c r="D202" s="62" t="s">
        <v>42</v>
      </c>
      <c r="E202" s="62" t="s">
        <v>239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1" t="s">
        <v>240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241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49</v>
      </c>
      <c r="D204" s="59" t="s">
        <v>42</v>
      </c>
      <c r="E204" s="59" t="s">
        <v>239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49</v>
      </c>
      <c r="D205" s="59" t="s">
        <v>42</v>
      </c>
      <c r="E205" s="59" t="s">
        <v>239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49</v>
      </c>
      <c r="D206" s="59" t="s">
        <v>42</v>
      </c>
      <c r="E206" s="59" t="s">
        <v>239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49</v>
      </c>
      <c r="D207" s="59" t="s">
        <v>42</v>
      </c>
      <c r="E207" s="59" t="s">
        <v>239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49</v>
      </c>
      <c r="D208" s="59" t="s">
        <v>42</v>
      </c>
      <c r="E208" s="59" t="s">
        <v>239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49</v>
      </c>
      <c r="D209" s="59" t="s">
        <v>42</v>
      </c>
      <c r="E209" s="59" t="s">
        <v>239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49</v>
      </c>
      <c r="D210" s="59" t="s">
        <v>42</v>
      </c>
      <c r="E210" s="59" t="s">
        <v>239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49</v>
      </c>
      <c r="D211" s="59" t="s">
        <v>42</v>
      </c>
      <c r="E211" s="59" t="s">
        <v>239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49</v>
      </c>
      <c r="D212" s="59" t="s">
        <v>42</v>
      </c>
      <c r="E212" s="59" t="s">
        <v>239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49</v>
      </c>
      <c r="D213" s="59" t="s">
        <v>42</v>
      </c>
      <c r="E213" s="59" t="s">
        <v>239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49</v>
      </c>
      <c r="D214" s="59" t="s">
        <v>42</v>
      </c>
      <c r="E214" s="59" t="s">
        <v>239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49</v>
      </c>
      <c r="D215" s="59" t="s">
        <v>42</v>
      </c>
      <c r="E215" s="59" t="s">
        <v>239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1" t="s">
        <v>243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241</v>
      </c>
      <c r="O216" s="45">
        <v>1852295</v>
      </c>
    </row>
    <row r="217" spans="1:15" ht="18" customHeight="1" x14ac:dyDescent="0.25">
      <c r="A217" s="158" t="s">
        <v>244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245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33</v>
      </c>
      <c r="D218" s="59" t="s">
        <v>42</v>
      </c>
      <c r="E218" s="59" t="s">
        <v>239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22</v>
      </c>
      <c r="I218" s="26" t="s">
        <v>27</v>
      </c>
      <c r="J218" s="26" t="s">
        <v>171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33</v>
      </c>
      <c r="D219" s="59" t="s">
        <v>42</v>
      </c>
      <c r="E219" s="59" t="s">
        <v>239</v>
      </c>
      <c r="F219" s="27">
        <v>45</v>
      </c>
      <c r="G219" s="34">
        <f t="shared" si="48"/>
        <v>225</v>
      </c>
      <c r="H219" s="33" t="s">
        <v>24</v>
      </c>
      <c r="I219" s="33" t="s">
        <v>27</v>
      </c>
      <c r="J219" s="33" t="s">
        <v>48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33</v>
      </c>
      <c r="D220" s="59" t="s">
        <v>42</v>
      </c>
      <c r="E220" s="59" t="s">
        <v>239</v>
      </c>
      <c r="F220" s="27">
        <v>30</v>
      </c>
      <c r="G220" s="28">
        <f t="shared" si="48"/>
        <v>150</v>
      </c>
      <c r="H220" s="26" t="s">
        <v>24</v>
      </c>
      <c r="I220" s="26" t="s">
        <v>27</v>
      </c>
      <c r="J220" s="26" t="s">
        <v>207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257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33</v>
      </c>
      <c r="D221" s="59" t="s">
        <v>42</v>
      </c>
      <c r="E221" s="59" t="s">
        <v>239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33</v>
      </c>
      <c r="D222" s="59" t="s">
        <v>42</v>
      </c>
      <c r="E222" s="59" t="s">
        <v>239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33</v>
      </c>
      <c r="D223" s="59" t="s">
        <v>42</v>
      </c>
      <c r="E223" s="59" t="s">
        <v>239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33</v>
      </c>
      <c r="D224" s="59" t="s">
        <v>42</v>
      </c>
      <c r="E224" s="59" t="s">
        <v>239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33</v>
      </c>
      <c r="D225" s="59" t="s">
        <v>42</v>
      </c>
      <c r="E225" s="59" t="s">
        <v>239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33</v>
      </c>
      <c r="D226" s="59" t="s">
        <v>42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33</v>
      </c>
      <c r="D227" s="59" t="s">
        <v>42</v>
      </c>
      <c r="E227" s="59" t="s">
        <v>239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33</v>
      </c>
      <c r="D228" s="59" t="s">
        <v>42</v>
      </c>
      <c r="E228" s="59" t="s">
        <v>239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33</v>
      </c>
      <c r="D229" s="59" t="s">
        <v>42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52" t="s">
        <v>240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241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49</v>
      </c>
      <c r="D231" s="62" t="s">
        <v>42</v>
      </c>
      <c r="E231" s="62" t="s">
        <v>239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24</v>
      </c>
      <c r="I231" s="33" t="s">
        <v>27</v>
      </c>
      <c r="J231" s="33" t="s">
        <v>207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49</v>
      </c>
      <c r="D232" s="62" t="s">
        <v>42</v>
      </c>
      <c r="E232" s="62" t="s">
        <v>239</v>
      </c>
      <c r="F232" s="27">
        <v>37</v>
      </c>
      <c r="G232" s="28">
        <f t="shared" si="51"/>
        <v>185</v>
      </c>
      <c r="H232" s="26" t="s">
        <v>24</v>
      </c>
      <c r="I232" s="26" t="s">
        <v>27</v>
      </c>
      <c r="J232" s="26" t="s">
        <v>149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49</v>
      </c>
      <c r="D233" s="62" t="s">
        <v>42</v>
      </c>
      <c r="E233" s="62" t="s">
        <v>239</v>
      </c>
      <c r="F233" s="27">
        <v>16</v>
      </c>
      <c r="G233" s="34">
        <f t="shared" si="51"/>
        <v>80</v>
      </c>
      <c r="H233" s="33" t="s">
        <v>24</v>
      </c>
      <c r="I233" s="33" t="s">
        <v>27</v>
      </c>
      <c r="J233" s="33" t="s">
        <v>149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49</v>
      </c>
      <c r="D234" s="62" t="s">
        <v>42</v>
      </c>
      <c r="E234" s="62" t="s">
        <v>258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49</v>
      </c>
      <c r="D235" s="62" t="s">
        <v>42</v>
      </c>
      <c r="E235" s="62" t="s">
        <v>258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49</v>
      </c>
      <c r="D236" s="62" t="s">
        <v>42</v>
      </c>
      <c r="E236" s="62" t="s">
        <v>258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49</v>
      </c>
      <c r="D237" s="62" t="s">
        <v>42</v>
      </c>
      <c r="E237" s="62" t="s">
        <v>258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49</v>
      </c>
      <c r="D238" s="62" t="s">
        <v>42</v>
      </c>
      <c r="E238" s="62" t="s">
        <v>258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49</v>
      </c>
      <c r="D239" s="62" t="s">
        <v>42</v>
      </c>
      <c r="E239" s="62" t="s">
        <v>258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49</v>
      </c>
      <c r="D240" s="62" t="s">
        <v>42</v>
      </c>
      <c r="E240" s="62" t="s">
        <v>258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49</v>
      </c>
      <c r="D241" s="62" t="s">
        <v>42</v>
      </c>
      <c r="E241" s="62" t="s">
        <v>258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49</v>
      </c>
      <c r="D242" s="62" t="s">
        <v>42</v>
      </c>
      <c r="E242" s="62" t="s">
        <v>258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1" t="s">
        <v>243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241</v>
      </c>
      <c r="O243" s="39">
        <v>991010</v>
      </c>
    </row>
    <row r="244" spans="1:15" ht="18" customHeight="1" x14ac:dyDescent="0.25">
      <c r="A244" s="158" t="s">
        <v>244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245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33</v>
      </c>
      <c r="D245" s="59" t="s">
        <v>42</v>
      </c>
      <c r="E245" s="59" t="s">
        <v>239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24</v>
      </c>
      <c r="I245" s="33" t="s">
        <v>27</v>
      </c>
      <c r="J245" s="33" t="s">
        <v>212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33</v>
      </c>
      <c r="D246" s="59" t="s">
        <v>42</v>
      </c>
      <c r="E246" s="59" t="s">
        <v>239</v>
      </c>
      <c r="F246" s="27">
        <v>2</v>
      </c>
      <c r="G246" s="34">
        <f t="shared" si="54"/>
        <v>10</v>
      </c>
      <c r="H246" s="33" t="s">
        <v>24</v>
      </c>
      <c r="I246" s="26" t="s">
        <v>27</v>
      </c>
      <c r="J246" s="33" t="s">
        <v>72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33</v>
      </c>
      <c r="D247" s="59" t="s">
        <v>42</v>
      </c>
      <c r="E247" s="59" t="s">
        <v>239</v>
      </c>
      <c r="F247" s="27">
        <v>3</v>
      </c>
      <c r="G247" s="28">
        <f t="shared" si="54"/>
        <v>15</v>
      </c>
      <c r="H247" s="33" t="s">
        <v>23</v>
      </c>
      <c r="I247" s="33" t="s">
        <v>27</v>
      </c>
      <c r="J247" s="33" t="s">
        <v>71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33</v>
      </c>
      <c r="D248" s="59" t="s">
        <v>34</v>
      </c>
      <c r="E248" s="59" t="s">
        <v>239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33</v>
      </c>
      <c r="D249" s="59" t="s">
        <v>34</v>
      </c>
      <c r="E249" s="59" t="s">
        <v>239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259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33</v>
      </c>
      <c r="D250" s="59" t="s">
        <v>34</v>
      </c>
      <c r="E250" s="59" t="s">
        <v>239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33</v>
      </c>
      <c r="D251" s="59" t="s">
        <v>34</v>
      </c>
      <c r="E251" s="59" t="s">
        <v>239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33</v>
      </c>
      <c r="D252" s="59" t="s">
        <v>34</v>
      </c>
      <c r="E252" s="59" t="s">
        <v>239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33</v>
      </c>
      <c r="D253" s="59" t="s">
        <v>34</v>
      </c>
      <c r="E253" s="59" t="s">
        <v>239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33</v>
      </c>
      <c r="D254" s="59" t="s">
        <v>34</v>
      </c>
      <c r="E254" s="59" t="s">
        <v>239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33</v>
      </c>
      <c r="D255" s="59" t="s">
        <v>34</v>
      </c>
      <c r="E255" s="59" t="s">
        <v>239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33</v>
      </c>
      <c r="D256" s="59" t="s">
        <v>34</v>
      </c>
      <c r="E256" s="59" t="s">
        <v>239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1" t="s">
        <v>240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241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49</v>
      </c>
      <c r="D258" s="62" t="s">
        <v>260</v>
      </c>
      <c r="E258" s="62" t="s">
        <v>239</v>
      </c>
      <c r="F258" s="27">
        <v>0</v>
      </c>
      <c r="G258" s="34">
        <v>0</v>
      </c>
      <c r="H258" s="26" t="s">
        <v>23</v>
      </c>
      <c r="I258" s="26" t="s">
        <v>27</v>
      </c>
      <c r="J258" s="26" t="s">
        <v>93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49</v>
      </c>
      <c r="D259" s="62" t="s">
        <v>260</v>
      </c>
      <c r="E259" s="62" t="s">
        <v>239</v>
      </c>
      <c r="F259" s="27">
        <v>15</v>
      </c>
      <c r="G259" s="28">
        <v>75</v>
      </c>
      <c r="H259" s="50" t="s">
        <v>24</v>
      </c>
      <c r="I259" s="50" t="s">
        <v>27</v>
      </c>
      <c r="J259" s="50" t="s">
        <v>138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49</v>
      </c>
      <c r="D260" s="62" t="s">
        <v>260</v>
      </c>
      <c r="E260" s="62" t="s">
        <v>239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49</v>
      </c>
      <c r="D261" s="62" t="s">
        <v>260</v>
      </c>
      <c r="E261" s="62" t="s">
        <v>239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49</v>
      </c>
      <c r="D262" s="62" t="s">
        <v>260</v>
      </c>
      <c r="E262" s="62" t="s">
        <v>239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49</v>
      </c>
      <c r="D263" s="62" t="s">
        <v>260</v>
      </c>
      <c r="E263" s="62" t="s">
        <v>239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49</v>
      </c>
      <c r="D264" s="62" t="s">
        <v>260</v>
      </c>
      <c r="E264" s="62" t="s">
        <v>239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49</v>
      </c>
      <c r="D265" s="62" t="s">
        <v>260</v>
      </c>
      <c r="E265" s="62" t="s">
        <v>239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49</v>
      </c>
      <c r="D266" s="62" t="s">
        <v>260</v>
      </c>
      <c r="E266" s="62" t="s">
        <v>239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49</v>
      </c>
      <c r="D267" s="62" t="s">
        <v>260</v>
      </c>
      <c r="E267" s="62" t="s">
        <v>239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49</v>
      </c>
      <c r="D268" s="62" t="s">
        <v>260</v>
      </c>
      <c r="E268" s="62" t="s">
        <v>239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49</v>
      </c>
      <c r="D269" s="62" t="s">
        <v>260</v>
      </c>
      <c r="E269" s="62" t="s">
        <v>239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1" t="s">
        <v>243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241</v>
      </c>
      <c r="O270" s="39">
        <v>1544700</v>
      </c>
    </row>
    <row r="271" spans="1:15" ht="18" customHeight="1" x14ac:dyDescent="0.25">
      <c r="A271" s="158" t="s">
        <v>244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245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33</v>
      </c>
      <c r="D272" s="59" t="s">
        <v>260</v>
      </c>
      <c r="E272" s="59" t="s">
        <v>239</v>
      </c>
      <c r="F272" s="27">
        <v>37</v>
      </c>
      <c r="G272" s="28">
        <v>185</v>
      </c>
      <c r="H272" s="26" t="s">
        <v>22</v>
      </c>
      <c r="I272" s="26" t="s">
        <v>27</v>
      </c>
      <c r="J272" s="26" t="s">
        <v>171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33</v>
      </c>
      <c r="D273" s="59" t="s">
        <v>260</v>
      </c>
      <c r="E273" s="59" t="s">
        <v>239</v>
      </c>
      <c r="F273" s="27">
        <v>31</v>
      </c>
      <c r="G273" s="34">
        <v>155</v>
      </c>
      <c r="H273" s="33" t="s">
        <v>24</v>
      </c>
      <c r="I273" s="33" t="s">
        <v>27</v>
      </c>
      <c r="J273" s="33" t="s">
        <v>138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33</v>
      </c>
      <c r="D274" s="59" t="s">
        <v>260</v>
      </c>
      <c r="E274" s="59" t="s">
        <v>239</v>
      </c>
      <c r="F274" s="27">
        <v>20</v>
      </c>
      <c r="G274" s="28">
        <v>100</v>
      </c>
      <c r="H274" s="26" t="s">
        <v>23</v>
      </c>
      <c r="I274" s="26" t="s">
        <v>27</v>
      </c>
      <c r="J274" s="26" t="s">
        <v>71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33</v>
      </c>
      <c r="D275" s="59" t="s">
        <v>260</v>
      </c>
      <c r="E275" s="59" t="s">
        <v>239</v>
      </c>
      <c r="F275" s="27">
        <v>8</v>
      </c>
      <c r="G275" s="34">
        <v>40</v>
      </c>
      <c r="H275" s="33" t="s">
        <v>24</v>
      </c>
      <c r="I275" s="33" t="s">
        <v>27</v>
      </c>
      <c r="J275" s="33" t="s">
        <v>212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33</v>
      </c>
      <c r="D276" s="59" t="s">
        <v>260</v>
      </c>
      <c r="E276" s="59" t="s">
        <v>239</v>
      </c>
      <c r="F276" s="27">
        <v>35</v>
      </c>
      <c r="G276" s="28">
        <v>175</v>
      </c>
      <c r="H276" s="26" t="s">
        <v>23</v>
      </c>
      <c r="I276" s="26" t="s">
        <v>27</v>
      </c>
      <c r="J276" s="26" t="s">
        <v>54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33</v>
      </c>
      <c r="D277" s="59" t="s">
        <v>260</v>
      </c>
      <c r="E277" s="59" t="s">
        <v>239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261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33</v>
      </c>
      <c r="D278" s="59" t="s">
        <v>260</v>
      </c>
      <c r="E278" s="59" t="s">
        <v>239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33</v>
      </c>
      <c r="D279" s="59" t="s">
        <v>260</v>
      </c>
      <c r="E279" s="59" t="s">
        <v>239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33</v>
      </c>
      <c r="D280" s="59" t="s">
        <v>260</v>
      </c>
      <c r="E280" s="59" t="s">
        <v>239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33</v>
      </c>
      <c r="D281" s="59" t="s">
        <v>260</v>
      </c>
      <c r="E281" s="59" t="s">
        <v>239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33</v>
      </c>
      <c r="D282" s="59" t="s">
        <v>260</v>
      </c>
      <c r="E282" s="59" t="s">
        <v>239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33</v>
      </c>
      <c r="D283" s="59" t="s">
        <v>260</v>
      </c>
      <c r="E283" s="59" t="s">
        <v>239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1" t="s">
        <v>240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241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49</v>
      </c>
      <c r="D285" s="62" t="s">
        <v>260</v>
      </c>
      <c r="E285" s="62" t="s">
        <v>255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49</v>
      </c>
      <c r="D286" s="62" t="s">
        <v>260</v>
      </c>
      <c r="E286" s="62" t="s">
        <v>255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49</v>
      </c>
      <c r="D287" s="62" t="s">
        <v>260</v>
      </c>
      <c r="E287" s="62" t="s">
        <v>255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49</v>
      </c>
      <c r="D288" s="62" t="s">
        <v>260</v>
      </c>
      <c r="E288" s="62" t="s">
        <v>255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49</v>
      </c>
      <c r="D289" s="62" t="s">
        <v>260</v>
      </c>
      <c r="E289" s="62" t="s">
        <v>255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49</v>
      </c>
      <c r="D290" s="62" t="s">
        <v>260</v>
      </c>
      <c r="E290" s="62" t="s">
        <v>255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49</v>
      </c>
      <c r="D291" s="62" t="s">
        <v>260</v>
      </c>
      <c r="E291" s="62" t="s">
        <v>255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49</v>
      </c>
      <c r="D292" s="62" t="s">
        <v>260</v>
      </c>
      <c r="E292" s="62" t="s">
        <v>255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49</v>
      </c>
      <c r="D293" s="62" t="s">
        <v>260</v>
      </c>
      <c r="E293" s="62" t="s">
        <v>255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49</v>
      </c>
      <c r="D294" s="62" t="s">
        <v>260</v>
      </c>
      <c r="E294" s="62" t="s">
        <v>255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49</v>
      </c>
      <c r="D295" s="62" t="s">
        <v>260</v>
      </c>
      <c r="E295" s="62" t="s">
        <v>255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49</v>
      </c>
      <c r="D296" s="62" t="s">
        <v>260</v>
      </c>
      <c r="E296" s="62" t="s">
        <v>255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1" t="s">
        <v>243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241</v>
      </c>
      <c r="O297" s="39">
        <v>1715230</v>
      </c>
    </row>
    <row r="298" spans="1:15" ht="18" customHeight="1" x14ac:dyDescent="0.25">
      <c r="A298" s="158" t="s">
        <v>244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245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33</v>
      </c>
      <c r="D299" s="62" t="s">
        <v>34</v>
      </c>
      <c r="E299" s="62" t="s">
        <v>239</v>
      </c>
      <c r="F299" s="27">
        <v>37</v>
      </c>
      <c r="G299" s="34">
        <v>185</v>
      </c>
      <c r="H299" s="33" t="s">
        <v>22</v>
      </c>
      <c r="I299" s="33" t="s">
        <v>27</v>
      </c>
      <c r="J299" s="33" t="s">
        <v>228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33</v>
      </c>
      <c r="D300" s="62" t="s">
        <v>34</v>
      </c>
      <c r="E300" s="62" t="s">
        <v>239</v>
      </c>
      <c r="F300" s="27">
        <v>31</v>
      </c>
      <c r="G300" s="28">
        <v>155</v>
      </c>
      <c r="H300" s="26" t="s">
        <v>24</v>
      </c>
      <c r="I300" s="26" t="s">
        <v>27</v>
      </c>
      <c r="J300" s="26" t="s">
        <v>138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33</v>
      </c>
      <c r="D301" s="62" t="s">
        <v>34</v>
      </c>
      <c r="E301" s="62" t="s">
        <v>239</v>
      </c>
      <c r="F301" s="27">
        <v>35</v>
      </c>
      <c r="G301" s="34">
        <v>175</v>
      </c>
      <c r="H301" s="33" t="s">
        <v>22</v>
      </c>
      <c r="I301" s="33" t="s">
        <v>27</v>
      </c>
      <c r="J301" s="33" t="s">
        <v>38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33</v>
      </c>
      <c r="D302" s="62" t="s">
        <v>34</v>
      </c>
      <c r="E302" s="62" t="s">
        <v>239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262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33</v>
      </c>
      <c r="D303" s="62" t="s">
        <v>34</v>
      </c>
      <c r="E303" s="62" t="s">
        <v>239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33</v>
      </c>
      <c r="D304" s="62" t="s">
        <v>34</v>
      </c>
      <c r="E304" s="62" t="s">
        <v>239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33</v>
      </c>
      <c r="D305" s="62" t="s">
        <v>34</v>
      </c>
      <c r="E305" s="62" t="s">
        <v>239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33</v>
      </c>
      <c r="D306" s="62" t="s">
        <v>34</v>
      </c>
      <c r="E306" s="62" t="s">
        <v>239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33</v>
      </c>
      <c r="D307" s="62" t="s">
        <v>34</v>
      </c>
      <c r="E307" s="62" t="s">
        <v>239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33</v>
      </c>
      <c r="D308" s="62" t="s">
        <v>34</v>
      </c>
      <c r="E308" s="62" t="s">
        <v>239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33</v>
      </c>
      <c r="D309" s="62" t="s">
        <v>34</v>
      </c>
      <c r="E309" s="62" t="s">
        <v>239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33</v>
      </c>
      <c r="D310" s="62" t="s">
        <v>34</v>
      </c>
      <c r="E310" s="62" t="s">
        <v>239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1" t="s">
        <v>240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241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25</v>
      </c>
      <c r="D312" s="59" t="s">
        <v>34</v>
      </c>
      <c r="E312" s="62" t="s">
        <v>239</v>
      </c>
      <c r="F312" s="27">
        <v>0</v>
      </c>
      <c r="G312" s="28">
        <v>0</v>
      </c>
      <c r="H312" s="26" t="s">
        <v>22</v>
      </c>
      <c r="I312" s="26" t="s">
        <v>27</v>
      </c>
      <c r="J312" s="26" t="s">
        <v>38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25</v>
      </c>
      <c r="D313" s="59" t="s">
        <v>34</v>
      </c>
      <c r="E313" s="62" t="s">
        <v>239</v>
      </c>
      <c r="F313" s="27">
        <v>0</v>
      </c>
      <c r="G313" s="28">
        <v>0</v>
      </c>
      <c r="H313" s="33" t="s">
        <v>20</v>
      </c>
      <c r="I313" s="33"/>
      <c r="J313" s="33" t="s">
        <v>28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25</v>
      </c>
      <c r="D314" s="59" t="s">
        <v>34</v>
      </c>
      <c r="E314" s="62" t="s">
        <v>239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25</v>
      </c>
      <c r="D315" s="59" t="s">
        <v>34</v>
      </c>
      <c r="E315" s="62" t="s">
        <v>239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25</v>
      </c>
      <c r="D316" s="59" t="s">
        <v>34</v>
      </c>
      <c r="E316" s="62" t="s">
        <v>239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25</v>
      </c>
      <c r="D317" s="59" t="s">
        <v>34</v>
      </c>
      <c r="E317" s="62" t="s">
        <v>239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25</v>
      </c>
      <c r="D318" s="59" t="s">
        <v>34</v>
      </c>
      <c r="E318" s="62" t="s">
        <v>239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25</v>
      </c>
      <c r="D319" s="59" t="s">
        <v>34</v>
      </c>
      <c r="E319" s="62" t="s">
        <v>239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25</v>
      </c>
      <c r="D320" s="59" t="s">
        <v>34</v>
      </c>
      <c r="E320" s="62" t="s">
        <v>239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25</v>
      </c>
      <c r="D321" s="59" t="s">
        <v>34</v>
      </c>
      <c r="E321" s="62" t="s">
        <v>239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25</v>
      </c>
      <c r="D322" s="59" t="s">
        <v>34</v>
      </c>
      <c r="E322" s="62" t="s">
        <v>239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25</v>
      </c>
      <c r="D323" s="59" t="s">
        <v>34</v>
      </c>
      <c r="E323" s="62" t="s">
        <v>239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1" t="s">
        <v>243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241</v>
      </c>
      <c r="O324" s="39">
        <v>2216340</v>
      </c>
    </row>
    <row r="325" spans="1:15" ht="18" customHeight="1" x14ac:dyDescent="0.25">
      <c r="A325" s="158" t="s">
        <v>244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245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33</v>
      </c>
      <c r="D326" s="59" t="s">
        <v>34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24</v>
      </c>
      <c r="I326" s="26" t="s">
        <v>27</v>
      </c>
      <c r="J326" s="26" t="s">
        <v>138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33</v>
      </c>
      <c r="D327" s="59" t="s">
        <v>34</v>
      </c>
      <c r="E327" s="59"/>
      <c r="F327" s="27"/>
      <c r="G327" s="34" t="str">
        <f t="shared" si="67"/>
        <v/>
      </c>
      <c r="H327" s="33" t="s">
        <v>24</v>
      </c>
      <c r="I327" s="33" t="s">
        <v>27</v>
      </c>
      <c r="J327" s="33" t="s">
        <v>207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33</v>
      </c>
      <c r="D328" s="59" t="s">
        <v>34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263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33</v>
      </c>
      <c r="D329" s="59" t="s">
        <v>34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33</v>
      </c>
      <c r="D330" s="59" t="s">
        <v>34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33</v>
      </c>
      <c r="D331" s="59" t="s">
        <v>34</v>
      </c>
      <c r="E331" s="59" t="s">
        <v>239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33</v>
      </c>
      <c r="D332" s="59" t="s">
        <v>34</v>
      </c>
      <c r="E332" s="59" t="s">
        <v>239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33</v>
      </c>
      <c r="D333" s="59" t="s">
        <v>34</v>
      </c>
      <c r="E333" s="59" t="s">
        <v>239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264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33</v>
      </c>
      <c r="D334" s="59" t="s">
        <v>34</v>
      </c>
      <c r="E334" s="59" t="s">
        <v>239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33</v>
      </c>
      <c r="D335" s="59" t="s">
        <v>34</v>
      </c>
      <c r="E335" s="59" t="s">
        <v>239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33</v>
      </c>
      <c r="D336" s="59" t="s">
        <v>34</v>
      </c>
      <c r="E336" s="59" t="s">
        <v>239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33</v>
      </c>
      <c r="D337" s="59" t="s">
        <v>34</v>
      </c>
      <c r="E337" s="59" t="s">
        <v>239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1" t="s">
        <v>240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241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25</v>
      </c>
      <c r="D339" s="62" t="s">
        <v>34</v>
      </c>
      <c r="E339" s="62" t="s">
        <v>239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24</v>
      </c>
      <c r="I339" s="33" t="s">
        <v>27</v>
      </c>
      <c r="J339" s="33" t="s">
        <v>40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25</v>
      </c>
      <c r="D340" s="62" t="s">
        <v>34</v>
      </c>
      <c r="E340" s="62" t="s">
        <v>239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25</v>
      </c>
      <c r="D341" s="62" t="s">
        <v>34</v>
      </c>
      <c r="E341" s="62" t="s">
        <v>239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25</v>
      </c>
      <c r="D342" s="62" t="s">
        <v>34</v>
      </c>
      <c r="E342" s="62" t="s">
        <v>239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25</v>
      </c>
      <c r="D343" s="62" t="s">
        <v>34</v>
      </c>
      <c r="E343" s="62" t="s">
        <v>239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25</v>
      </c>
      <c r="D344" s="62" t="s">
        <v>34</v>
      </c>
      <c r="E344" s="62" t="s">
        <v>239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25</v>
      </c>
      <c r="D345" s="62" t="s">
        <v>34</v>
      </c>
      <c r="E345" s="62" t="s">
        <v>239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25</v>
      </c>
      <c r="D346" s="62" t="s">
        <v>34</v>
      </c>
      <c r="E346" s="62" t="s">
        <v>239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25</v>
      </c>
      <c r="D347" s="62" t="s">
        <v>34</v>
      </c>
      <c r="E347" s="62" t="s">
        <v>239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25</v>
      </c>
      <c r="D348" s="62" t="s">
        <v>34</v>
      </c>
      <c r="E348" s="62" t="s">
        <v>239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25</v>
      </c>
      <c r="D349" s="62" t="s">
        <v>34</v>
      </c>
      <c r="E349" s="62" t="s">
        <v>239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25</v>
      </c>
      <c r="D350" s="62" t="s">
        <v>34</v>
      </c>
      <c r="E350" s="62" t="s">
        <v>239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1" t="s">
        <v>243</v>
      </c>
      <c r="B351" s="162"/>
      <c r="C351" s="162"/>
      <c r="D351" s="162"/>
      <c r="E351" s="163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241</v>
      </c>
      <c r="O351" s="39">
        <v>2154990</v>
      </c>
    </row>
    <row r="352" spans="1:15" ht="18" customHeight="1" x14ac:dyDescent="0.25">
      <c r="A352" s="158" t="s">
        <v>244</v>
      </c>
      <c r="B352" s="159"/>
      <c r="C352" s="159"/>
      <c r="D352" s="159"/>
      <c r="E352" s="16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245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33</v>
      </c>
      <c r="D353" s="62" t="s">
        <v>34</v>
      </c>
      <c r="E353" s="62" t="s">
        <v>239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24</v>
      </c>
      <c r="I353" s="33" t="s">
        <v>27</v>
      </c>
      <c r="J353" s="33" t="s">
        <v>48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33</v>
      </c>
      <c r="D354" s="62" t="s">
        <v>34</v>
      </c>
      <c r="E354" s="62" t="s">
        <v>239</v>
      </c>
      <c r="F354" s="27">
        <v>35</v>
      </c>
      <c r="G354" s="28">
        <f t="shared" si="73"/>
        <v>175</v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33</v>
      </c>
      <c r="D355" s="62" t="s">
        <v>34</v>
      </c>
      <c r="E355" s="62" t="s">
        <v>239</v>
      </c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33</v>
      </c>
      <c r="D356" s="62" t="s">
        <v>34</v>
      </c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33</v>
      </c>
      <c r="D357" s="62" t="s">
        <v>34</v>
      </c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33</v>
      </c>
      <c r="D358" s="62" t="s">
        <v>34</v>
      </c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33</v>
      </c>
      <c r="D359" s="62" t="s">
        <v>34</v>
      </c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33</v>
      </c>
      <c r="D360" s="62" t="s">
        <v>34</v>
      </c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33</v>
      </c>
      <c r="D361" s="62" t="s">
        <v>34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33</v>
      </c>
      <c r="D362" s="62" t="s">
        <v>34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33</v>
      </c>
      <c r="D363" s="62" t="s">
        <v>34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33</v>
      </c>
      <c r="D364" s="62" t="s">
        <v>34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1" t="s">
        <v>240</v>
      </c>
      <c r="B365" s="162"/>
      <c r="C365" s="162"/>
      <c r="D365" s="162"/>
      <c r="E365" s="163">
        <f>SUM(E353:E364)</f>
        <v>0</v>
      </c>
      <c r="F365" s="36">
        <f>SUM(F353:F364)</f>
        <v>71</v>
      </c>
      <c r="G365" s="36">
        <f>SUM(G353:G364)</f>
        <v>355</v>
      </c>
      <c r="H365" s="37"/>
      <c r="I365" s="37"/>
      <c r="J365" s="37"/>
      <c r="K365" s="37"/>
      <c r="L365" s="37"/>
      <c r="M365" s="38">
        <f ca="1">IFERROR(SUM(M353:M364),"")</f>
        <v>4.1666666666666519E-3</v>
      </c>
      <c r="N365" s="36" t="s">
        <v>241</v>
      </c>
      <c r="O365" s="39"/>
    </row>
    <row r="366" spans="1:15" ht="15" customHeight="1" x14ac:dyDescent="0.25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1" t="s">
        <v>243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241</v>
      </c>
      <c r="O378" s="39"/>
    </row>
    <row r="379" spans="1:15" ht="18" customHeight="1" x14ac:dyDescent="0.25">
      <c r="A379" s="158" t="s">
        <v>244</v>
      </c>
      <c r="B379" s="159"/>
      <c r="C379" s="159"/>
      <c r="D379" s="159"/>
      <c r="E379" s="160">
        <f>E365+E378</f>
        <v>0</v>
      </c>
      <c r="F379" s="40">
        <f>F365+F378</f>
        <v>71</v>
      </c>
      <c r="G379" s="40">
        <f>G365+G378</f>
        <v>355</v>
      </c>
      <c r="H379" s="41"/>
      <c r="I379" s="41"/>
      <c r="J379" s="41"/>
      <c r="K379" s="41"/>
      <c r="L379" s="41"/>
      <c r="M379" s="42">
        <f ca="1">IFERROR(M365+M378,"")</f>
        <v>4.1666666666666519E-3</v>
      </c>
      <c r="N379" s="40" t="s">
        <v>245</v>
      </c>
      <c r="O379" s="48">
        <f>IFERROR(O365+O378,"")</f>
        <v>0</v>
      </c>
    </row>
    <row r="380" spans="1:15" ht="15" customHeight="1" x14ac:dyDescent="0.25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1" t="s">
        <v>240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241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1" t="s">
        <v>243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241</v>
      </c>
      <c r="O405" s="39"/>
    </row>
    <row r="406" spans="1:15" ht="18" customHeight="1" x14ac:dyDescent="0.25">
      <c r="A406" s="158" t="s">
        <v>244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245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1" t="s">
        <v>240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241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1" t="s">
        <v>243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241</v>
      </c>
      <c r="O432" s="39"/>
    </row>
    <row r="433" spans="1:15" ht="18" customHeight="1" x14ac:dyDescent="0.25">
      <c r="A433" s="158" t="s">
        <v>244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245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1" t="s">
        <v>240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241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1" t="s">
        <v>243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241</v>
      </c>
      <c r="O459" s="39"/>
    </row>
    <row r="460" spans="1:15" ht="18" customHeight="1" x14ac:dyDescent="0.25">
      <c r="A460" s="158" t="s">
        <v>244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245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1" t="s">
        <v>240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241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1" t="s">
        <v>243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241</v>
      </c>
      <c r="O486" s="39"/>
    </row>
    <row r="487" spans="1:15" ht="18" customHeight="1" x14ac:dyDescent="0.25">
      <c r="A487" s="158" t="s">
        <v>244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245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1" t="s">
        <v>240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241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1" t="s">
        <v>243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241</v>
      </c>
      <c r="O513" s="39"/>
    </row>
    <row r="514" spans="1:15" ht="18" customHeight="1" x14ac:dyDescent="0.25">
      <c r="A514" s="158" t="s">
        <v>244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245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1" t="s">
        <v>240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241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1" t="s">
        <v>243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241</v>
      </c>
      <c r="O540" s="39"/>
    </row>
    <row r="541" spans="1:15" ht="18" customHeight="1" x14ac:dyDescent="0.25">
      <c r="A541" s="158" t="s">
        <v>244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245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1" t="s">
        <v>240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241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1" t="s">
        <v>243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241</v>
      </c>
      <c r="O567" s="39"/>
    </row>
    <row r="568" spans="1:15" ht="18" customHeight="1" x14ac:dyDescent="0.25">
      <c r="A568" s="158" t="s">
        <v>244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245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1" t="s">
        <v>240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241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1" t="s">
        <v>243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241</v>
      </c>
      <c r="O594" s="39"/>
    </row>
    <row r="595" spans="1:15" ht="18" customHeight="1" x14ac:dyDescent="0.25">
      <c r="A595" s="158" t="s">
        <v>244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245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1" t="s">
        <v>240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241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1" t="s">
        <v>243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241</v>
      </c>
      <c r="O621" s="39"/>
    </row>
    <row r="622" spans="1:15" ht="18" customHeight="1" x14ac:dyDescent="0.25">
      <c r="A622" s="158" t="s">
        <v>244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245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1" t="s">
        <v>240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241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1" t="s">
        <v>243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241</v>
      </c>
      <c r="O648" s="39"/>
    </row>
    <row r="649" spans="1:15" ht="18" customHeight="1" x14ac:dyDescent="0.25">
      <c r="A649" s="158" t="s">
        <v>244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245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1" t="s">
        <v>240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241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1" t="s">
        <v>243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241</v>
      </c>
      <c r="O675" s="39"/>
    </row>
    <row r="676" spans="1:15" ht="18" customHeight="1" x14ac:dyDescent="0.25">
      <c r="A676" s="158" t="s">
        <v>244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245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1" t="s">
        <v>240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241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1" t="s">
        <v>243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241</v>
      </c>
      <c r="O702" s="39"/>
    </row>
    <row r="703" spans="1:15" ht="18" customHeight="1" x14ac:dyDescent="0.25">
      <c r="A703" s="158" t="s">
        <v>244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245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1" t="s">
        <v>240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241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1" t="s">
        <v>243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241</v>
      </c>
      <c r="O729" s="39"/>
    </row>
    <row r="730" spans="1:15" ht="18" customHeight="1" x14ac:dyDescent="0.25">
      <c r="A730" s="158" t="s">
        <v>244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245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1" t="s">
        <v>240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241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1" t="s">
        <v>243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241</v>
      </c>
      <c r="O756" s="39"/>
    </row>
    <row r="757" spans="1:15" ht="18" customHeight="1" x14ac:dyDescent="0.25">
      <c r="A757" s="158" t="s">
        <v>244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245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1" t="s">
        <v>240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241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1" t="s">
        <v>243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241</v>
      </c>
      <c r="O783" s="39"/>
    </row>
    <row r="784" spans="1:15" ht="18" customHeight="1" x14ac:dyDescent="0.25">
      <c r="A784" s="158" t="s">
        <v>244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245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1" t="s">
        <v>240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241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1" t="s">
        <v>243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241</v>
      </c>
      <c r="O810" s="39"/>
    </row>
    <row r="811" spans="1:15" ht="18" customHeight="1" x14ac:dyDescent="0.25">
      <c r="A811" s="155" t="s">
        <v>244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245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1" t="s">
        <v>240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241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1" t="s">
        <v>243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241</v>
      </c>
      <c r="O837" s="39"/>
    </row>
    <row r="838" spans="1:15" ht="18" customHeight="1" x14ac:dyDescent="0.25">
      <c r="A838" s="158" t="s">
        <v>244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8" activePane="bottomLeft" state="frozen"/>
      <selection pane="bottomLeft" activeCell="S346" sqref="S346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9</v>
      </c>
      <c r="B1" s="23" t="s">
        <v>229</v>
      </c>
      <c r="C1" s="23" t="s">
        <v>14</v>
      </c>
      <c r="D1" s="22" t="s">
        <v>15</v>
      </c>
      <c r="E1" s="22" t="s">
        <v>230</v>
      </c>
      <c r="F1" s="133" t="s">
        <v>16</v>
      </c>
      <c r="G1" s="23" t="s">
        <v>231</v>
      </c>
      <c r="H1" s="133" t="s">
        <v>265</v>
      </c>
      <c r="I1" s="133" t="s">
        <v>17</v>
      </c>
      <c r="J1" s="133" t="s">
        <v>266</v>
      </c>
      <c r="K1" s="23" t="s">
        <v>232</v>
      </c>
      <c r="L1" s="23" t="s">
        <v>18</v>
      </c>
      <c r="M1" s="23" t="s">
        <v>19</v>
      </c>
      <c r="N1" s="23" t="s">
        <v>233</v>
      </c>
      <c r="O1" s="23" t="s">
        <v>234</v>
      </c>
      <c r="P1" s="23" t="s">
        <v>235</v>
      </c>
      <c r="Q1" s="24" t="s">
        <v>236</v>
      </c>
      <c r="R1" s="23" t="s">
        <v>237</v>
      </c>
      <c r="S1" s="23" t="s">
        <v>238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49</v>
      </c>
      <c r="D2" s="59" t="s">
        <v>42</v>
      </c>
      <c r="E2" s="108" t="s">
        <v>255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23</v>
      </c>
      <c r="M2" s="26" t="s">
        <v>164</v>
      </c>
      <c r="N2" s="26" t="s">
        <v>31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49</v>
      </c>
      <c r="D3" s="59" t="s">
        <v>42</v>
      </c>
      <c r="E3" s="108" t="s">
        <v>255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24</v>
      </c>
      <c r="M3" s="33"/>
      <c r="N3" s="33" t="s">
        <v>78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49</v>
      </c>
      <c r="D4" s="59" t="s">
        <v>42</v>
      </c>
      <c r="E4" s="108" t="s">
        <v>255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24</v>
      </c>
      <c r="M4" s="26" t="s">
        <v>35</v>
      </c>
      <c r="N4" s="26" t="s">
        <v>32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49</v>
      </c>
      <c r="D5" s="59" t="s">
        <v>42</v>
      </c>
      <c r="E5" s="108" t="s">
        <v>255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22</v>
      </c>
      <c r="M5" s="33" t="s">
        <v>43</v>
      </c>
      <c r="N5" s="33" t="s">
        <v>134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49</v>
      </c>
      <c r="D6" s="59" t="s">
        <v>42</v>
      </c>
      <c r="E6" s="108" t="s">
        <v>255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20</v>
      </c>
      <c r="M6" s="26"/>
      <c r="N6" s="26" t="s">
        <v>62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49</v>
      </c>
      <c r="D7" s="59" t="s">
        <v>42</v>
      </c>
      <c r="E7" s="108" t="s">
        <v>255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24</v>
      </c>
      <c r="M7" s="33"/>
      <c r="N7" s="33" t="s">
        <v>135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49</v>
      </c>
      <c r="D8" s="59" t="s">
        <v>42</v>
      </c>
      <c r="E8" s="108" t="s">
        <v>255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24</v>
      </c>
      <c r="M8" s="26"/>
      <c r="N8" s="26" t="s">
        <v>135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49</v>
      </c>
      <c r="D9" s="59" t="s">
        <v>42</v>
      </c>
      <c r="E9" s="108" t="s">
        <v>255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49</v>
      </c>
      <c r="D10" s="59" t="s">
        <v>42</v>
      </c>
      <c r="E10" s="108" t="s">
        <v>255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49</v>
      </c>
      <c r="D11" s="59" t="s">
        <v>42</v>
      </c>
      <c r="E11" s="108" t="s">
        <v>255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49</v>
      </c>
      <c r="D12" s="59" t="s">
        <v>42</v>
      </c>
      <c r="E12" s="108" t="s">
        <v>255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49</v>
      </c>
      <c r="D13" s="59" t="s">
        <v>42</v>
      </c>
      <c r="E13" s="108" t="s">
        <v>255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1" t="s">
        <v>240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241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33</v>
      </c>
      <c r="D15" s="62" t="s">
        <v>34</v>
      </c>
      <c r="E15" s="109" t="s">
        <v>255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23</v>
      </c>
      <c r="M15" s="33" t="s">
        <v>35</v>
      </c>
      <c r="N15" s="33" t="s">
        <v>31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33</v>
      </c>
      <c r="D16" s="62" t="s">
        <v>34</v>
      </c>
      <c r="E16" s="109" t="s">
        <v>255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23</v>
      </c>
      <c r="M16" s="26" t="s">
        <v>43</v>
      </c>
      <c r="N16" s="26" t="s">
        <v>31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33</v>
      </c>
      <c r="D17" s="62" t="s">
        <v>34</v>
      </c>
      <c r="E17" s="109" t="s">
        <v>255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21</v>
      </c>
      <c r="M17" s="33" t="s">
        <v>139</v>
      </c>
      <c r="N17" s="33" t="s">
        <v>53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33</v>
      </c>
      <c r="D18" s="62" t="s">
        <v>34</v>
      </c>
      <c r="E18" s="109" t="s">
        <v>255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24</v>
      </c>
      <c r="M18" s="26" t="s">
        <v>162</v>
      </c>
      <c r="N18" s="26" t="s">
        <v>78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33</v>
      </c>
      <c r="D19" s="62" t="s">
        <v>34</v>
      </c>
      <c r="E19" s="109" t="s">
        <v>255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21</v>
      </c>
      <c r="M19" s="33" t="s">
        <v>139</v>
      </c>
      <c r="N19" s="33" t="s">
        <v>53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33</v>
      </c>
      <c r="D20" s="62" t="s">
        <v>34</v>
      </c>
      <c r="E20" s="109" t="s">
        <v>255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24</v>
      </c>
      <c r="M20" s="26" t="s">
        <v>35</v>
      </c>
      <c r="N20" s="26" t="s">
        <v>40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33</v>
      </c>
      <c r="D21" s="62" t="s">
        <v>34</v>
      </c>
      <c r="E21" s="109" t="s">
        <v>255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23</v>
      </c>
      <c r="M21" s="33" t="s">
        <v>43</v>
      </c>
      <c r="N21" s="33" t="s">
        <v>31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33</v>
      </c>
      <c r="D22" s="62" t="s">
        <v>34</v>
      </c>
      <c r="E22" s="109" t="s">
        <v>255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23</v>
      </c>
      <c r="M22" s="26" t="s">
        <v>35</v>
      </c>
      <c r="N22" s="26" t="s">
        <v>31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33</v>
      </c>
      <c r="D23" s="62" t="s">
        <v>34</v>
      </c>
      <c r="E23" s="109" t="s">
        <v>255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23</v>
      </c>
      <c r="M23" s="33" t="s">
        <v>35</v>
      </c>
      <c r="N23" s="33" t="s">
        <v>54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33</v>
      </c>
      <c r="D24" s="62" t="s">
        <v>34</v>
      </c>
      <c r="E24" s="109" t="s">
        <v>255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33</v>
      </c>
      <c r="D25" s="62" t="s">
        <v>34</v>
      </c>
      <c r="E25" s="109" t="s">
        <v>255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33</v>
      </c>
      <c r="D26" s="62" t="s">
        <v>34</v>
      </c>
      <c r="E26" s="109" t="s">
        <v>255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1" t="s">
        <v>243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241</v>
      </c>
      <c r="S27" s="45">
        <v>549860</v>
      </c>
      <c r="T27" s="122"/>
    </row>
    <row r="28" spans="1:20" ht="18" customHeight="1" x14ac:dyDescent="0.25">
      <c r="A28" s="158" t="s">
        <v>244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245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49</v>
      </c>
      <c r="D29" s="59" t="s">
        <v>26</v>
      </c>
      <c r="E29" s="108" t="s">
        <v>255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24</v>
      </c>
      <c r="M29" s="33" t="s">
        <v>162</v>
      </c>
      <c r="N29" s="33" t="s">
        <v>78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49</v>
      </c>
      <c r="D30" s="59" t="s">
        <v>26</v>
      </c>
      <c r="E30" s="108" t="s">
        <v>255</v>
      </c>
      <c r="F30" s="134"/>
      <c r="G30" s="105">
        <v>3</v>
      </c>
      <c r="H30" s="134"/>
      <c r="I30" s="135"/>
      <c r="J30" s="136"/>
      <c r="K30" s="34"/>
      <c r="L30" s="26" t="s">
        <v>23</v>
      </c>
      <c r="M30" s="26" t="s">
        <v>43</v>
      </c>
      <c r="N30" s="26" t="s">
        <v>31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49</v>
      </c>
      <c r="D31" s="59" t="s">
        <v>26</v>
      </c>
      <c r="E31" s="108" t="s">
        <v>255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23</v>
      </c>
      <c r="M31" s="33" t="s">
        <v>43</v>
      </c>
      <c r="N31" s="33" t="s">
        <v>54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49</v>
      </c>
      <c r="D32" s="59" t="s">
        <v>26</v>
      </c>
      <c r="E32" s="108" t="s">
        <v>255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49</v>
      </c>
      <c r="D33" s="59" t="s">
        <v>26</v>
      </c>
      <c r="E33" s="108" t="s">
        <v>255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49</v>
      </c>
      <c r="D34" s="59" t="s">
        <v>26</v>
      </c>
      <c r="E34" s="108" t="s">
        <v>255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49</v>
      </c>
      <c r="D35" s="59" t="s">
        <v>26</v>
      </c>
      <c r="E35" s="108" t="s">
        <v>255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49</v>
      </c>
      <c r="D36" s="59" t="s">
        <v>26</v>
      </c>
      <c r="E36" s="108" t="s">
        <v>255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49</v>
      </c>
      <c r="D37" s="59" t="s">
        <v>26</v>
      </c>
      <c r="E37" s="108" t="s">
        <v>255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49</v>
      </c>
      <c r="D38" s="59" t="s">
        <v>26</v>
      </c>
      <c r="E38" s="108" t="s">
        <v>255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49</v>
      </c>
      <c r="D39" s="59" t="s">
        <v>26</v>
      </c>
      <c r="E39" s="108" t="s">
        <v>255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49</v>
      </c>
      <c r="D40" s="59" t="s">
        <v>26</v>
      </c>
      <c r="E40" s="108" t="s">
        <v>255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1" t="s">
        <v>240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241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33</v>
      </c>
      <c r="D42" s="62" t="s">
        <v>26</v>
      </c>
      <c r="E42" s="109" t="s">
        <v>255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24</v>
      </c>
      <c r="M42" s="26" t="s">
        <v>43</v>
      </c>
      <c r="N42" s="26" t="s">
        <v>55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33</v>
      </c>
      <c r="D43" s="62" t="s">
        <v>26</v>
      </c>
      <c r="E43" s="109" t="s">
        <v>255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24</v>
      </c>
      <c r="M43" s="33" t="s">
        <v>43</v>
      </c>
      <c r="N43" s="33" t="s">
        <v>55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33</v>
      </c>
      <c r="D44" s="62" t="s">
        <v>26</v>
      </c>
      <c r="E44" s="109" t="s">
        <v>255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24</v>
      </c>
      <c r="M44" s="26" t="s">
        <v>35</v>
      </c>
      <c r="N44" s="26" t="s">
        <v>55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33</v>
      </c>
      <c r="D45" s="62" t="s">
        <v>26</v>
      </c>
      <c r="E45" s="109" t="s">
        <v>255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24</v>
      </c>
      <c r="M45" s="33" t="s">
        <v>164</v>
      </c>
      <c r="N45" s="33" t="s">
        <v>55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33</v>
      </c>
      <c r="D46" s="62" t="s">
        <v>26</v>
      </c>
      <c r="E46" s="109" t="s">
        <v>255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24</v>
      </c>
      <c r="M46" s="26" t="s">
        <v>43</v>
      </c>
      <c r="N46" s="26" t="s">
        <v>55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33</v>
      </c>
      <c r="D47" s="62" t="s">
        <v>26</v>
      </c>
      <c r="E47" s="109" t="s">
        <v>255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24</v>
      </c>
      <c r="M47" s="33" t="s">
        <v>164</v>
      </c>
      <c r="N47" s="33" t="s">
        <v>55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33</v>
      </c>
      <c r="D48" s="62" t="s">
        <v>26</v>
      </c>
      <c r="E48" s="109" t="s">
        <v>255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24</v>
      </c>
      <c r="M48" s="26" t="s">
        <v>43</v>
      </c>
      <c r="N48" s="26" t="s">
        <v>55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33</v>
      </c>
      <c r="D49" s="62" t="s">
        <v>26</v>
      </c>
      <c r="E49" s="109" t="s">
        <v>255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23</v>
      </c>
      <c r="M49" s="33" t="s">
        <v>43</v>
      </c>
      <c r="N49" s="33" t="s">
        <v>31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33</v>
      </c>
      <c r="D50" s="62" t="s">
        <v>26</v>
      </c>
      <c r="E50" s="109" t="s">
        <v>255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23</v>
      </c>
      <c r="M50" s="26" t="s">
        <v>43</v>
      </c>
      <c r="N50" s="26" t="s">
        <v>39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33</v>
      </c>
      <c r="D51" s="62" t="s">
        <v>26</v>
      </c>
      <c r="E51" s="109" t="s">
        <v>255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24</v>
      </c>
      <c r="M51" s="33" t="s">
        <v>43</v>
      </c>
      <c r="N51" s="33" t="s">
        <v>55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33</v>
      </c>
      <c r="D52" s="62" t="s">
        <v>26</v>
      </c>
      <c r="E52" s="109" t="s">
        <v>255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22</v>
      </c>
      <c r="M52" s="26" t="s">
        <v>43</v>
      </c>
      <c r="N52" s="26" t="s">
        <v>134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33</v>
      </c>
      <c r="D53" s="62" t="s">
        <v>26</v>
      </c>
      <c r="E53" s="109" t="s">
        <v>255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22</v>
      </c>
      <c r="M53" s="33"/>
      <c r="N53" s="33" t="s">
        <v>134</v>
      </c>
      <c r="O53" s="29">
        <v>0.12152777777777778</v>
      </c>
      <c r="P53" s="29"/>
      <c r="Q53" s="30">
        <f t="shared" ca="1" si="11"/>
        <v>0.30568287037021946</v>
      </c>
      <c r="R53" s="46" t="s">
        <v>275</v>
      </c>
      <c r="S53" s="31"/>
    </row>
    <row r="54" spans="1:20" ht="15.75" customHeight="1" thickBot="1" x14ac:dyDescent="0.3">
      <c r="A54" s="161" t="s">
        <v>243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0.44457175925910836</v>
      </c>
      <c r="R54" s="36" t="s">
        <v>241</v>
      </c>
      <c r="S54" s="75">
        <v>352430</v>
      </c>
      <c r="T54" s="117"/>
    </row>
    <row r="55" spans="1:20" ht="18" customHeight="1" x14ac:dyDescent="0.25">
      <c r="A55" s="158" t="s">
        <v>244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0.52929398148133067</v>
      </c>
      <c r="R55" s="40" t="s">
        <v>245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49</v>
      </c>
      <c r="D56" s="59" t="s">
        <v>42</v>
      </c>
      <c r="E56" s="108" t="s">
        <v>255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23</v>
      </c>
      <c r="M56" s="26" t="s">
        <v>35</v>
      </c>
      <c r="N56" s="26" t="s">
        <v>31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49</v>
      </c>
      <c r="D57" s="59" t="s">
        <v>42</v>
      </c>
      <c r="E57" s="108" t="s">
        <v>255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24</v>
      </c>
      <c r="M57" s="33" t="s">
        <v>127</v>
      </c>
      <c r="N57" s="50" t="s">
        <v>118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49</v>
      </c>
      <c r="D58" s="59" t="s">
        <v>50</v>
      </c>
      <c r="E58" s="108" t="s">
        <v>255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24</v>
      </c>
      <c r="M58" s="49" t="s">
        <v>127</v>
      </c>
      <c r="N58" s="26" t="s">
        <v>118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49</v>
      </c>
      <c r="D59" s="59" t="s">
        <v>42</v>
      </c>
      <c r="E59" s="108" t="s">
        <v>255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24</v>
      </c>
      <c r="M59" s="33" t="s">
        <v>127</v>
      </c>
      <c r="N59" s="33" t="s">
        <v>118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49</v>
      </c>
      <c r="D60" s="59" t="s">
        <v>42</v>
      </c>
      <c r="E60" s="108" t="s">
        <v>255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24</v>
      </c>
      <c r="M60" s="26" t="s">
        <v>127</v>
      </c>
      <c r="N60" s="26" t="s">
        <v>118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49</v>
      </c>
      <c r="D61" s="59" t="s">
        <v>42</v>
      </c>
      <c r="E61" s="108" t="s">
        <v>255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24</v>
      </c>
      <c r="M61" s="33" t="s">
        <v>127</v>
      </c>
      <c r="N61" s="33" t="s">
        <v>118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49</v>
      </c>
      <c r="D62" s="59" t="s">
        <v>42</v>
      </c>
      <c r="E62" s="108" t="s">
        <v>255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24</v>
      </c>
      <c r="M62" s="26" t="s">
        <v>127</v>
      </c>
      <c r="N62" s="26" t="s">
        <v>118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49</v>
      </c>
      <c r="D63" s="59" t="s">
        <v>42</v>
      </c>
      <c r="E63" s="108" t="s">
        <v>255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23</v>
      </c>
      <c r="M63" s="33" t="s">
        <v>43</v>
      </c>
      <c r="N63" s="33" t="s">
        <v>31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49</v>
      </c>
      <c r="D64" s="59" t="s">
        <v>42</v>
      </c>
      <c r="E64" s="108" t="s">
        <v>255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49</v>
      </c>
      <c r="D65" s="59" t="s">
        <v>42</v>
      </c>
      <c r="E65" s="108" t="s">
        <v>255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49</v>
      </c>
      <c r="D66" s="59" t="s">
        <v>42</v>
      </c>
      <c r="E66" s="108" t="s">
        <v>255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49</v>
      </c>
      <c r="D67" s="59" t="s">
        <v>42</v>
      </c>
      <c r="E67" s="108" t="s">
        <v>255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1" t="s">
        <v>240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241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33</v>
      </c>
      <c r="D69" s="62" t="s">
        <v>42</v>
      </c>
      <c r="E69" s="109" t="s">
        <v>255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24</v>
      </c>
      <c r="M69" s="33" t="s">
        <v>153</v>
      </c>
      <c r="N69" s="26" t="s">
        <v>190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33</v>
      </c>
      <c r="D70" s="62" t="s">
        <v>42</v>
      </c>
      <c r="E70" s="109" t="s">
        <v>255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21</v>
      </c>
      <c r="M70" s="26" t="s">
        <v>139</v>
      </c>
      <c r="N70" s="26" t="s">
        <v>53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33</v>
      </c>
      <c r="D71" s="62" t="s">
        <v>42</v>
      </c>
      <c r="E71" s="109" t="s">
        <v>255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24</v>
      </c>
      <c r="M71" s="33" t="s">
        <v>162</v>
      </c>
      <c r="N71" s="33" t="s">
        <v>78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33</v>
      </c>
      <c r="D72" s="62" t="s">
        <v>42</v>
      </c>
      <c r="E72" s="109" t="s">
        <v>255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24</v>
      </c>
      <c r="M72" s="26" t="s">
        <v>162</v>
      </c>
      <c r="N72" s="26" t="s">
        <v>78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33</v>
      </c>
      <c r="D73" s="62" t="s">
        <v>42</v>
      </c>
      <c r="E73" s="109" t="s">
        <v>255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23</v>
      </c>
      <c r="M73" s="33" t="s">
        <v>35</v>
      </c>
      <c r="N73" s="33" t="s">
        <v>31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33</v>
      </c>
      <c r="D74" s="62" t="s">
        <v>42</v>
      </c>
      <c r="E74" s="109" t="s">
        <v>255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24</v>
      </c>
      <c r="M74" s="26" t="s">
        <v>162</v>
      </c>
      <c r="N74" s="26" t="s">
        <v>78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33</v>
      </c>
      <c r="D75" s="62" t="s">
        <v>42</v>
      </c>
      <c r="E75" s="109" t="s">
        <v>255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23</v>
      </c>
      <c r="M75" s="33" t="s">
        <v>43</v>
      </c>
      <c r="N75" s="33" t="s">
        <v>31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33</v>
      </c>
      <c r="D76" s="62" t="s">
        <v>42</v>
      </c>
      <c r="E76" s="109" t="s">
        <v>255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24</v>
      </c>
      <c r="M76" s="26" t="s">
        <v>35</v>
      </c>
      <c r="N76" s="26" t="s">
        <v>205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33</v>
      </c>
      <c r="D77" s="62" t="s">
        <v>42</v>
      </c>
      <c r="E77" s="109" t="s">
        <v>255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33</v>
      </c>
      <c r="D78" s="62" t="s">
        <v>42</v>
      </c>
      <c r="E78" s="109" t="s">
        <v>255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33</v>
      </c>
      <c r="D79" s="62" t="s">
        <v>34</v>
      </c>
      <c r="E79" s="109" t="s">
        <v>255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33</v>
      </c>
      <c r="D80" s="62" t="s">
        <v>34</v>
      </c>
      <c r="E80" s="109" t="s">
        <v>255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1" t="s">
        <v>243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241</v>
      </c>
      <c r="S81" s="54">
        <v>634210</v>
      </c>
      <c r="T81" s="118"/>
    </row>
    <row r="82" spans="1:20" ht="18" customHeight="1" x14ac:dyDescent="0.25">
      <c r="A82" s="158" t="s">
        <v>244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245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49</v>
      </c>
      <c r="D83" s="20" t="s">
        <v>34</v>
      </c>
      <c r="E83" s="108" t="s">
        <v>255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22</v>
      </c>
      <c r="M83" s="33" t="s">
        <v>142</v>
      </c>
      <c r="N83" s="33" t="s">
        <v>215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49</v>
      </c>
      <c r="D84" s="59" t="s">
        <v>34</v>
      </c>
      <c r="E84" s="108" t="s">
        <v>255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23</v>
      </c>
      <c r="M84" s="26" t="s">
        <v>43</v>
      </c>
      <c r="N84" s="26" t="s">
        <v>31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49</v>
      </c>
      <c r="D85" s="59" t="s">
        <v>34</v>
      </c>
      <c r="E85" s="108" t="s">
        <v>255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24</v>
      </c>
      <c r="M85" s="33" t="s">
        <v>43</v>
      </c>
      <c r="N85" s="33" t="s">
        <v>40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49</v>
      </c>
      <c r="D86" s="59" t="s">
        <v>34</v>
      </c>
      <c r="E86" s="108" t="s">
        <v>255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24</v>
      </c>
      <c r="M86" s="26" t="s">
        <v>43</v>
      </c>
      <c r="N86" s="26" t="s">
        <v>40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49</v>
      </c>
      <c r="D87" s="59" t="s">
        <v>34</v>
      </c>
      <c r="E87" s="108" t="s">
        <v>255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22</v>
      </c>
      <c r="M87" s="33" t="s">
        <v>142</v>
      </c>
      <c r="N87" s="33" t="s">
        <v>122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49</v>
      </c>
      <c r="D88" s="59" t="s">
        <v>34</v>
      </c>
      <c r="E88" s="108" t="s">
        <v>255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49</v>
      </c>
      <c r="D89" s="59" t="s">
        <v>34</v>
      </c>
      <c r="E89" s="108" t="s">
        <v>255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49</v>
      </c>
      <c r="D90" s="59" t="s">
        <v>34</v>
      </c>
      <c r="E90" s="108" t="s">
        <v>255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49</v>
      </c>
      <c r="D91" s="59" t="s">
        <v>34</v>
      </c>
      <c r="E91" s="108" t="s">
        <v>255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49</v>
      </c>
      <c r="D92" s="59" t="s">
        <v>34</v>
      </c>
      <c r="E92" s="108" t="s">
        <v>255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49</v>
      </c>
      <c r="D93" s="59" t="s">
        <v>34</v>
      </c>
      <c r="E93" s="108" t="s">
        <v>255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49</v>
      </c>
      <c r="D94" s="59" t="s">
        <v>34</v>
      </c>
      <c r="E94" s="108" t="s">
        <v>255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1" t="s">
        <v>240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241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33</v>
      </c>
      <c r="D96" s="62" t="s">
        <v>34</v>
      </c>
      <c r="E96" s="109" t="s">
        <v>255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22</v>
      </c>
      <c r="M96" s="26" t="s">
        <v>145</v>
      </c>
      <c r="N96" s="26" t="s">
        <v>122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33</v>
      </c>
      <c r="D97" s="62" t="s">
        <v>34</v>
      </c>
      <c r="E97" s="109" t="s">
        <v>255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35</v>
      </c>
      <c r="N97" s="33" t="s">
        <v>54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242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33</v>
      </c>
      <c r="D98" s="62" t="s">
        <v>34</v>
      </c>
      <c r="E98" s="109" t="s">
        <v>255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21</v>
      </c>
      <c r="M98" s="26" t="s">
        <v>35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33</v>
      </c>
      <c r="D99" s="62" t="s">
        <v>34</v>
      </c>
      <c r="E99" s="109" t="s">
        <v>255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24</v>
      </c>
      <c r="M99" s="33" t="s">
        <v>43</v>
      </c>
      <c r="N99" s="33" t="s">
        <v>188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33</v>
      </c>
      <c r="D100" s="62" t="s">
        <v>34</v>
      </c>
      <c r="E100" s="109" t="s">
        <v>255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23</v>
      </c>
      <c r="M100" s="26" t="s">
        <v>35</v>
      </c>
      <c r="N100" s="26" t="s">
        <v>54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242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33</v>
      </c>
      <c r="D101" s="62" t="s">
        <v>34</v>
      </c>
      <c r="E101" s="109" t="s">
        <v>255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24</v>
      </c>
      <c r="M101" s="33" t="s">
        <v>43</v>
      </c>
      <c r="N101" s="33" t="s">
        <v>40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33</v>
      </c>
      <c r="D102" s="62" t="s">
        <v>34</v>
      </c>
      <c r="E102" s="109" t="s">
        <v>255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33</v>
      </c>
      <c r="D103" s="62" t="s">
        <v>34</v>
      </c>
      <c r="E103" s="109" t="s">
        <v>255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33</v>
      </c>
      <c r="D104" s="62" t="s">
        <v>34</v>
      </c>
      <c r="E104" s="109" t="s">
        <v>255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33</v>
      </c>
      <c r="D105" s="62" t="s">
        <v>34</v>
      </c>
      <c r="E105" s="109" t="s">
        <v>255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33</v>
      </c>
      <c r="D106" s="62" t="s">
        <v>34</v>
      </c>
      <c r="E106" s="109" t="s">
        <v>255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33</v>
      </c>
      <c r="D107" s="62" t="s">
        <v>34</v>
      </c>
      <c r="E107" s="109" t="s">
        <v>255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1" t="s">
        <v>243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241</v>
      </c>
      <c r="S108" s="54">
        <v>456830</v>
      </c>
      <c r="T108" s="118"/>
    </row>
    <row r="109" spans="1:20" ht="18" customHeight="1" x14ac:dyDescent="0.25">
      <c r="A109" s="158" t="s">
        <v>244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245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49</v>
      </c>
      <c r="D110" s="59" t="s">
        <v>34</v>
      </c>
      <c r="E110" s="108" t="s">
        <v>255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22</v>
      </c>
      <c r="M110" s="26" t="s">
        <v>35</v>
      </c>
      <c r="N110" s="26" t="s">
        <v>161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49</v>
      </c>
      <c r="D111" s="59" t="s">
        <v>34</v>
      </c>
      <c r="E111" s="108" t="s">
        <v>255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24</v>
      </c>
      <c r="M111" s="33" t="s">
        <v>43</v>
      </c>
      <c r="N111" s="33" t="s">
        <v>40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49</v>
      </c>
      <c r="D112" s="59" t="s">
        <v>34</v>
      </c>
      <c r="E112" s="108" t="s">
        <v>255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22</v>
      </c>
      <c r="M112" s="26" t="s">
        <v>43</v>
      </c>
      <c r="N112" s="26" t="s">
        <v>161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49</v>
      </c>
      <c r="D113" s="59" t="s">
        <v>34</v>
      </c>
      <c r="E113" s="108" t="s">
        <v>255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24</v>
      </c>
      <c r="M113" s="33" t="s">
        <v>43</v>
      </c>
      <c r="N113" s="33" t="s">
        <v>40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49</v>
      </c>
      <c r="D114" s="59" t="s">
        <v>34</v>
      </c>
      <c r="E114" s="108" t="s">
        <v>255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49</v>
      </c>
      <c r="D115" s="59" t="s">
        <v>34</v>
      </c>
      <c r="E115" s="108" t="s">
        <v>255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49</v>
      </c>
      <c r="D116" s="59" t="s">
        <v>34</v>
      </c>
      <c r="E116" s="108" t="s">
        <v>255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49</v>
      </c>
      <c r="D117" s="59" t="s">
        <v>34</v>
      </c>
      <c r="E117" s="108" t="s">
        <v>255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49</v>
      </c>
      <c r="D118" s="59" t="s">
        <v>34</v>
      </c>
      <c r="E118" s="108" t="s">
        <v>255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49</v>
      </c>
      <c r="D119" s="59" t="s">
        <v>34</v>
      </c>
      <c r="E119" s="108" t="s">
        <v>255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49</v>
      </c>
      <c r="D120" s="59" t="s">
        <v>34</v>
      </c>
      <c r="E120" s="108" t="s">
        <v>255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49</v>
      </c>
      <c r="D121" s="59" t="s">
        <v>34</v>
      </c>
      <c r="E121" s="108" t="s">
        <v>255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1" t="s">
        <v>240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241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33</v>
      </c>
      <c r="D123" s="62" t="s">
        <v>34</v>
      </c>
      <c r="E123" s="109" t="s">
        <v>255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23</v>
      </c>
      <c r="M123" s="33" t="s">
        <v>164</v>
      </c>
      <c r="N123" s="33" t="s">
        <v>31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33</v>
      </c>
      <c r="D124" s="62" t="s">
        <v>34</v>
      </c>
      <c r="E124" s="109" t="s">
        <v>255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22</v>
      </c>
      <c r="M124" s="26" t="s">
        <v>35</v>
      </c>
      <c r="N124" s="26" t="s">
        <v>161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33</v>
      </c>
      <c r="D125" s="62" t="s">
        <v>34</v>
      </c>
      <c r="E125" s="109" t="s">
        <v>255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21</v>
      </c>
      <c r="M125" s="33" t="s">
        <v>139</v>
      </c>
      <c r="N125" s="33" t="s">
        <v>53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33</v>
      </c>
      <c r="D126" s="62" t="s">
        <v>34</v>
      </c>
      <c r="E126" s="109" t="s">
        <v>255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21</v>
      </c>
      <c r="M126" s="26" t="s">
        <v>139</v>
      </c>
      <c r="N126" s="26" t="s">
        <v>53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33</v>
      </c>
      <c r="D127" s="62" t="s">
        <v>34</v>
      </c>
      <c r="E127" s="109" t="s">
        <v>255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24</v>
      </c>
      <c r="M127" s="33" t="s">
        <v>127</v>
      </c>
      <c r="N127" s="33" t="s">
        <v>118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33</v>
      </c>
      <c r="D128" s="62" t="s">
        <v>34</v>
      </c>
      <c r="E128" s="109" t="s">
        <v>255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23</v>
      </c>
      <c r="M128" s="26" t="s">
        <v>43</v>
      </c>
      <c r="N128" s="26" t="s">
        <v>31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33</v>
      </c>
      <c r="D129" s="62" t="s">
        <v>34</v>
      </c>
      <c r="E129" s="109" t="s">
        <v>255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23</v>
      </c>
      <c r="M129" s="33" t="s">
        <v>35</v>
      </c>
      <c r="N129" s="33" t="s">
        <v>31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33</v>
      </c>
      <c r="D130" s="62" t="s">
        <v>34</v>
      </c>
      <c r="E130" s="109" t="s">
        <v>255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33</v>
      </c>
      <c r="D131" s="62" t="s">
        <v>34</v>
      </c>
      <c r="E131" s="109" t="s">
        <v>255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33</v>
      </c>
      <c r="D132" s="62" t="s">
        <v>34</v>
      </c>
      <c r="E132" s="109" t="s">
        <v>255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33</v>
      </c>
      <c r="D133" s="62" t="s">
        <v>34</v>
      </c>
      <c r="E133" s="109" t="s">
        <v>255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33</v>
      </c>
      <c r="D134" s="62" t="s">
        <v>34</v>
      </c>
      <c r="E134" s="109" t="s">
        <v>255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1" t="s">
        <v>243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241</v>
      </c>
      <c r="S135" s="54">
        <v>756720</v>
      </c>
      <c r="T135" s="118"/>
    </row>
    <row r="136" spans="1:20" ht="18" customHeight="1" x14ac:dyDescent="0.25">
      <c r="A136" s="158" t="s">
        <v>244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245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25</v>
      </c>
      <c r="D137" s="62" t="s">
        <v>34</v>
      </c>
      <c r="E137" s="109" t="s">
        <v>255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21</v>
      </c>
      <c r="M137" s="33"/>
      <c r="N137" s="33" t="s">
        <v>29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25</v>
      </c>
      <c r="D138" s="62" t="s">
        <v>34</v>
      </c>
      <c r="E138" s="109" t="s">
        <v>255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24</v>
      </c>
      <c r="M138" s="26" t="s">
        <v>43</v>
      </c>
      <c r="N138" s="26" t="s">
        <v>55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25</v>
      </c>
      <c r="D139" s="62" t="s">
        <v>42</v>
      </c>
      <c r="E139" s="109" t="s">
        <v>255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24</v>
      </c>
      <c r="M139" s="33" t="s">
        <v>43</v>
      </c>
      <c r="N139" s="33" t="s">
        <v>60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25</v>
      </c>
      <c r="D140" s="62" t="s">
        <v>42</v>
      </c>
      <c r="E140" s="109" t="s">
        <v>255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24</v>
      </c>
      <c r="M140" s="26" t="s">
        <v>43</v>
      </c>
      <c r="N140" s="26" t="s">
        <v>40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25</v>
      </c>
      <c r="D141" s="62" t="s">
        <v>42</v>
      </c>
      <c r="E141" s="109" t="s">
        <v>255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24</v>
      </c>
      <c r="M141" s="33" t="s">
        <v>43</v>
      </c>
      <c r="N141" s="33" t="s">
        <v>40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25</v>
      </c>
      <c r="D142" s="62" t="s">
        <v>42</v>
      </c>
      <c r="E142" s="109" t="s">
        <v>255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22</v>
      </c>
      <c r="M142" s="26"/>
      <c r="N142" s="26" t="s">
        <v>122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25</v>
      </c>
      <c r="D143" s="62" t="s">
        <v>42</v>
      </c>
      <c r="E143" s="109" t="s">
        <v>255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24</v>
      </c>
      <c r="M143" s="33" t="s">
        <v>35</v>
      </c>
      <c r="N143" s="33" t="s">
        <v>40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25</v>
      </c>
      <c r="D144" s="62" t="s">
        <v>42</v>
      </c>
      <c r="E144" s="109" t="s">
        <v>255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20</v>
      </c>
      <c r="M144" s="26" t="s">
        <v>164</v>
      </c>
      <c r="N144" s="26" t="s">
        <v>114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25</v>
      </c>
      <c r="D145" s="62" t="s">
        <v>42</v>
      </c>
      <c r="E145" s="109" t="s">
        <v>255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25</v>
      </c>
      <c r="D146" s="62" t="s">
        <v>42</v>
      </c>
      <c r="E146" s="109" t="s">
        <v>255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25</v>
      </c>
      <c r="D147" s="62" t="s">
        <v>42</v>
      </c>
      <c r="E147" s="109" t="s">
        <v>255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25</v>
      </c>
      <c r="D148" s="62" t="s">
        <v>42</v>
      </c>
      <c r="E148" s="109" t="s">
        <v>255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1" t="s">
        <v>240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241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49</v>
      </c>
      <c r="D150" s="59" t="s">
        <v>42</v>
      </c>
      <c r="E150" s="108" t="s">
        <v>255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24</v>
      </c>
      <c r="M150" s="26" t="s">
        <v>142</v>
      </c>
      <c r="N150" s="26" t="s">
        <v>78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49</v>
      </c>
      <c r="D151" s="59" t="s">
        <v>42</v>
      </c>
      <c r="E151" s="108" t="s">
        <v>255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21</v>
      </c>
      <c r="M151" s="33" t="s">
        <v>124</v>
      </c>
      <c r="N151" s="33" t="s">
        <v>91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49</v>
      </c>
      <c r="D152" s="59" t="s">
        <v>42</v>
      </c>
      <c r="E152" s="108" t="s">
        <v>255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23</v>
      </c>
      <c r="M152" s="26" t="s">
        <v>43</v>
      </c>
      <c r="N152" s="26" t="s">
        <v>31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49</v>
      </c>
      <c r="D153" s="59" t="s">
        <v>42</v>
      </c>
      <c r="E153" s="108" t="s">
        <v>255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22</v>
      </c>
      <c r="M153" s="33" t="s">
        <v>43</v>
      </c>
      <c r="N153" s="33" t="s">
        <v>38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49</v>
      </c>
      <c r="D154" s="59" t="s">
        <v>42</v>
      </c>
      <c r="E154" s="108" t="s">
        <v>255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49</v>
      </c>
      <c r="D155" s="59" t="s">
        <v>42</v>
      </c>
      <c r="E155" s="108" t="s">
        <v>255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49</v>
      </c>
      <c r="D156" s="59" t="s">
        <v>42</v>
      </c>
      <c r="E156" s="108" t="s">
        <v>255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49</v>
      </c>
      <c r="D157" s="59" t="s">
        <v>42</v>
      </c>
      <c r="E157" s="108" t="s">
        <v>255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49</v>
      </c>
      <c r="D158" s="59" t="s">
        <v>42</v>
      </c>
      <c r="E158" s="108" t="s">
        <v>255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49</v>
      </c>
      <c r="D159" s="59" t="s">
        <v>42</v>
      </c>
      <c r="E159" s="108" t="s">
        <v>255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49</v>
      </c>
      <c r="D160" s="59" t="s">
        <v>42</v>
      </c>
      <c r="E160" s="108" t="s">
        <v>255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49</v>
      </c>
      <c r="D161" s="59" t="s">
        <v>42</v>
      </c>
      <c r="E161" s="108" t="s">
        <v>255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1" t="s">
        <v>243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241</v>
      </c>
      <c r="S162" s="54">
        <v>501750</v>
      </c>
      <c r="T162" s="118"/>
    </row>
    <row r="163" spans="1:20" ht="18" customHeight="1" x14ac:dyDescent="0.25">
      <c r="A163" s="158" t="s">
        <v>244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245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25</v>
      </c>
      <c r="D164" s="59" t="s">
        <v>42</v>
      </c>
      <c r="E164" s="108" t="s">
        <v>255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22</v>
      </c>
      <c r="M164" s="26" t="s">
        <v>43</v>
      </c>
      <c r="N164" s="26" t="s">
        <v>38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25</v>
      </c>
      <c r="D165" s="59" t="s">
        <v>42</v>
      </c>
      <c r="E165" s="109" t="s">
        <v>255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23</v>
      </c>
      <c r="M165" s="33" t="s">
        <v>35</v>
      </c>
      <c r="N165" s="33" t="s">
        <v>31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25</v>
      </c>
      <c r="D166" s="59" t="s">
        <v>42</v>
      </c>
      <c r="E166" s="109" t="s">
        <v>255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24</v>
      </c>
      <c r="M166" s="26" t="s">
        <v>35</v>
      </c>
      <c r="N166" s="26" t="s">
        <v>40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25</v>
      </c>
      <c r="D167" s="59" t="s">
        <v>42</v>
      </c>
      <c r="E167" s="109" t="s">
        <v>255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24</v>
      </c>
      <c r="M167" s="33" t="s">
        <v>162</v>
      </c>
      <c r="N167" s="33" t="s">
        <v>78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25</v>
      </c>
      <c r="D168" s="59" t="s">
        <v>42</v>
      </c>
      <c r="E168" s="109" t="s">
        <v>255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24</v>
      </c>
      <c r="M168" s="26" t="s">
        <v>162</v>
      </c>
      <c r="N168" s="26" t="s">
        <v>78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25</v>
      </c>
      <c r="D169" s="59" t="s">
        <v>42</v>
      </c>
      <c r="E169" s="109" t="s">
        <v>255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25</v>
      </c>
      <c r="D170" s="59" t="s">
        <v>42</v>
      </c>
      <c r="E170" s="109" t="s">
        <v>255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25</v>
      </c>
      <c r="D171" s="59" t="s">
        <v>42</v>
      </c>
      <c r="E171" s="109" t="s">
        <v>255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25</v>
      </c>
      <c r="D172" s="59" t="s">
        <v>42</v>
      </c>
      <c r="E172" s="109" t="s">
        <v>255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25</v>
      </c>
      <c r="D173" s="59" t="s">
        <v>42</v>
      </c>
      <c r="E173" s="109" t="s">
        <v>255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25</v>
      </c>
      <c r="D174" s="59" t="s">
        <v>42</v>
      </c>
      <c r="E174" s="109" t="s">
        <v>255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25</v>
      </c>
      <c r="D175" s="59" t="s">
        <v>42</v>
      </c>
      <c r="E175" s="109" t="s">
        <v>255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1" t="s">
        <v>240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241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49</v>
      </c>
      <c r="D177" s="62" t="s">
        <v>42</v>
      </c>
      <c r="E177" s="109" t="s">
        <v>255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23</v>
      </c>
      <c r="M177" s="33" t="s">
        <v>35</v>
      </c>
      <c r="N177" s="33" t="s">
        <v>31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121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49</v>
      </c>
      <c r="D178" s="62" t="s">
        <v>42</v>
      </c>
      <c r="E178" s="108" t="s">
        <v>255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24</v>
      </c>
      <c r="M178" s="26" t="s">
        <v>153</v>
      </c>
      <c r="N178" s="26" t="s">
        <v>138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49</v>
      </c>
      <c r="D179" s="62" t="s">
        <v>42</v>
      </c>
      <c r="E179" s="109" t="s">
        <v>255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24</v>
      </c>
      <c r="M179" s="33" t="s">
        <v>127</v>
      </c>
      <c r="N179" s="33" t="s">
        <v>118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49</v>
      </c>
      <c r="D180" s="62" t="s">
        <v>42</v>
      </c>
      <c r="E180" s="108" t="s">
        <v>255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24</v>
      </c>
      <c r="M180" s="26" t="s">
        <v>153</v>
      </c>
      <c r="N180" s="26" t="s">
        <v>138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49</v>
      </c>
      <c r="D181" s="62" t="s">
        <v>42</v>
      </c>
      <c r="E181" s="109" t="s">
        <v>255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24</v>
      </c>
      <c r="M181" s="33"/>
      <c r="N181" s="33" t="s">
        <v>78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49</v>
      </c>
      <c r="D182" s="62" t="s">
        <v>42</v>
      </c>
      <c r="E182" s="108" t="s">
        <v>255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24</v>
      </c>
      <c r="M182" s="26"/>
      <c r="N182" s="26" t="s">
        <v>78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49</v>
      </c>
      <c r="D183" s="62" t="s">
        <v>42</v>
      </c>
      <c r="E183" s="109" t="s">
        <v>255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24</v>
      </c>
      <c r="M183" s="33"/>
      <c r="N183" s="33" t="s">
        <v>78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49</v>
      </c>
      <c r="D184" s="62" t="s">
        <v>42</v>
      </c>
      <c r="E184" s="108" t="s">
        <v>255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49</v>
      </c>
      <c r="D185" s="62" t="s">
        <v>42</v>
      </c>
      <c r="E185" s="109" t="s">
        <v>255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49</v>
      </c>
      <c r="D186" s="62" t="s">
        <v>42</v>
      </c>
      <c r="E186" s="108" t="s">
        <v>255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49</v>
      </c>
      <c r="D187" s="62" t="s">
        <v>42</v>
      </c>
      <c r="E187" s="109" t="s">
        <v>255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49</v>
      </c>
      <c r="D188" s="62" t="s">
        <v>42</v>
      </c>
      <c r="E188" s="108" t="s">
        <v>255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1" t="s">
        <v>243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241</v>
      </c>
      <c r="S189" s="45">
        <v>362530</v>
      </c>
      <c r="T189" s="122"/>
    </row>
    <row r="190" spans="1:20" ht="18" customHeight="1" x14ac:dyDescent="0.25">
      <c r="A190" s="158" t="s">
        <v>244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245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25</v>
      </c>
      <c r="D191" s="62" t="s">
        <v>42</v>
      </c>
      <c r="E191" s="109" t="s">
        <v>255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24</v>
      </c>
      <c r="M191" s="33" t="s">
        <v>153</v>
      </c>
      <c r="N191" s="33" t="s">
        <v>187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25</v>
      </c>
      <c r="D192" s="62" t="s">
        <v>42</v>
      </c>
      <c r="E192" s="109" t="s">
        <v>255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24</v>
      </c>
      <c r="M192" s="26" t="s">
        <v>153</v>
      </c>
      <c r="N192" s="26" t="s">
        <v>187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25</v>
      </c>
      <c r="D193" s="62" t="s">
        <v>42</v>
      </c>
      <c r="E193" s="109" t="s">
        <v>255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24</v>
      </c>
      <c r="M193" s="33" t="s">
        <v>153</v>
      </c>
      <c r="N193" s="26" t="s">
        <v>187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25</v>
      </c>
      <c r="D194" s="62" t="s">
        <v>42</v>
      </c>
      <c r="E194" s="109" t="s">
        <v>255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24</v>
      </c>
      <c r="M194" s="26" t="s">
        <v>43</v>
      </c>
      <c r="N194" s="26" t="s">
        <v>40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25</v>
      </c>
      <c r="D195" s="62" t="s">
        <v>42</v>
      </c>
      <c r="E195" s="109" t="s">
        <v>255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24</v>
      </c>
      <c r="M195" s="33" t="s">
        <v>43</v>
      </c>
      <c r="N195" s="33" t="s">
        <v>40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25</v>
      </c>
      <c r="D196" s="62" t="s">
        <v>42</v>
      </c>
      <c r="E196" s="109" t="s">
        <v>255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22</v>
      </c>
      <c r="M196" s="26" t="s">
        <v>43</v>
      </c>
      <c r="N196" s="26" t="s">
        <v>171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25</v>
      </c>
      <c r="D197" s="62" t="s">
        <v>42</v>
      </c>
      <c r="E197" s="109" t="s">
        <v>255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24</v>
      </c>
      <c r="M197" s="33" t="s">
        <v>127</v>
      </c>
      <c r="N197" s="33" t="s">
        <v>118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25</v>
      </c>
      <c r="D198" s="62" t="s">
        <v>42</v>
      </c>
      <c r="E198" s="109" t="s">
        <v>255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24</v>
      </c>
      <c r="M198" s="26" t="s">
        <v>127</v>
      </c>
      <c r="N198" s="33" t="s">
        <v>118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25</v>
      </c>
      <c r="D199" s="62" t="s">
        <v>42</v>
      </c>
      <c r="E199" s="109" t="s">
        <v>255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25</v>
      </c>
      <c r="D200" s="62" t="s">
        <v>42</v>
      </c>
      <c r="E200" s="109" t="s">
        <v>255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25</v>
      </c>
      <c r="D201" s="62" t="s">
        <v>42</v>
      </c>
      <c r="E201" s="109" t="s">
        <v>255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25</v>
      </c>
      <c r="D202" s="62" t="s">
        <v>42</v>
      </c>
      <c r="E202" s="109" t="s">
        <v>255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1" t="s">
        <v>240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241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49</v>
      </c>
      <c r="D204" s="59" t="s">
        <v>42</v>
      </c>
      <c r="E204" s="108" t="s">
        <v>255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24</v>
      </c>
      <c r="M204" s="26"/>
      <c r="N204" s="26" t="s">
        <v>78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49</v>
      </c>
      <c r="D205" s="59" t="s">
        <v>42</v>
      </c>
      <c r="E205" s="108" t="s">
        <v>255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23</v>
      </c>
      <c r="M205" s="33" t="s">
        <v>164</v>
      </c>
      <c r="N205" s="33" t="s">
        <v>31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49</v>
      </c>
      <c r="D206" s="59" t="s">
        <v>42</v>
      </c>
      <c r="E206" s="108" t="s">
        <v>255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23</v>
      </c>
      <c r="M206" s="26" t="s">
        <v>164</v>
      </c>
      <c r="N206" s="26" t="s">
        <v>31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49</v>
      </c>
      <c r="D207" s="59" t="s">
        <v>42</v>
      </c>
      <c r="E207" s="108" t="s">
        <v>255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49</v>
      </c>
      <c r="D208" s="59" t="s">
        <v>42</v>
      </c>
      <c r="E208" s="108" t="s">
        <v>255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49</v>
      </c>
      <c r="D209" s="59" t="s">
        <v>42</v>
      </c>
      <c r="E209" s="108" t="s">
        <v>255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49</v>
      </c>
      <c r="D210" s="59" t="s">
        <v>42</v>
      </c>
      <c r="E210" s="108" t="s">
        <v>255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49</v>
      </c>
      <c r="D211" s="59" t="s">
        <v>42</v>
      </c>
      <c r="E211" s="108" t="s">
        <v>255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49</v>
      </c>
      <c r="D212" s="59" t="s">
        <v>42</v>
      </c>
      <c r="E212" s="108" t="s">
        <v>255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49</v>
      </c>
      <c r="D213" s="59" t="s">
        <v>42</v>
      </c>
      <c r="E213" s="108" t="s">
        <v>255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49</v>
      </c>
      <c r="D214" s="59" t="s">
        <v>42</v>
      </c>
      <c r="E214" s="108" t="s">
        <v>255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49</v>
      </c>
      <c r="D215" s="59" t="s">
        <v>42</v>
      </c>
      <c r="E215" s="108" t="s">
        <v>255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1" t="s">
        <v>243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241</v>
      </c>
      <c r="S216" s="45">
        <v>609740</v>
      </c>
      <c r="T216" s="122"/>
    </row>
    <row r="217" spans="1:20" ht="18" customHeight="1" x14ac:dyDescent="0.25">
      <c r="A217" s="158" t="s">
        <v>244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245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33</v>
      </c>
      <c r="D218" s="59" t="s">
        <v>42</v>
      </c>
      <c r="E218" s="108" t="s">
        <v>255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22</v>
      </c>
      <c r="M218" s="26" t="s">
        <v>35</v>
      </c>
      <c r="N218" s="33" t="s">
        <v>176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33</v>
      </c>
      <c r="D219" s="59" t="s">
        <v>42</v>
      </c>
      <c r="E219" s="108" t="s">
        <v>255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23</v>
      </c>
      <c r="M219" s="33" t="s">
        <v>35</v>
      </c>
      <c r="N219" s="33" t="s">
        <v>39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33</v>
      </c>
      <c r="D220" s="59" t="s">
        <v>42</v>
      </c>
      <c r="E220" s="108" t="s">
        <v>255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23</v>
      </c>
      <c r="M220" s="26" t="s">
        <v>35</v>
      </c>
      <c r="N220" s="26" t="s">
        <v>54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242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33</v>
      </c>
      <c r="D221" s="59" t="s">
        <v>42</v>
      </c>
      <c r="E221" s="108" t="s">
        <v>255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23</v>
      </c>
      <c r="M221" s="33" t="s">
        <v>35</v>
      </c>
      <c r="N221" s="33" t="s">
        <v>82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33</v>
      </c>
      <c r="D222" s="59" t="s">
        <v>42</v>
      </c>
      <c r="E222" s="108" t="s">
        <v>239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43</v>
      </c>
      <c r="N222" s="26" t="s">
        <v>31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33</v>
      </c>
      <c r="D223" s="59" t="s">
        <v>42</v>
      </c>
      <c r="E223" s="108" t="s">
        <v>255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22</v>
      </c>
      <c r="M223" s="33" t="s">
        <v>139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33</v>
      </c>
      <c r="D224" s="59" t="s">
        <v>42</v>
      </c>
      <c r="E224" s="108" t="s">
        <v>255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22</v>
      </c>
      <c r="M224" s="26" t="s">
        <v>139</v>
      </c>
      <c r="N224" s="26" t="s">
        <v>65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33</v>
      </c>
      <c r="D225" s="59" t="s">
        <v>42</v>
      </c>
      <c r="E225" s="108" t="s">
        <v>255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33</v>
      </c>
      <c r="D226" s="59" t="s">
        <v>42</v>
      </c>
      <c r="E226" s="108" t="s">
        <v>255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33</v>
      </c>
      <c r="D227" s="59" t="s">
        <v>42</v>
      </c>
      <c r="E227" s="108" t="s">
        <v>255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33</v>
      </c>
      <c r="D228" s="59" t="s">
        <v>42</v>
      </c>
      <c r="E228" s="108" t="s">
        <v>255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33</v>
      </c>
      <c r="D229" s="59" t="s">
        <v>42</v>
      </c>
      <c r="E229" s="108" t="s">
        <v>255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52" t="s">
        <v>240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241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49</v>
      </c>
      <c r="D231" s="62" t="s">
        <v>42</v>
      </c>
      <c r="E231" s="109" t="s">
        <v>255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24</v>
      </c>
      <c r="M231" s="33" t="s">
        <v>43</v>
      </c>
      <c r="N231" s="33" t="s">
        <v>40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242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49</v>
      </c>
      <c r="D232" s="62" t="s">
        <v>42</v>
      </c>
      <c r="E232" s="109" t="s">
        <v>239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23</v>
      </c>
      <c r="M232" s="26" t="s">
        <v>164</v>
      </c>
      <c r="N232" s="26" t="s">
        <v>31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49</v>
      </c>
      <c r="D233" s="62" t="s">
        <v>42</v>
      </c>
      <c r="E233" s="109" t="s">
        <v>255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24</v>
      </c>
      <c r="M233" s="33" t="s">
        <v>43</v>
      </c>
      <c r="N233" s="33" t="s">
        <v>40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49</v>
      </c>
      <c r="D234" s="62" t="s">
        <v>42</v>
      </c>
      <c r="E234" s="109" t="s">
        <v>239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23</v>
      </c>
      <c r="M234" s="26" t="s">
        <v>164</v>
      </c>
      <c r="N234" s="26" t="s">
        <v>31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49</v>
      </c>
      <c r="D235" s="62" t="s">
        <v>42</v>
      </c>
      <c r="E235" s="109" t="s">
        <v>239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49</v>
      </c>
      <c r="D236" s="62" t="s">
        <v>42</v>
      </c>
      <c r="E236" s="109" t="s">
        <v>239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49</v>
      </c>
      <c r="D237" s="62" t="s">
        <v>42</v>
      </c>
      <c r="E237" s="109" t="s">
        <v>239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49</v>
      </c>
      <c r="D238" s="62" t="s">
        <v>42</v>
      </c>
      <c r="E238" s="109" t="s">
        <v>239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49</v>
      </c>
      <c r="D239" s="62" t="s">
        <v>42</v>
      </c>
      <c r="E239" s="109" t="s">
        <v>239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49</v>
      </c>
      <c r="D240" s="62" t="s">
        <v>42</v>
      </c>
      <c r="E240" s="109" t="s">
        <v>239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49</v>
      </c>
      <c r="D241" s="62" t="s">
        <v>42</v>
      </c>
      <c r="E241" s="109" t="s">
        <v>239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49</v>
      </c>
      <c r="D242" s="62" t="s">
        <v>42</v>
      </c>
      <c r="E242" s="109" t="s">
        <v>239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1" t="s">
        <v>243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241</v>
      </c>
      <c r="S243" s="45">
        <v>825930</v>
      </c>
      <c r="T243" s="122"/>
    </row>
    <row r="244" spans="1:20" ht="18" customHeight="1" x14ac:dyDescent="0.25">
      <c r="A244" s="158" t="s">
        <v>244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245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33</v>
      </c>
      <c r="D245" s="59" t="s">
        <v>42</v>
      </c>
      <c r="E245" s="108" t="s">
        <v>239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22</v>
      </c>
      <c r="M245" s="33" t="s">
        <v>35</v>
      </c>
      <c r="N245" s="33" t="s">
        <v>171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33</v>
      </c>
      <c r="D246" s="59" t="s">
        <v>42</v>
      </c>
      <c r="E246" s="108" t="s">
        <v>239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23</v>
      </c>
      <c r="M246" s="26" t="s">
        <v>43</v>
      </c>
      <c r="N246" s="33" t="s">
        <v>31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33</v>
      </c>
      <c r="D247" s="59" t="s">
        <v>42</v>
      </c>
      <c r="E247" s="108" t="s">
        <v>239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23</v>
      </c>
      <c r="M247" s="33" t="s">
        <v>43</v>
      </c>
      <c r="N247" s="33" t="s">
        <v>31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33</v>
      </c>
      <c r="D248" s="59" t="s">
        <v>42</v>
      </c>
      <c r="E248" s="108" t="s">
        <v>239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23</v>
      </c>
      <c r="M248" s="26" t="s">
        <v>35</v>
      </c>
      <c r="N248" s="26" t="s">
        <v>31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33</v>
      </c>
      <c r="D249" s="59" t="s">
        <v>34</v>
      </c>
      <c r="E249" s="108" t="s">
        <v>255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33</v>
      </c>
      <c r="D250" s="59" t="s">
        <v>34</v>
      </c>
      <c r="E250" s="108" t="s">
        <v>255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33</v>
      </c>
      <c r="D251" s="59" t="s">
        <v>34</v>
      </c>
      <c r="E251" s="108" t="s">
        <v>255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33</v>
      </c>
      <c r="D252" s="59" t="s">
        <v>34</v>
      </c>
      <c r="E252" s="108" t="s">
        <v>255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33</v>
      </c>
      <c r="D253" s="59" t="s">
        <v>34</v>
      </c>
      <c r="E253" s="108" t="s">
        <v>255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33</v>
      </c>
      <c r="D254" s="59" t="s">
        <v>34</v>
      </c>
      <c r="E254" s="108" t="s">
        <v>255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33</v>
      </c>
      <c r="D255" s="59" t="s">
        <v>34</v>
      </c>
      <c r="E255" s="108" t="s">
        <v>255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33</v>
      </c>
      <c r="D256" s="59" t="s">
        <v>34</v>
      </c>
      <c r="E256" s="108" t="s">
        <v>255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1" t="s">
        <v>240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241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34</v>
      </c>
      <c r="E258" s="62" t="s">
        <v>255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34</v>
      </c>
      <c r="E259" s="62" t="s">
        <v>255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34</v>
      </c>
      <c r="E260" s="62" t="s">
        <v>255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34</v>
      </c>
      <c r="E261" s="62" t="s">
        <v>255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34</v>
      </c>
      <c r="E262" s="62" t="s">
        <v>255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34</v>
      </c>
      <c r="E263" s="62" t="s">
        <v>255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34</v>
      </c>
      <c r="E264" s="62" t="s">
        <v>255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34</v>
      </c>
      <c r="E265" s="62" t="s">
        <v>255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34</v>
      </c>
      <c r="E266" s="62" t="s">
        <v>255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34</v>
      </c>
      <c r="E267" s="62" t="s">
        <v>255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34</v>
      </c>
      <c r="E268" s="62" t="s">
        <v>255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34</v>
      </c>
      <c r="E269" s="62" t="s">
        <v>255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1" t="s">
        <v>243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241</v>
      </c>
      <c r="S270" s="45">
        <v>732130</v>
      </c>
      <c r="T270" s="122"/>
    </row>
    <row r="271" spans="1:20" ht="18" customHeight="1" x14ac:dyDescent="0.25">
      <c r="A271" s="158" t="s">
        <v>244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245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33</v>
      </c>
      <c r="D272" s="59" t="s">
        <v>34</v>
      </c>
      <c r="E272" s="59" t="s">
        <v>255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33</v>
      </c>
      <c r="D273" s="59" t="s">
        <v>34</v>
      </c>
      <c r="E273" s="59" t="s">
        <v>255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33</v>
      </c>
      <c r="D274" s="59" t="s">
        <v>34</v>
      </c>
      <c r="E274" s="59" t="s">
        <v>255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33</v>
      </c>
      <c r="D275" s="59" t="s">
        <v>34</v>
      </c>
      <c r="E275" s="59" t="s">
        <v>255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33</v>
      </c>
      <c r="D276" s="59" t="s">
        <v>34</v>
      </c>
      <c r="E276" s="59" t="s">
        <v>255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33</v>
      </c>
      <c r="D277" s="59" t="s">
        <v>34</v>
      </c>
      <c r="E277" s="59" t="s">
        <v>255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33</v>
      </c>
      <c r="D278" s="59" t="s">
        <v>42</v>
      </c>
      <c r="E278" s="59" t="s">
        <v>255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33</v>
      </c>
      <c r="D279" s="59" t="s">
        <v>42</v>
      </c>
      <c r="E279" s="59" t="s">
        <v>255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33</v>
      </c>
      <c r="D280" s="59" t="s">
        <v>42</v>
      </c>
      <c r="E280" s="59" t="s">
        <v>255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33</v>
      </c>
      <c r="D281" s="59" t="s">
        <v>42</v>
      </c>
      <c r="E281" s="59" t="s">
        <v>255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33</v>
      </c>
      <c r="D282" s="59" t="s">
        <v>42</v>
      </c>
      <c r="E282" s="59" t="s">
        <v>239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33</v>
      </c>
      <c r="D283" s="59" t="s">
        <v>42</v>
      </c>
      <c r="E283" s="59" t="s">
        <v>255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1" t="s">
        <v>240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241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41</v>
      </c>
      <c r="D285" s="62" t="s">
        <v>50</v>
      </c>
      <c r="E285" s="62" t="s">
        <v>239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41</v>
      </c>
      <c r="D286" s="62" t="s">
        <v>50</v>
      </c>
      <c r="E286" s="62" t="s">
        <v>239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41</v>
      </c>
      <c r="D287" s="62" t="s">
        <v>34</v>
      </c>
      <c r="E287" s="62" t="s">
        <v>255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41</v>
      </c>
      <c r="D288" s="62" t="s">
        <v>34</v>
      </c>
      <c r="E288" s="62" t="s">
        <v>255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41</v>
      </c>
      <c r="D289" s="62" t="s">
        <v>34</v>
      </c>
      <c r="E289" s="62" t="s">
        <v>239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41</v>
      </c>
      <c r="D290" s="62" t="s">
        <v>34</v>
      </c>
      <c r="E290" s="62" t="s">
        <v>239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41</v>
      </c>
      <c r="D291" s="62" t="s">
        <v>34</v>
      </c>
      <c r="E291" s="62" t="s">
        <v>239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41</v>
      </c>
      <c r="D292" s="62" t="s">
        <v>34</v>
      </c>
      <c r="E292" s="62" t="s">
        <v>239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41</v>
      </c>
      <c r="D293" s="62" t="s">
        <v>34</v>
      </c>
      <c r="E293" s="62" t="s">
        <v>239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41</v>
      </c>
      <c r="D294" s="62" t="s">
        <v>34</v>
      </c>
      <c r="E294" s="62" t="s">
        <v>239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41</v>
      </c>
      <c r="D295" s="62" t="s">
        <v>34</v>
      </c>
      <c r="E295" s="62" t="s">
        <v>239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41</v>
      </c>
      <c r="D296" s="62" t="s">
        <v>34</v>
      </c>
      <c r="E296" s="62" t="s">
        <v>239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1" t="s">
        <v>243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241</v>
      </c>
      <c r="S297" s="45">
        <v>990260</v>
      </c>
      <c r="T297" s="122"/>
    </row>
    <row r="298" spans="1:20" ht="18" customHeight="1" x14ac:dyDescent="0.25">
      <c r="A298" s="158" t="s">
        <v>244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245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33</v>
      </c>
      <c r="D299" s="62" t="s">
        <v>34</v>
      </c>
      <c r="E299" s="62" t="s">
        <v>255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21</v>
      </c>
      <c r="M299" s="33" t="s">
        <v>139</v>
      </c>
      <c r="N299" s="33" t="s">
        <v>53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33</v>
      </c>
      <c r="D300" s="62" t="s">
        <v>34</v>
      </c>
      <c r="E300" s="62" t="s">
        <v>255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23</v>
      </c>
      <c r="M300" s="26" t="s">
        <v>43</v>
      </c>
      <c r="N300" s="26" t="s">
        <v>82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33</v>
      </c>
      <c r="D301" s="62" t="s">
        <v>34</v>
      </c>
      <c r="E301" s="62" t="s">
        <v>255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23</v>
      </c>
      <c r="M301" s="33" t="s">
        <v>35</v>
      </c>
      <c r="N301" s="33" t="s">
        <v>31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33</v>
      </c>
      <c r="D302" s="62" t="s">
        <v>34</v>
      </c>
      <c r="E302" s="62" t="s">
        <v>255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24</v>
      </c>
      <c r="M302" s="26" t="s">
        <v>35</v>
      </c>
      <c r="N302" s="26" t="s">
        <v>40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33</v>
      </c>
      <c r="D303" s="62" t="s">
        <v>34</v>
      </c>
      <c r="E303" s="62" t="s">
        <v>255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23</v>
      </c>
      <c r="M303" s="33" t="s">
        <v>43</v>
      </c>
      <c r="N303" s="33" t="s">
        <v>31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33</v>
      </c>
      <c r="D304" s="62" t="s">
        <v>34</v>
      </c>
      <c r="E304" s="62" t="s">
        <v>255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21</v>
      </c>
      <c r="M304" s="26"/>
      <c r="N304" s="26" t="s">
        <v>29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33</v>
      </c>
      <c r="D305" s="62" t="s">
        <v>26</v>
      </c>
      <c r="E305" s="62" t="s">
        <v>255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33</v>
      </c>
      <c r="D306" s="62" t="s">
        <v>26</v>
      </c>
      <c r="E306" s="62" t="s">
        <v>255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33</v>
      </c>
      <c r="D307" s="62" t="s">
        <v>26</v>
      </c>
      <c r="E307" s="62" t="s">
        <v>255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33</v>
      </c>
      <c r="D308" s="62" t="s">
        <v>26</v>
      </c>
      <c r="E308" s="62" t="s">
        <v>255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33</v>
      </c>
      <c r="D309" s="62" t="s">
        <v>26</v>
      </c>
      <c r="E309" s="62" t="s">
        <v>255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33</v>
      </c>
      <c r="D310" s="62" t="s">
        <v>26</v>
      </c>
      <c r="E310" s="62" t="s">
        <v>255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1" t="s">
        <v>240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241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25</v>
      </c>
      <c r="D312" s="62" t="s">
        <v>34</v>
      </c>
      <c r="E312" s="62" t="s">
        <v>255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23</v>
      </c>
      <c r="M312" s="26" t="s">
        <v>164</v>
      </c>
      <c r="N312" s="26" t="s">
        <v>31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25</v>
      </c>
      <c r="D313" s="62" t="s">
        <v>34</v>
      </c>
      <c r="E313" s="62" t="s">
        <v>255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24</v>
      </c>
      <c r="M313" s="33" t="s">
        <v>43</v>
      </c>
      <c r="N313" s="33" t="s">
        <v>40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25</v>
      </c>
      <c r="D314" s="62" t="s">
        <v>34</v>
      </c>
      <c r="E314" s="62" t="s">
        <v>255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22</v>
      </c>
      <c r="M314" s="26" t="s">
        <v>43</v>
      </c>
      <c r="N314" s="26" t="s">
        <v>161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25</v>
      </c>
      <c r="D315" s="62" t="s">
        <v>34</v>
      </c>
      <c r="E315" s="62" t="s">
        <v>255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24</v>
      </c>
      <c r="M315" s="33" t="s">
        <v>43</v>
      </c>
      <c r="N315" s="33" t="s">
        <v>40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25</v>
      </c>
      <c r="D316" s="62" t="s">
        <v>34</v>
      </c>
      <c r="E316" s="62" t="s">
        <v>255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23</v>
      </c>
      <c r="M316" s="26" t="s">
        <v>164</v>
      </c>
      <c r="N316" s="26" t="s">
        <v>31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25</v>
      </c>
      <c r="D317" s="62" t="s">
        <v>34</v>
      </c>
      <c r="E317" s="62" t="s">
        <v>255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22</v>
      </c>
      <c r="M317" s="33" t="s">
        <v>142</v>
      </c>
      <c r="N317" s="33" t="s">
        <v>104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25</v>
      </c>
      <c r="D318" s="62" t="s">
        <v>34</v>
      </c>
      <c r="E318" s="62" t="s">
        <v>255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21</v>
      </c>
      <c r="M318" s="26"/>
      <c r="N318" s="26" t="s">
        <v>29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25</v>
      </c>
      <c r="D319" s="62" t="s">
        <v>34</v>
      </c>
      <c r="E319" s="62" t="s">
        <v>255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21</v>
      </c>
      <c r="M319" s="33" t="s">
        <v>35</v>
      </c>
      <c r="N319" s="33" t="s">
        <v>53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25</v>
      </c>
      <c r="D320" s="62" t="s">
        <v>34</v>
      </c>
      <c r="E320" s="62" t="s">
        <v>255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21</v>
      </c>
      <c r="M320" s="26" t="s">
        <v>139</v>
      </c>
      <c r="N320" s="26" t="s">
        <v>53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25</v>
      </c>
      <c r="D321" s="62" t="s">
        <v>34</v>
      </c>
      <c r="E321" s="62" t="s">
        <v>255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25</v>
      </c>
      <c r="D322" s="62" t="s">
        <v>34</v>
      </c>
      <c r="E322" s="62" t="s">
        <v>255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25</v>
      </c>
      <c r="D323" s="62" t="s">
        <v>34</v>
      </c>
      <c r="E323" s="62" t="s">
        <v>255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1" t="s">
        <v>243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241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58" t="s">
        <v>244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245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33</v>
      </c>
      <c r="D326" s="59" t="s">
        <v>26</v>
      </c>
      <c r="E326" s="108" t="s">
        <v>239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22</v>
      </c>
      <c r="M326" s="26" t="s">
        <v>43</v>
      </c>
      <c r="N326" s="26" t="s">
        <v>134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33</v>
      </c>
      <c r="D327" s="59" t="s">
        <v>26</v>
      </c>
      <c r="E327" s="108" t="s">
        <v>239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23</v>
      </c>
      <c r="M327" s="33" t="s">
        <v>43</v>
      </c>
      <c r="N327" s="33" t="s">
        <v>31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33</v>
      </c>
      <c r="D328" s="59" t="s">
        <v>26</v>
      </c>
      <c r="E328" s="108" t="s">
        <v>239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22</v>
      </c>
      <c r="M328" s="26" t="s">
        <v>142</v>
      </c>
      <c r="N328" s="26" t="s">
        <v>134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33</v>
      </c>
      <c r="D329" s="59" t="s">
        <v>26</v>
      </c>
      <c r="E329" s="108" t="s">
        <v>239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22</v>
      </c>
      <c r="M329" s="33" t="s">
        <v>142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33</v>
      </c>
      <c r="D330" s="59" t="s">
        <v>26</v>
      </c>
      <c r="E330" s="108" t="s">
        <v>239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24</v>
      </c>
      <c r="M330" s="26" t="s">
        <v>130</v>
      </c>
      <c r="N330" s="26" t="s">
        <v>118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33</v>
      </c>
      <c r="D331" s="59" t="s">
        <v>26</v>
      </c>
      <c r="E331" s="108" t="s">
        <v>239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22</v>
      </c>
      <c r="M331" s="33" t="s">
        <v>142</v>
      </c>
      <c r="N331" s="33" t="s">
        <v>65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295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33</v>
      </c>
      <c r="D332" s="59" t="s">
        <v>26</v>
      </c>
      <c r="E332" s="108" t="s">
        <v>255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22</v>
      </c>
      <c r="M332" s="26" t="s">
        <v>43</v>
      </c>
      <c r="N332" s="26" t="s">
        <v>176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296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33</v>
      </c>
      <c r="D333" s="59" t="s">
        <v>26</v>
      </c>
      <c r="E333" s="108" t="s">
        <v>255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33</v>
      </c>
      <c r="D334" s="59" t="s">
        <v>26</v>
      </c>
      <c r="E334" s="108" t="s">
        <v>255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33</v>
      </c>
      <c r="D335" s="59" t="s">
        <v>26</v>
      </c>
      <c r="E335" s="108" t="s">
        <v>255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33</v>
      </c>
      <c r="D336" s="59" t="s">
        <v>26</v>
      </c>
      <c r="E336" s="108" t="s">
        <v>255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33</v>
      </c>
      <c r="D337" s="59" t="s">
        <v>26</v>
      </c>
      <c r="E337" s="108" t="s">
        <v>255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1" t="s">
        <v>240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241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25</v>
      </c>
      <c r="D339" s="62" t="s">
        <v>26</v>
      </c>
      <c r="E339" s="109" t="s">
        <v>255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23</v>
      </c>
      <c r="M339" s="33" t="s">
        <v>43</v>
      </c>
      <c r="N339" s="33" t="s">
        <v>39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25</v>
      </c>
      <c r="D340" s="62" t="s">
        <v>26</v>
      </c>
      <c r="E340" s="109" t="s">
        <v>255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23</v>
      </c>
      <c r="M340" s="26" t="s">
        <v>43</v>
      </c>
      <c r="N340" s="26" t="s">
        <v>82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25</v>
      </c>
      <c r="D341" s="62" t="s">
        <v>26</v>
      </c>
      <c r="E341" s="109" t="s">
        <v>255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24</v>
      </c>
      <c r="M341" s="33" t="s">
        <v>35</v>
      </c>
      <c r="N341" s="33" t="s">
        <v>40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288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25</v>
      </c>
      <c r="D342" s="62" t="s">
        <v>26</v>
      </c>
      <c r="E342" s="109" t="s">
        <v>255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22</v>
      </c>
      <c r="M342" s="26" t="s">
        <v>43</v>
      </c>
      <c r="N342" s="26" t="s">
        <v>171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25</v>
      </c>
      <c r="D343" s="62" t="s">
        <v>26</v>
      </c>
      <c r="E343" s="109" t="s">
        <v>255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24</v>
      </c>
      <c r="M343" s="33" t="s">
        <v>43</v>
      </c>
      <c r="N343" s="33" t="s">
        <v>201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283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25</v>
      </c>
      <c r="D344" s="62" t="s">
        <v>26</v>
      </c>
      <c r="E344" s="109" t="s">
        <v>255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22</v>
      </c>
      <c r="M344" s="26" t="s">
        <v>35</v>
      </c>
      <c r="N344" s="26" t="s">
        <v>161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25</v>
      </c>
      <c r="D345" s="62" t="s">
        <v>26</v>
      </c>
      <c r="E345" s="109" t="s">
        <v>255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22</v>
      </c>
      <c r="M345" s="33" t="s">
        <v>43</v>
      </c>
      <c r="N345" s="33" t="s">
        <v>161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25</v>
      </c>
      <c r="D346" s="62" t="s">
        <v>26</v>
      </c>
      <c r="E346" s="109" t="s">
        <v>255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21</v>
      </c>
      <c r="M346" s="26" t="s">
        <v>139</v>
      </c>
      <c r="N346" s="26" t="s">
        <v>53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25</v>
      </c>
      <c r="D347" s="62" t="s">
        <v>26</v>
      </c>
      <c r="E347" s="109" t="s">
        <v>255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21</v>
      </c>
      <c r="M347" s="33" t="s">
        <v>139</v>
      </c>
      <c r="N347" s="33" t="s">
        <v>53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25</v>
      </c>
      <c r="D348" s="62" t="s">
        <v>26</v>
      </c>
      <c r="E348" s="109" t="s">
        <v>255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25</v>
      </c>
      <c r="D349" s="62" t="s">
        <v>26</v>
      </c>
      <c r="E349" s="109" t="s">
        <v>255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25</v>
      </c>
      <c r="D350" s="62" t="s">
        <v>26</v>
      </c>
      <c r="E350" s="109" t="s">
        <v>255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1" t="s">
        <v>243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241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58" t="s">
        <v>244</v>
      </c>
      <c r="B352" s="159"/>
      <c r="C352" s="159"/>
      <c r="D352" s="159"/>
      <c r="E352" s="15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245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33</v>
      </c>
      <c r="D353" s="62" t="s">
        <v>34</v>
      </c>
      <c r="E353" s="109" t="s">
        <v>255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24</v>
      </c>
      <c r="M353" s="33" t="s">
        <v>43</v>
      </c>
      <c r="N353" s="33" t="s">
        <v>60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276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33</v>
      </c>
      <c r="D354" s="62" t="s">
        <v>34</v>
      </c>
      <c r="E354" s="109" t="s">
        <v>255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23</v>
      </c>
      <c r="M354" s="26" t="s">
        <v>35</v>
      </c>
      <c r="N354" s="26" t="s">
        <v>31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33</v>
      </c>
      <c r="D355" s="62" t="s">
        <v>34</v>
      </c>
      <c r="E355" s="109"/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33</v>
      </c>
      <c r="D356" s="62" t="s">
        <v>34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33</v>
      </c>
      <c r="D357" s="62" t="s">
        <v>34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33</v>
      </c>
      <c r="D358" s="62" t="s">
        <v>34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33</v>
      </c>
      <c r="D359" s="62" t="s">
        <v>34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33</v>
      </c>
      <c r="D360" s="62" t="s">
        <v>34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33</v>
      </c>
      <c r="D361" s="62" t="s">
        <v>34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33</v>
      </c>
      <c r="D362" s="62" t="s">
        <v>34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33</v>
      </c>
      <c r="D363" s="62" t="s">
        <v>34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33</v>
      </c>
      <c r="D364" s="62" t="s">
        <v>34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1" t="s">
        <v>240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2.7083333333333293E-2</v>
      </c>
      <c r="R365" s="36" t="s">
        <v>241</v>
      </c>
      <c r="S365" s="45"/>
      <c r="T365" s="122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1" t="s">
        <v>243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241</v>
      </c>
      <c r="S378" s="45"/>
      <c r="T378" s="122">
        <f>IFERROR(J378,"")</f>
        <v>0</v>
      </c>
    </row>
    <row r="379" spans="1:20" ht="18" customHeight="1" x14ac:dyDescent="0.25">
      <c r="A379" s="158" t="s">
        <v>244</v>
      </c>
      <c r="B379" s="159"/>
      <c r="C379" s="159"/>
      <c r="D379" s="159"/>
      <c r="E379" s="159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2.7083333333333293E-2</v>
      </c>
      <c r="R379" s="40" t="s">
        <v>245</v>
      </c>
      <c r="S379" s="143">
        <f>IFERROR(S365+S378,"")</f>
        <v>0</v>
      </c>
      <c r="T379" s="144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1" t="s">
        <v>240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241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1" t="s">
        <v>243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241</v>
      </c>
      <c r="S405" s="45"/>
      <c r="T405" s="122">
        <f>IFERROR(J405,"")</f>
        <v>0</v>
      </c>
    </row>
    <row r="406" spans="1:20" ht="18" customHeight="1" x14ac:dyDescent="0.25">
      <c r="A406" s="158" t="s">
        <v>244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245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1" t="s">
        <v>240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241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243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241</v>
      </c>
      <c r="S432" s="45"/>
      <c r="T432" s="122">
        <f>IFERROR(J432,"")</f>
        <v>0</v>
      </c>
    </row>
    <row r="433" spans="1:20" ht="18" customHeight="1" x14ac:dyDescent="0.25">
      <c r="A433" s="83" t="s">
        <v>244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245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1" t="s">
        <v>240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241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1" t="s">
        <v>243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241</v>
      </c>
      <c r="S459" s="45"/>
      <c r="T459" s="122">
        <f>IFERROR(J459,"")</f>
        <v>0</v>
      </c>
    </row>
    <row r="460" spans="1:20" ht="18" customHeight="1" x14ac:dyDescent="0.25">
      <c r="A460" s="158" t="s">
        <v>244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245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1" t="s">
        <v>240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241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1" t="s">
        <v>243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241</v>
      </c>
      <c r="S486" s="45"/>
      <c r="T486" s="122">
        <f>IFERROR(J486,"")</f>
        <v>0</v>
      </c>
    </row>
    <row r="487" spans="1:20" ht="18" customHeight="1" x14ac:dyDescent="0.25">
      <c r="A487" s="158" t="s">
        <v>244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245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1" t="s">
        <v>240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241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243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241</v>
      </c>
      <c r="S513" s="45"/>
      <c r="T513" s="122">
        <f>IFERROR(J513,"")</f>
        <v>0</v>
      </c>
    </row>
    <row r="514" spans="1:20" ht="18" customHeight="1" x14ac:dyDescent="0.25">
      <c r="A514" s="83" t="s">
        <v>244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245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1" t="s">
        <v>240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241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1" t="s">
        <v>243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241</v>
      </c>
      <c r="S540" s="45"/>
      <c r="T540" s="122">
        <f>IFERROR(J540,"")</f>
        <v>0</v>
      </c>
    </row>
    <row r="541" spans="1:20" ht="18" customHeight="1" x14ac:dyDescent="0.25">
      <c r="A541" s="158" t="s">
        <v>244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245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1" t="s">
        <v>240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241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1" t="s">
        <v>243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241</v>
      </c>
      <c r="S567" s="45"/>
      <c r="T567" s="122">
        <f>IFERROR(J567,"")</f>
        <v>0</v>
      </c>
    </row>
    <row r="568" spans="1:20" ht="18" customHeight="1" x14ac:dyDescent="0.25">
      <c r="A568" s="158" t="s">
        <v>244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245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1" t="s">
        <v>240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241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1" t="s">
        <v>243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241</v>
      </c>
      <c r="S594" s="45"/>
      <c r="T594" s="122">
        <f>IFERROR(J594,"")</f>
        <v>0</v>
      </c>
    </row>
    <row r="595" spans="1:20" ht="18" customHeight="1" x14ac:dyDescent="0.25">
      <c r="A595" s="158" t="s">
        <v>244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245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1" t="s">
        <v>240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241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1" t="s">
        <v>243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241</v>
      </c>
      <c r="S621" s="45"/>
      <c r="T621" s="122">
        <f>IFERROR(J621,"")</f>
        <v>0</v>
      </c>
    </row>
    <row r="622" spans="1:20" ht="18" customHeight="1" x14ac:dyDescent="0.25">
      <c r="A622" s="158" t="s">
        <v>244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245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1" t="s">
        <v>240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241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1" t="s">
        <v>243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241</v>
      </c>
      <c r="S648" s="45"/>
      <c r="T648" s="122">
        <f>IFERROR(J648,"")</f>
        <v>0</v>
      </c>
    </row>
    <row r="649" spans="1:20" ht="18" customHeight="1" x14ac:dyDescent="0.25">
      <c r="A649" s="158" t="s">
        <v>244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245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1" t="s">
        <v>240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241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1" t="s">
        <v>243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241</v>
      </c>
      <c r="S675" s="45"/>
      <c r="T675" s="122">
        <f>IFERROR(J675,"")</f>
        <v>0</v>
      </c>
    </row>
    <row r="676" spans="1:20" ht="18" customHeight="1" x14ac:dyDescent="0.25">
      <c r="A676" s="158" t="s">
        <v>244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245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1" t="s">
        <v>240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241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1" t="s">
        <v>243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241</v>
      </c>
      <c r="S702" s="45"/>
      <c r="T702" s="122">
        <f>IFERROR(J702,"")</f>
        <v>0</v>
      </c>
    </row>
    <row r="703" spans="1:20" ht="18" customHeight="1" x14ac:dyDescent="0.25">
      <c r="A703" s="158" t="s">
        <v>244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245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1" t="s">
        <v>240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241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1" t="s">
        <v>243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241</v>
      </c>
      <c r="S729" s="45"/>
      <c r="T729" s="122">
        <f>IFERROR(J729,"")</f>
        <v>0</v>
      </c>
    </row>
    <row r="730" spans="1:20" ht="18" customHeight="1" x14ac:dyDescent="0.25">
      <c r="A730" s="158" t="s">
        <v>244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245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1" t="s">
        <v>240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241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1" t="s">
        <v>243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241</v>
      </c>
      <c r="S756" s="39"/>
      <c r="T756" s="119">
        <f>IFERROR(J756,"")</f>
        <v>0</v>
      </c>
    </row>
    <row r="757" spans="1:20" ht="18" customHeight="1" x14ac:dyDescent="0.25">
      <c r="A757" s="158" t="s">
        <v>244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245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1" t="s">
        <v>240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241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1" t="s">
        <v>243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241</v>
      </c>
      <c r="S783" s="39"/>
      <c r="T783" s="119">
        <f>IFERROR(J783,"")</f>
        <v>0</v>
      </c>
    </row>
    <row r="784" spans="1:20" ht="18" customHeight="1" x14ac:dyDescent="0.25">
      <c r="A784" s="158" t="s">
        <v>244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245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1" t="s">
        <v>240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241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1" t="s">
        <v>243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241</v>
      </c>
      <c r="S810" s="39"/>
      <c r="T810" s="119">
        <f>IFERROR(J810,"")</f>
        <v>0</v>
      </c>
    </row>
    <row r="811" spans="1:20" ht="18" customHeight="1" x14ac:dyDescent="0.25">
      <c r="A811" s="158" t="s">
        <v>244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245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1" t="s">
        <v>240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241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1" t="s">
        <v>243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241</v>
      </c>
      <c r="S837" s="75"/>
      <c r="T837" s="117">
        <f>IFERROR(J837,"")</f>
        <v>0</v>
      </c>
    </row>
    <row r="838" spans="1:20" ht="18" customHeight="1" x14ac:dyDescent="0.25">
      <c r="A838" s="158" t="s">
        <v>244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245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4" activePane="bottomLeft" state="frozen"/>
      <selection pane="bottomLeft" activeCell="L345" sqref="L345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9</v>
      </c>
      <c r="B1" s="23" t="s">
        <v>229</v>
      </c>
      <c r="C1" s="23" t="s">
        <v>14</v>
      </c>
      <c r="D1" s="22" t="s">
        <v>15</v>
      </c>
      <c r="E1" s="22" t="s">
        <v>230</v>
      </c>
      <c r="F1" s="133" t="s">
        <v>16</v>
      </c>
      <c r="G1" s="23" t="s">
        <v>231</v>
      </c>
      <c r="H1" s="133" t="s">
        <v>265</v>
      </c>
      <c r="I1" s="133" t="s">
        <v>17</v>
      </c>
      <c r="J1" s="133" t="s">
        <v>266</v>
      </c>
      <c r="K1" s="23" t="s">
        <v>232</v>
      </c>
      <c r="L1" s="23" t="s">
        <v>18</v>
      </c>
      <c r="M1" s="23" t="s">
        <v>19</v>
      </c>
      <c r="N1" s="23" t="s">
        <v>233</v>
      </c>
      <c r="O1" s="23" t="s">
        <v>234</v>
      </c>
      <c r="P1" s="23" t="s">
        <v>235</v>
      </c>
      <c r="Q1" s="24" t="s">
        <v>236</v>
      </c>
      <c r="R1" s="23" t="s">
        <v>237</v>
      </c>
      <c r="S1" s="23" t="s">
        <v>238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49</v>
      </c>
      <c r="D2" s="59" t="s">
        <v>42</v>
      </c>
      <c r="E2" s="108" t="s">
        <v>255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/>
      <c r="N2" s="26" t="s">
        <v>78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49</v>
      </c>
      <c r="D3" s="59" t="s">
        <v>42</v>
      </c>
      <c r="E3" s="108" t="s">
        <v>255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23</v>
      </c>
      <c r="M3" s="33" t="s">
        <v>51</v>
      </c>
      <c r="N3" s="33" t="s">
        <v>31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49</v>
      </c>
      <c r="D4" s="59" t="s">
        <v>42</v>
      </c>
      <c r="E4" s="108" t="s">
        <v>255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49</v>
      </c>
      <c r="D5" s="59" t="s">
        <v>42</v>
      </c>
      <c r="E5" s="108" t="s">
        <v>255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49</v>
      </c>
      <c r="D6" s="59" t="s">
        <v>42</v>
      </c>
      <c r="E6" s="108" t="s">
        <v>255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49</v>
      </c>
      <c r="D7" s="59" t="s">
        <v>42</v>
      </c>
      <c r="E7" s="108" t="s">
        <v>255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49</v>
      </c>
      <c r="D8" s="59" t="s">
        <v>42</v>
      </c>
      <c r="E8" s="108" t="s">
        <v>255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49</v>
      </c>
      <c r="D9" s="59" t="s">
        <v>42</v>
      </c>
      <c r="E9" s="108" t="s">
        <v>255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49</v>
      </c>
      <c r="D10" s="59" t="s">
        <v>42</v>
      </c>
      <c r="E10" s="108" t="s">
        <v>255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49</v>
      </c>
      <c r="D11" s="59" t="s">
        <v>42</v>
      </c>
      <c r="E11" s="108" t="s">
        <v>255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49</v>
      </c>
      <c r="D12" s="59" t="s">
        <v>42</v>
      </c>
      <c r="E12" s="108" t="s">
        <v>255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49</v>
      </c>
      <c r="D13" s="59" t="s">
        <v>42</v>
      </c>
      <c r="E13" s="108" t="s">
        <v>255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1" t="s">
        <v>240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241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33</v>
      </c>
      <c r="D15" s="62" t="s">
        <v>34</v>
      </c>
      <c r="E15" s="109" t="s">
        <v>255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23</v>
      </c>
      <c r="M15" s="33" t="s">
        <v>51</v>
      </c>
      <c r="N15" s="33" t="s">
        <v>59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297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33</v>
      </c>
      <c r="D16" s="62" t="s">
        <v>42</v>
      </c>
      <c r="E16" s="109" t="s">
        <v>255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21</v>
      </c>
      <c r="M16" s="26" t="s">
        <v>139</v>
      </c>
      <c r="N16" s="26" t="s">
        <v>53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33</v>
      </c>
      <c r="D17" s="62" t="s">
        <v>42</v>
      </c>
      <c r="E17" s="109" t="s">
        <v>255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24</v>
      </c>
      <c r="M17" s="33" t="s">
        <v>162</v>
      </c>
      <c r="N17" s="33" t="s">
        <v>78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33</v>
      </c>
      <c r="D18" s="62" t="s">
        <v>42</v>
      </c>
      <c r="E18" s="109" t="s">
        <v>255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21</v>
      </c>
      <c r="M18" s="26" t="s">
        <v>139</v>
      </c>
      <c r="N18" s="26" t="s">
        <v>53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33</v>
      </c>
      <c r="D19" s="62" t="s">
        <v>42</v>
      </c>
      <c r="E19" s="109" t="s">
        <v>255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24</v>
      </c>
      <c r="M19" s="33"/>
      <c r="N19" s="33" t="s">
        <v>166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298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33</v>
      </c>
      <c r="D20" s="62" t="s">
        <v>42</v>
      </c>
      <c r="E20" s="109" t="s">
        <v>255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33</v>
      </c>
      <c r="D21" s="62" t="s">
        <v>42</v>
      </c>
      <c r="E21" s="109" t="s">
        <v>255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33</v>
      </c>
      <c r="D22" s="62" t="s">
        <v>42</v>
      </c>
      <c r="E22" s="109" t="s">
        <v>255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33</v>
      </c>
      <c r="D23" s="62" t="s">
        <v>42</v>
      </c>
      <c r="E23" s="109" t="s">
        <v>255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33</v>
      </c>
      <c r="D24" s="62" t="s">
        <v>42</v>
      </c>
      <c r="E24" s="109" t="s">
        <v>255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33</v>
      </c>
      <c r="D25" s="62" t="s">
        <v>50</v>
      </c>
      <c r="E25" s="109" t="s">
        <v>255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33</v>
      </c>
      <c r="D26" s="62" t="s">
        <v>50</v>
      </c>
      <c r="E26" s="109" t="s">
        <v>255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1" t="s">
        <v>243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241</v>
      </c>
      <c r="S27" s="39">
        <v>358000</v>
      </c>
      <c r="T27" s="119">
        <f>IFERROR(J27,"")</f>
        <v>0</v>
      </c>
    </row>
    <row r="28" spans="1:20" ht="18" customHeight="1" x14ac:dyDescent="0.25">
      <c r="A28" s="158" t="s">
        <v>244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245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49</v>
      </c>
      <c r="D29" s="59" t="s">
        <v>26</v>
      </c>
      <c r="E29" s="108" t="s">
        <v>255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23</v>
      </c>
      <c r="M29" s="33" t="s">
        <v>51</v>
      </c>
      <c r="N29" s="33" t="s">
        <v>31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49</v>
      </c>
      <c r="D30" s="59" t="s">
        <v>26</v>
      </c>
      <c r="E30" s="108" t="s">
        <v>255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49</v>
      </c>
      <c r="D31" s="59" t="s">
        <v>26</v>
      </c>
      <c r="E31" s="108" t="s">
        <v>255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49</v>
      </c>
      <c r="D32" s="59" t="s">
        <v>26</v>
      </c>
      <c r="E32" s="108" t="s">
        <v>255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49</v>
      </c>
      <c r="D33" s="59" t="s">
        <v>26</v>
      </c>
      <c r="E33" s="108" t="s">
        <v>255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49</v>
      </c>
      <c r="D34" s="59" t="s">
        <v>26</v>
      </c>
      <c r="E34" s="108" t="s">
        <v>255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49</v>
      </c>
      <c r="D35" s="59" t="s">
        <v>26</v>
      </c>
      <c r="E35" s="108" t="s">
        <v>255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49</v>
      </c>
      <c r="D36" s="59" t="s">
        <v>26</v>
      </c>
      <c r="E36" s="108" t="s">
        <v>255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49</v>
      </c>
      <c r="D37" s="59" t="s">
        <v>26</v>
      </c>
      <c r="E37" s="108" t="s">
        <v>255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49</v>
      </c>
      <c r="D38" s="59" t="s">
        <v>26</v>
      </c>
      <c r="E38" s="108" t="s">
        <v>255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49</v>
      </c>
      <c r="D39" s="59" t="s">
        <v>26</v>
      </c>
      <c r="E39" s="108" t="s">
        <v>255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49</v>
      </c>
      <c r="D40" s="59" t="s">
        <v>26</v>
      </c>
      <c r="E40" s="108" t="s">
        <v>255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1" t="s">
        <v>240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241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33</v>
      </c>
      <c r="D42" s="62" t="s">
        <v>26</v>
      </c>
      <c r="E42" s="109" t="s">
        <v>255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24</v>
      </c>
      <c r="M42" s="26" t="s">
        <v>51</v>
      </c>
      <c r="N42" s="26" t="s">
        <v>172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33</v>
      </c>
      <c r="D43" s="62" t="s">
        <v>26</v>
      </c>
      <c r="E43" s="109" t="s">
        <v>255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24</v>
      </c>
      <c r="M43" s="33" t="s">
        <v>51</v>
      </c>
      <c r="N43" s="33" t="s">
        <v>60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297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33</v>
      </c>
      <c r="D44" s="62" t="s">
        <v>26</v>
      </c>
      <c r="E44" s="109" t="s">
        <v>255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24</v>
      </c>
      <c r="M44" s="26" t="s">
        <v>51</v>
      </c>
      <c r="N44" s="26" t="s">
        <v>55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33</v>
      </c>
      <c r="D45" s="62" t="s">
        <v>26</v>
      </c>
      <c r="E45" s="109" t="s">
        <v>255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24</v>
      </c>
      <c r="M45" s="33" t="s">
        <v>51</v>
      </c>
      <c r="N45" s="33" t="s">
        <v>55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33</v>
      </c>
      <c r="D46" s="62" t="s">
        <v>26</v>
      </c>
      <c r="E46" s="109" t="s">
        <v>255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24</v>
      </c>
      <c r="M46" s="26" t="s">
        <v>51</v>
      </c>
      <c r="N46" s="26" t="s">
        <v>55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33</v>
      </c>
      <c r="D47" s="62" t="s">
        <v>26</v>
      </c>
      <c r="E47" s="109" t="s">
        <v>255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24</v>
      </c>
      <c r="M47" s="33" t="s">
        <v>51</v>
      </c>
      <c r="N47" s="33" t="s">
        <v>55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33</v>
      </c>
      <c r="D48" s="62" t="s">
        <v>26</v>
      </c>
      <c r="E48" s="109" t="s">
        <v>255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24</v>
      </c>
      <c r="M48" s="26" t="s">
        <v>51</v>
      </c>
      <c r="N48" s="26" t="s">
        <v>55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33</v>
      </c>
      <c r="D49" s="62" t="s">
        <v>26</v>
      </c>
      <c r="E49" s="109" t="s">
        <v>255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24</v>
      </c>
      <c r="M49" s="33" t="s">
        <v>51</v>
      </c>
      <c r="N49" s="33" t="s">
        <v>55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33</v>
      </c>
      <c r="D50" s="62" t="s">
        <v>26</v>
      </c>
      <c r="E50" s="109" t="s">
        <v>255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23</v>
      </c>
      <c r="M50" s="26" t="s">
        <v>51</v>
      </c>
      <c r="N50" s="26" t="s">
        <v>31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297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33</v>
      </c>
      <c r="D51" s="62" t="s">
        <v>26</v>
      </c>
      <c r="E51" s="109" t="s">
        <v>255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24</v>
      </c>
      <c r="M51" s="33" t="s">
        <v>162</v>
      </c>
      <c r="N51" s="33" t="s">
        <v>78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33</v>
      </c>
      <c r="D52" s="62" t="s">
        <v>26</v>
      </c>
      <c r="E52" s="109" t="s">
        <v>255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20</v>
      </c>
      <c r="M52" s="26" t="s">
        <v>51</v>
      </c>
      <c r="N52" s="26" t="s">
        <v>36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33</v>
      </c>
      <c r="D53" s="62" t="s">
        <v>26</v>
      </c>
      <c r="E53" s="109" t="s">
        <v>255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24</v>
      </c>
      <c r="M53" s="33" t="s">
        <v>51</v>
      </c>
      <c r="N53" s="33" t="s">
        <v>138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1" t="s">
        <v>243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241</v>
      </c>
      <c r="S54" s="39">
        <v>279980</v>
      </c>
      <c r="T54" s="119">
        <f>IFERROR(J54,"")</f>
        <v>0</v>
      </c>
    </row>
    <row r="55" spans="1:20" ht="18" customHeight="1" x14ac:dyDescent="0.25">
      <c r="A55" s="158" t="s">
        <v>244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245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49</v>
      </c>
      <c r="D56" s="59" t="s">
        <v>42</v>
      </c>
      <c r="E56" s="108" t="s">
        <v>255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24</v>
      </c>
      <c r="M56" s="26" t="s">
        <v>127</v>
      </c>
      <c r="N56" s="26" t="s">
        <v>118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49</v>
      </c>
      <c r="D57" s="59" t="s">
        <v>50</v>
      </c>
      <c r="E57" s="108" t="s">
        <v>255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24</v>
      </c>
      <c r="M57" s="33" t="s">
        <v>127</v>
      </c>
      <c r="N57" s="26" t="s">
        <v>118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49</v>
      </c>
      <c r="D58" s="59" t="s">
        <v>50</v>
      </c>
      <c r="E58" s="108" t="s">
        <v>255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24</v>
      </c>
      <c r="M58" s="26" t="s">
        <v>51</v>
      </c>
      <c r="N58" s="26" t="s">
        <v>55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49</v>
      </c>
      <c r="D59" s="59" t="s">
        <v>50</v>
      </c>
      <c r="E59" s="108" t="s">
        <v>255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24</v>
      </c>
      <c r="M59" s="33" t="s">
        <v>51</v>
      </c>
      <c r="N59" s="26" t="s">
        <v>55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49</v>
      </c>
      <c r="D60" s="59" t="s">
        <v>50</v>
      </c>
      <c r="E60" s="108" t="s">
        <v>255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24</v>
      </c>
      <c r="M60" s="26" t="s">
        <v>127</v>
      </c>
      <c r="N60" s="26" t="s">
        <v>118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49</v>
      </c>
      <c r="D61" s="59" t="s">
        <v>50</v>
      </c>
      <c r="E61" s="108" t="s">
        <v>255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24</v>
      </c>
      <c r="M61" s="33" t="s">
        <v>51</v>
      </c>
      <c r="N61" s="33" t="s">
        <v>55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49</v>
      </c>
      <c r="D62" s="59" t="s">
        <v>50</v>
      </c>
      <c r="E62" s="108" t="s">
        <v>255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22</v>
      </c>
      <c r="M62" s="26"/>
      <c r="N62" s="26" t="s">
        <v>134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299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49</v>
      </c>
      <c r="D63" s="59" t="s">
        <v>50</v>
      </c>
      <c r="E63" s="108" t="s">
        <v>255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49</v>
      </c>
      <c r="D64" s="59" t="s">
        <v>50</v>
      </c>
      <c r="E64" s="108" t="s">
        <v>255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49</v>
      </c>
      <c r="D65" s="59" t="s">
        <v>50</v>
      </c>
      <c r="E65" s="108" t="s">
        <v>255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49</v>
      </c>
      <c r="D66" s="59" t="s">
        <v>50</v>
      </c>
      <c r="E66" s="108" t="s">
        <v>255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49</v>
      </c>
      <c r="D67" s="59" t="s">
        <v>50</v>
      </c>
      <c r="E67" s="108" t="s">
        <v>255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1" t="s">
        <v>240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241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33</v>
      </c>
      <c r="D69" s="62" t="s">
        <v>42</v>
      </c>
      <c r="E69" s="109" t="s">
        <v>255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24</v>
      </c>
      <c r="M69" s="33" t="s">
        <v>51</v>
      </c>
      <c r="N69" s="33" t="s">
        <v>60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300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33</v>
      </c>
      <c r="D70" s="62" t="s">
        <v>42</v>
      </c>
      <c r="E70" s="109" t="s">
        <v>255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24</v>
      </c>
      <c r="M70" s="26" t="s">
        <v>153</v>
      </c>
      <c r="N70" s="26" t="s">
        <v>190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33</v>
      </c>
      <c r="D71" s="62" t="s">
        <v>42</v>
      </c>
      <c r="E71" s="109" t="s">
        <v>255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162</v>
      </c>
      <c r="N71" s="33" t="s">
        <v>78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33</v>
      </c>
      <c r="D72" s="62" t="s">
        <v>42</v>
      </c>
      <c r="E72" s="109" t="s">
        <v>255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24</v>
      </c>
      <c r="M72" s="26" t="s">
        <v>162</v>
      </c>
      <c r="N72" s="26" t="s">
        <v>78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33</v>
      </c>
      <c r="D73" s="62" t="s">
        <v>42</v>
      </c>
      <c r="E73" s="109" t="s">
        <v>255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24</v>
      </c>
      <c r="M73" s="33" t="s">
        <v>162</v>
      </c>
      <c r="N73" s="33" t="s">
        <v>78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33</v>
      </c>
      <c r="D74" s="62" t="s">
        <v>42</v>
      </c>
      <c r="E74" s="109" t="s">
        <v>255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33</v>
      </c>
      <c r="D75" s="62" t="s">
        <v>42</v>
      </c>
      <c r="E75" s="109" t="s">
        <v>255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33</v>
      </c>
      <c r="D76" s="62" t="s">
        <v>42</v>
      </c>
      <c r="E76" s="109" t="s">
        <v>255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33</v>
      </c>
      <c r="D77" s="62" t="s">
        <v>42</v>
      </c>
      <c r="E77" s="109" t="s">
        <v>255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33</v>
      </c>
      <c r="D78" s="62" t="s">
        <v>42</v>
      </c>
      <c r="E78" s="109" t="s">
        <v>255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33</v>
      </c>
      <c r="D79" s="62" t="s">
        <v>34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33</v>
      </c>
      <c r="D80" s="62" t="s">
        <v>34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1" t="s">
        <v>243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241</v>
      </c>
      <c r="S81" s="39">
        <v>185920</v>
      </c>
      <c r="T81" s="119">
        <f>IFERROR(J81,"")</f>
        <v>0</v>
      </c>
    </row>
    <row r="82" spans="1:20" ht="18" customHeight="1" x14ac:dyDescent="0.25">
      <c r="A82" s="158" t="s">
        <v>244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245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49</v>
      </c>
      <c r="D83" s="59" t="s">
        <v>34</v>
      </c>
      <c r="E83" s="108" t="s">
        <v>255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24</v>
      </c>
      <c r="M83" s="33" t="s">
        <v>51</v>
      </c>
      <c r="N83" s="33" t="s">
        <v>60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301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49</v>
      </c>
      <c r="D84" s="59" t="s">
        <v>34</v>
      </c>
      <c r="E84" s="108" t="s">
        <v>255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22</v>
      </c>
      <c r="M84" s="26" t="s">
        <v>142</v>
      </c>
      <c r="N84" s="26" t="s">
        <v>122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302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49</v>
      </c>
      <c r="D85" s="59" t="s">
        <v>34</v>
      </c>
      <c r="E85" s="108" t="s">
        <v>255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49</v>
      </c>
      <c r="D86" s="59" t="s">
        <v>34</v>
      </c>
      <c r="E86" s="108" t="s">
        <v>255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49</v>
      </c>
      <c r="D87" s="59" t="s">
        <v>34</v>
      </c>
      <c r="E87" s="108" t="s">
        <v>255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49</v>
      </c>
      <c r="D88" s="59" t="s">
        <v>34</v>
      </c>
      <c r="E88" s="108" t="s">
        <v>255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49</v>
      </c>
      <c r="D89" s="59" t="s">
        <v>34</v>
      </c>
      <c r="E89" s="108" t="s">
        <v>255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49</v>
      </c>
      <c r="D90" s="59" t="s">
        <v>34</v>
      </c>
      <c r="E90" s="108" t="s">
        <v>255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49</v>
      </c>
      <c r="D91" s="59" t="s">
        <v>34</v>
      </c>
      <c r="E91" s="108" t="s">
        <v>255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49</v>
      </c>
      <c r="D92" s="59" t="s">
        <v>34</v>
      </c>
      <c r="E92" s="108" t="s">
        <v>255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49</v>
      </c>
      <c r="D93" s="59" t="s">
        <v>34</v>
      </c>
      <c r="E93" s="108" t="s">
        <v>255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49</v>
      </c>
      <c r="D94" s="59" t="s">
        <v>34</v>
      </c>
      <c r="E94" s="108" t="s">
        <v>255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1" t="s">
        <v>240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241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33</v>
      </c>
      <c r="D96" s="62" t="s">
        <v>34</v>
      </c>
      <c r="E96" s="109" t="s">
        <v>255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22</v>
      </c>
      <c r="M96" s="26" t="s">
        <v>142</v>
      </c>
      <c r="N96" s="26" t="s">
        <v>122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33</v>
      </c>
      <c r="D97" s="62" t="s">
        <v>34</v>
      </c>
      <c r="E97" s="109" t="s">
        <v>255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22</v>
      </c>
      <c r="M97" s="33" t="s">
        <v>142</v>
      </c>
      <c r="N97" s="33" t="s">
        <v>122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303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33</v>
      </c>
      <c r="D98" s="62" t="s">
        <v>34</v>
      </c>
      <c r="E98" s="109" t="s">
        <v>255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23</v>
      </c>
      <c r="M98" s="26" t="s">
        <v>51</v>
      </c>
      <c r="N98" s="26" t="s">
        <v>31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33</v>
      </c>
      <c r="D99" s="62" t="s">
        <v>34</v>
      </c>
      <c r="E99" s="109" t="s">
        <v>255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24</v>
      </c>
      <c r="M99" s="33" t="s">
        <v>162</v>
      </c>
      <c r="N99" s="33" t="s">
        <v>78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33</v>
      </c>
      <c r="D100" s="62" t="s">
        <v>34</v>
      </c>
      <c r="E100" s="109" t="s">
        <v>255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33</v>
      </c>
      <c r="D101" s="62" t="s">
        <v>34</v>
      </c>
      <c r="E101" s="109" t="s">
        <v>255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33</v>
      </c>
      <c r="D102" s="62" t="s">
        <v>34</v>
      </c>
      <c r="E102" s="109" t="s">
        <v>255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33</v>
      </c>
      <c r="D103" s="62" t="s">
        <v>34</v>
      </c>
      <c r="E103" s="109" t="s">
        <v>255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33</v>
      </c>
      <c r="D104" s="62" t="s">
        <v>34</v>
      </c>
      <c r="E104" s="109" t="s">
        <v>255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33</v>
      </c>
      <c r="D105" s="62" t="s">
        <v>34</v>
      </c>
      <c r="E105" s="109" t="s">
        <v>255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33</v>
      </c>
      <c r="D106" s="62" t="s">
        <v>34</v>
      </c>
      <c r="E106" s="109" t="s">
        <v>255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33</v>
      </c>
      <c r="D107" s="62" t="s">
        <v>34</v>
      </c>
      <c r="E107" s="109" t="s">
        <v>255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1" t="s">
        <v>243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241</v>
      </c>
      <c r="S108" s="39">
        <v>434370</v>
      </c>
      <c r="T108" s="119">
        <f>IFERROR(J108,"")</f>
        <v>0</v>
      </c>
    </row>
    <row r="109" spans="1:20" ht="18" customHeight="1" x14ac:dyDescent="0.25">
      <c r="A109" s="158" t="s">
        <v>244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245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49</v>
      </c>
      <c r="D110" s="59" t="s">
        <v>34</v>
      </c>
      <c r="E110" s="108" t="s">
        <v>255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49</v>
      </c>
      <c r="D111" s="59" t="s">
        <v>34</v>
      </c>
      <c r="E111" s="108" t="s">
        <v>255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49</v>
      </c>
      <c r="D112" s="59" t="s">
        <v>34</v>
      </c>
      <c r="E112" s="108" t="s">
        <v>255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49</v>
      </c>
      <c r="D113" s="59" t="s">
        <v>34</v>
      </c>
      <c r="E113" s="108" t="s">
        <v>255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49</v>
      </c>
      <c r="D114" s="59" t="s">
        <v>34</v>
      </c>
      <c r="E114" s="108" t="s">
        <v>255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49</v>
      </c>
      <c r="D115" s="59" t="s">
        <v>34</v>
      </c>
      <c r="E115" s="108" t="s">
        <v>255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49</v>
      </c>
      <c r="D116" s="59" t="s">
        <v>34</v>
      </c>
      <c r="E116" s="108" t="s">
        <v>255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49</v>
      </c>
      <c r="D117" s="59" t="s">
        <v>34</v>
      </c>
      <c r="E117" s="108" t="s">
        <v>255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49</v>
      </c>
      <c r="D118" s="59" t="s">
        <v>34</v>
      </c>
      <c r="E118" s="108" t="s">
        <v>255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49</v>
      </c>
      <c r="D119" s="59" t="s">
        <v>34</v>
      </c>
      <c r="E119" s="108" t="s">
        <v>255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49</v>
      </c>
      <c r="D120" s="59" t="s">
        <v>34</v>
      </c>
      <c r="E120" s="108" t="s">
        <v>255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49</v>
      </c>
      <c r="D121" s="59" t="s">
        <v>34</v>
      </c>
      <c r="E121" s="108" t="s">
        <v>255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1" t="s">
        <v>240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241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33</v>
      </c>
      <c r="D123" s="62" t="s">
        <v>34</v>
      </c>
      <c r="E123" s="109" t="s">
        <v>255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24</v>
      </c>
      <c r="M123" s="33" t="s">
        <v>162</v>
      </c>
      <c r="N123" s="33" t="s">
        <v>78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33</v>
      </c>
      <c r="D124" s="62" t="s">
        <v>34</v>
      </c>
      <c r="E124" s="109" t="s">
        <v>255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24</v>
      </c>
      <c r="M124" s="26" t="s">
        <v>162</v>
      </c>
      <c r="N124" s="26" t="s">
        <v>78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33</v>
      </c>
      <c r="D125" s="62" t="s">
        <v>34</v>
      </c>
      <c r="E125" s="109" t="s">
        <v>255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24</v>
      </c>
      <c r="M125" s="33" t="s">
        <v>51</v>
      </c>
      <c r="N125" s="33" t="s">
        <v>60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304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33</v>
      </c>
      <c r="D126" s="62" t="s">
        <v>34</v>
      </c>
      <c r="E126" s="109" t="s">
        <v>255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23</v>
      </c>
      <c r="M126" s="26" t="s">
        <v>51</v>
      </c>
      <c r="N126" s="26" t="s">
        <v>31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33</v>
      </c>
      <c r="D127" s="62" t="s">
        <v>34</v>
      </c>
      <c r="E127" s="109" t="s">
        <v>255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21</v>
      </c>
      <c r="M127" s="33" t="s">
        <v>139</v>
      </c>
      <c r="N127" s="33" t="s">
        <v>53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33</v>
      </c>
      <c r="D128" s="62" t="s">
        <v>34</v>
      </c>
      <c r="E128" s="109" t="s">
        <v>255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24</v>
      </c>
      <c r="M128" s="26" t="s">
        <v>51</v>
      </c>
      <c r="N128" s="26" t="s">
        <v>40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33</v>
      </c>
      <c r="D129" s="62" t="s">
        <v>34</v>
      </c>
      <c r="E129" s="109" t="s">
        <v>255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24</v>
      </c>
      <c r="M129" s="33"/>
      <c r="N129" s="33" t="s">
        <v>135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33</v>
      </c>
      <c r="D130" s="62" t="s">
        <v>34</v>
      </c>
      <c r="E130" s="109" t="s">
        <v>255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24</v>
      </c>
      <c r="M130" s="26" t="s">
        <v>51</v>
      </c>
      <c r="N130" s="26" t="s">
        <v>55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33</v>
      </c>
      <c r="D131" s="62" t="s">
        <v>34</v>
      </c>
      <c r="E131" s="109" t="s">
        <v>255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24</v>
      </c>
      <c r="M131" s="33"/>
      <c r="N131" s="33" t="s">
        <v>203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33</v>
      </c>
      <c r="D132" s="62" t="s">
        <v>34</v>
      </c>
      <c r="E132" s="109" t="s">
        <v>255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33</v>
      </c>
      <c r="D133" s="62" t="s">
        <v>34</v>
      </c>
      <c r="E133" s="109" t="s">
        <v>255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33</v>
      </c>
      <c r="D134" s="62" t="s">
        <v>34</v>
      </c>
      <c r="E134" s="109" t="s">
        <v>255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1" t="s">
        <v>243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241</v>
      </c>
      <c r="S135" s="39">
        <v>416350</v>
      </c>
      <c r="T135" s="119">
        <f>IFERROR(J135,"")</f>
        <v>0</v>
      </c>
    </row>
    <row r="136" spans="1:20" ht="18" customHeight="1" x14ac:dyDescent="0.25">
      <c r="A136" s="158" t="s">
        <v>244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245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25</v>
      </c>
      <c r="D137" s="62" t="s">
        <v>34</v>
      </c>
      <c r="E137" s="109" t="s">
        <v>255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23</v>
      </c>
      <c r="M137" s="33" t="s">
        <v>51</v>
      </c>
      <c r="N137" s="33" t="s">
        <v>31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305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25</v>
      </c>
      <c r="D138" s="62" t="s">
        <v>34</v>
      </c>
      <c r="E138" s="109" t="s">
        <v>255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20</v>
      </c>
      <c r="M138" s="26" t="s">
        <v>51</v>
      </c>
      <c r="N138" s="26" t="s">
        <v>114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25</v>
      </c>
      <c r="D139" s="62" t="s">
        <v>42</v>
      </c>
      <c r="E139" s="109" t="s">
        <v>255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24</v>
      </c>
      <c r="M139" s="33" t="s">
        <v>51</v>
      </c>
      <c r="N139" s="33" t="s">
        <v>209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25</v>
      </c>
      <c r="D140" s="62" t="s">
        <v>42</v>
      </c>
      <c r="E140" s="109" t="s">
        <v>255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24</v>
      </c>
      <c r="M140" s="26" t="s">
        <v>142</v>
      </c>
      <c r="N140" s="26" t="s">
        <v>78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25</v>
      </c>
      <c r="D141" s="62" t="s">
        <v>42</v>
      </c>
      <c r="E141" s="109" t="s">
        <v>255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24</v>
      </c>
      <c r="M141" s="33" t="s">
        <v>51</v>
      </c>
      <c r="N141" s="33" t="s">
        <v>55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25</v>
      </c>
      <c r="D142" s="62" t="s">
        <v>42</v>
      </c>
      <c r="E142" s="109" t="s">
        <v>255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25</v>
      </c>
      <c r="D143" s="62" t="s">
        <v>42</v>
      </c>
      <c r="E143" s="109" t="s">
        <v>255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25</v>
      </c>
      <c r="D144" s="62" t="s">
        <v>42</v>
      </c>
      <c r="E144" s="109" t="s">
        <v>255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25</v>
      </c>
      <c r="D145" s="62" t="s">
        <v>42</v>
      </c>
      <c r="E145" s="109" t="s">
        <v>255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25</v>
      </c>
      <c r="D146" s="62" t="s">
        <v>42</v>
      </c>
      <c r="E146" s="109" t="s">
        <v>255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25</v>
      </c>
      <c r="D147" s="62" t="s">
        <v>42</v>
      </c>
      <c r="E147" s="109" t="s">
        <v>255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25</v>
      </c>
      <c r="D148" s="62" t="s">
        <v>42</v>
      </c>
      <c r="E148" s="109" t="s">
        <v>255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1" t="s">
        <v>240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241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49</v>
      </c>
      <c r="D150" s="59" t="s">
        <v>42</v>
      </c>
      <c r="E150" s="108" t="s">
        <v>255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24</v>
      </c>
      <c r="M150" s="26" t="s">
        <v>142</v>
      </c>
      <c r="N150" s="26" t="s">
        <v>78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49</v>
      </c>
      <c r="D151" s="59" t="s">
        <v>42</v>
      </c>
      <c r="E151" s="108" t="s">
        <v>255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24</v>
      </c>
      <c r="M151" s="33" t="s">
        <v>51</v>
      </c>
      <c r="N151" s="33" t="s">
        <v>60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49</v>
      </c>
      <c r="D152" s="59" t="s">
        <v>42</v>
      </c>
      <c r="E152" s="108" t="s">
        <v>255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24</v>
      </c>
      <c r="M152" s="26" t="s">
        <v>51</v>
      </c>
      <c r="N152" s="26" t="s">
        <v>40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49</v>
      </c>
      <c r="D153" s="59" t="s">
        <v>42</v>
      </c>
      <c r="E153" s="108" t="s">
        <v>255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24</v>
      </c>
      <c r="M153" s="33" t="s">
        <v>51</v>
      </c>
      <c r="N153" s="33" t="s">
        <v>40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49</v>
      </c>
      <c r="D154" s="59" t="s">
        <v>42</v>
      </c>
      <c r="E154" s="108" t="s">
        <v>255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49</v>
      </c>
      <c r="D155" s="59" t="s">
        <v>42</v>
      </c>
      <c r="E155" s="108" t="s">
        <v>255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49</v>
      </c>
      <c r="D156" s="59" t="s">
        <v>42</v>
      </c>
      <c r="E156" s="108" t="s">
        <v>255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49</v>
      </c>
      <c r="D157" s="59" t="s">
        <v>42</v>
      </c>
      <c r="E157" s="108" t="s">
        <v>255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49</v>
      </c>
      <c r="D158" s="59" t="s">
        <v>42</v>
      </c>
      <c r="E158" s="108" t="s">
        <v>255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49</v>
      </c>
      <c r="D159" s="59" t="s">
        <v>42</v>
      </c>
      <c r="E159" s="108" t="s">
        <v>255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49</v>
      </c>
      <c r="D160" s="59" t="s">
        <v>42</v>
      </c>
      <c r="E160" s="108" t="s">
        <v>255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49</v>
      </c>
      <c r="D161" s="59" t="s">
        <v>42</v>
      </c>
      <c r="E161" s="108" t="s">
        <v>255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1" t="s">
        <v>243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241</v>
      </c>
      <c r="S162" s="39">
        <v>169760</v>
      </c>
      <c r="T162" s="119">
        <f>IFERROR(J162,"")</f>
        <v>0</v>
      </c>
    </row>
    <row r="163" spans="1:20" ht="18" customHeight="1" x14ac:dyDescent="0.25">
      <c r="A163" s="158" t="s">
        <v>244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245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25</v>
      </c>
      <c r="D164" s="59" t="s">
        <v>42</v>
      </c>
      <c r="E164" s="108" t="s">
        <v>255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24</v>
      </c>
      <c r="M164" s="26" t="s">
        <v>51</v>
      </c>
      <c r="N164" s="26" t="s">
        <v>55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25</v>
      </c>
      <c r="D165" s="59" t="s">
        <v>42</v>
      </c>
      <c r="E165" s="108" t="s">
        <v>255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24</v>
      </c>
      <c r="M165" s="33" t="s">
        <v>51</v>
      </c>
      <c r="N165" s="33" t="s">
        <v>55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25</v>
      </c>
      <c r="D166" s="59" t="s">
        <v>42</v>
      </c>
      <c r="E166" s="108" t="s">
        <v>255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24</v>
      </c>
      <c r="M166" s="26" t="s">
        <v>51</v>
      </c>
      <c r="N166" s="26" t="s">
        <v>55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306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25</v>
      </c>
      <c r="D167" s="59" t="s">
        <v>42</v>
      </c>
      <c r="E167" s="108" t="s">
        <v>255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24</v>
      </c>
      <c r="M167" s="33" t="s">
        <v>51</v>
      </c>
      <c r="N167" s="33" t="s">
        <v>55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25</v>
      </c>
      <c r="D168" s="59" t="s">
        <v>42</v>
      </c>
      <c r="E168" s="108" t="s">
        <v>255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24</v>
      </c>
      <c r="M168" s="26" t="s">
        <v>51</v>
      </c>
      <c r="N168" s="26" t="s">
        <v>55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25</v>
      </c>
      <c r="D169" s="59" t="s">
        <v>42</v>
      </c>
      <c r="E169" s="108" t="s">
        <v>255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24</v>
      </c>
      <c r="M169" s="33" t="s">
        <v>51</v>
      </c>
      <c r="N169" s="33" t="s">
        <v>55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25</v>
      </c>
      <c r="D170" s="59" t="s">
        <v>42</v>
      </c>
      <c r="E170" s="108" t="s">
        <v>255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24</v>
      </c>
      <c r="M170" s="26" t="s">
        <v>51</v>
      </c>
      <c r="N170" s="26" t="s">
        <v>55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25</v>
      </c>
      <c r="D171" s="59" t="s">
        <v>42</v>
      </c>
      <c r="E171" s="108" t="s">
        <v>255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24</v>
      </c>
      <c r="M171" s="33" t="s">
        <v>51</v>
      </c>
      <c r="N171" s="33" t="s">
        <v>55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25</v>
      </c>
      <c r="D172" s="59" t="s">
        <v>42</v>
      </c>
      <c r="E172" s="108" t="s">
        <v>255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24</v>
      </c>
      <c r="M172" s="26" t="s">
        <v>162</v>
      </c>
      <c r="N172" s="26" t="s">
        <v>78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25</v>
      </c>
      <c r="D173" s="59" t="s">
        <v>42</v>
      </c>
      <c r="E173" s="108" t="s">
        <v>255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24</v>
      </c>
      <c r="M173" s="33" t="s">
        <v>162</v>
      </c>
      <c r="N173" s="33" t="s">
        <v>78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25</v>
      </c>
      <c r="D174" s="59" t="s">
        <v>42</v>
      </c>
      <c r="E174" s="108" t="s">
        <v>255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25</v>
      </c>
      <c r="D175" s="59" t="s">
        <v>42</v>
      </c>
      <c r="E175" s="108" t="s">
        <v>255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1" t="s">
        <v>240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241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49</v>
      </c>
      <c r="D177" s="62" t="s">
        <v>42</v>
      </c>
      <c r="E177" s="109" t="s">
        <v>255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23</v>
      </c>
      <c r="M177" s="33" t="s">
        <v>51</v>
      </c>
      <c r="N177" s="33" t="s">
        <v>39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49</v>
      </c>
      <c r="D178" s="62" t="s">
        <v>42</v>
      </c>
      <c r="E178" s="109" t="s">
        <v>255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24</v>
      </c>
      <c r="M178" s="26" t="s">
        <v>153</v>
      </c>
      <c r="N178" s="26" t="s">
        <v>138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49</v>
      </c>
      <c r="D179" s="62" t="s">
        <v>42</v>
      </c>
      <c r="E179" s="109" t="s">
        <v>255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24</v>
      </c>
      <c r="M179" s="33" t="s">
        <v>51</v>
      </c>
      <c r="N179" s="33" t="s">
        <v>60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307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49</v>
      </c>
      <c r="D180" s="62" t="s">
        <v>42</v>
      </c>
      <c r="E180" s="109" t="s">
        <v>255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24</v>
      </c>
      <c r="M180" s="26" t="s">
        <v>127</v>
      </c>
      <c r="N180" s="26" t="s">
        <v>118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49</v>
      </c>
      <c r="D181" s="62" t="s">
        <v>42</v>
      </c>
      <c r="E181" s="109" t="s">
        <v>255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24</v>
      </c>
      <c r="M181" s="33" t="s">
        <v>153</v>
      </c>
      <c r="N181" s="33" t="s">
        <v>138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49</v>
      </c>
      <c r="D182" s="62" t="s">
        <v>42</v>
      </c>
      <c r="E182" s="109" t="s">
        <v>255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24</v>
      </c>
      <c r="M182" s="26"/>
      <c r="N182" s="26" t="s">
        <v>78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49</v>
      </c>
      <c r="D183" s="62" t="s">
        <v>42</v>
      </c>
      <c r="E183" s="109" t="s">
        <v>255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24</v>
      </c>
      <c r="M183" s="33" t="s">
        <v>51</v>
      </c>
      <c r="N183" s="33" t="s">
        <v>55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49</v>
      </c>
      <c r="D184" s="62" t="s">
        <v>42</v>
      </c>
      <c r="E184" s="109" t="s">
        <v>255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24</v>
      </c>
      <c r="M184" s="26"/>
      <c r="N184" s="26" t="s">
        <v>78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49</v>
      </c>
      <c r="D185" s="62" t="s">
        <v>42</v>
      </c>
      <c r="E185" s="109" t="s">
        <v>255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24</v>
      </c>
      <c r="M185" s="33"/>
      <c r="N185" s="33" t="s">
        <v>78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49</v>
      </c>
      <c r="D186" s="62" t="s">
        <v>42</v>
      </c>
      <c r="E186" s="109" t="s">
        <v>255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49</v>
      </c>
      <c r="D187" s="62" t="s">
        <v>42</v>
      </c>
      <c r="E187" s="109" t="s">
        <v>255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49</v>
      </c>
      <c r="D188" s="62" t="s">
        <v>42</v>
      </c>
      <c r="E188" s="109" t="s">
        <v>255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1" t="s">
        <v>243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241</v>
      </c>
      <c r="S189" s="39">
        <v>72220</v>
      </c>
      <c r="T189" s="119">
        <f>IFERROR(J189,"")</f>
        <v>0</v>
      </c>
    </row>
    <row r="190" spans="1:20" ht="18" customHeight="1" x14ac:dyDescent="0.25">
      <c r="A190" s="158" t="s">
        <v>244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245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25</v>
      </c>
      <c r="D191" s="62" t="s">
        <v>42</v>
      </c>
      <c r="E191" s="109" t="s">
        <v>255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24</v>
      </c>
      <c r="M191" s="33" t="s">
        <v>153</v>
      </c>
      <c r="N191" s="33" t="s">
        <v>187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25</v>
      </c>
      <c r="D192" s="62" t="s">
        <v>42</v>
      </c>
      <c r="E192" s="109" t="s">
        <v>255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24</v>
      </c>
      <c r="M192" s="26" t="s">
        <v>51</v>
      </c>
      <c r="N192" s="33" t="s">
        <v>40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25</v>
      </c>
      <c r="D193" s="62" t="s">
        <v>42</v>
      </c>
      <c r="E193" s="109" t="s">
        <v>255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23</v>
      </c>
      <c r="M193" s="33" t="s">
        <v>51</v>
      </c>
      <c r="N193" s="33" t="s">
        <v>31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25</v>
      </c>
      <c r="D194" s="62" t="s">
        <v>42</v>
      </c>
      <c r="E194" s="109" t="s">
        <v>255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24</v>
      </c>
      <c r="M194" s="26" t="s">
        <v>153</v>
      </c>
      <c r="N194" s="26" t="s">
        <v>187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25</v>
      </c>
      <c r="D195" s="62" t="s">
        <v>42</v>
      </c>
      <c r="E195" s="109" t="s">
        <v>255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24</v>
      </c>
      <c r="M195" s="33" t="s">
        <v>153</v>
      </c>
      <c r="N195" s="26" t="s">
        <v>187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25</v>
      </c>
      <c r="D196" s="62" t="s">
        <v>42</v>
      </c>
      <c r="E196" s="109" t="s">
        <v>255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23</v>
      </c>
      <c r="M196" s="26" t="s">
        <v>51</v>
      </c>
      <c r="N196" s="26" t="s">
        <v>82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25</v>
      </c>
      <c r="D197" s="62" t="s">
        <v>42</v>
      </c>
      <c r="E197" s="109" t="s">
        <v>255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24</v>
      </c>
      <c r="M197" s="33" t="s">
        <v>51</v>
      </c>
      <c r="N197" s="33" t="s">
        <v>55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25</v>
      </c>
      <c r="D198" s="62" t="s">
        <v>42</v>
      </c>
      <c r="E198" s="109" t="s">
        <v>255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23</v>
      </c>
      <c r="M198" s="26" t="s">
        <v>51</v>
      </c>
      <c r="N198" s="33" t="s">
        <v>82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25</v>
      </c>
      <c r="D199" s="62" t="s">
        <v>42</v>
      </c>
      <c r="E199" s="109" t="s">
        <v>255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23</v>
      </c>
      <c r="M199" s="33" t="s">
        <v>51</v>
      </c>
      <c r="N199" s="33" t="s">
        <v>82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25</v>
      </c>
      <c r="D200" s="62" t="s">
        <v>42</v>
      </c>
      <c r="E200" s="109" t="s">
        <v>255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24</v>
      </c>
      <c r="M200" s="26" t="s">
        <v>127</v>
      </c>
      <c r="N200" s="26" t="s">
        <v>118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25</v>
      </c>
      <c r="D201" s="62" t="s">
        <v>42</v>
      </c>
      <c r="E201" s="109" t="s">
        <v>255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24</v>
      </c>
      <c r="M201" s="33" t="s">
        <v>127</v>
      </c>
      <c r="N201" s="33" t="s">
        <v>118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25</v>
      </c>
      <c r="D202" s="62" t="s">
        <v>42</v>
      </c>
      <c r="E202" s="109" t="s">
        <v>255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1" t="s">
        <v>240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241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49</v>
      </c>
      <c r="D204" s="59" t="s">
        <v>42</v>
      </c>
      <c r="E204" s="108" t="s">
        <v>255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24</v>
      </c>
      <c r="M204" s="26" t="s">
        <v>51</v>
      </c>
      <c r="N204" s="26" t="s">
        <v>55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49</v>
      </c>
      <c r="D205" s="59" t="s">
        <v>42</v>
      </c>
      <c r="E205" s="108" t="s">
        <v>255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24</v>
      </c>
      <c r="M205" s="33" t="s">
        <v>51</v>
      </c>
      <c r="N205" s="33" t="s">
        <v>60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308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49</v>
      </c>
      <c r="D206" s="59" t="s">
        <v>42</v>
      </c>
      <c r="E206" s="108" t="s">
        <v>255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24</v>
      </c>
      <c r="M206" s="26"/>
      <c r="N206" s="26" t="s">
        <v>78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49</v>
      </c>
      <c r="D207" s="59" t="s">
        <v>42</v>
      </c>
      <c r="E207" s="108" t="s">
        <v>255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49</v>
      </c>
      <c r="D208" s="59" t="s">
        <v>42</v>
      </c>
      <c r="E208" s="108" t="s">
        <v>255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49</v>
      </c>
      <c r="D209" s="59" t="s">
        <v>42</v>
      </c>
      <c r="E209" s="108" t="s">
        <v>255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49</v>
      </c>
      <c r="D210" s="59" t="s">
        <v>42</v>
      </c>
      <c r="E210" s="108" t="s">
        <v>255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49</v>
      </c>
      <c r="D211" s="59" t="s">
        <v>42</v>
      </c>
      <c r="E211" s="108" t="s">
        <v>255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49</v>
      </c>
      <c r="D212" s="59" t="s">
        <v>42</v>
      </c>
      <c r="E212" s="108" t="s">
        <v>255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49</v>
      </c>
      <c r="D213" s="59" t="s">
        <v>42</v>
      </c>
      <c r="E213" s="108" t="s">
        <v>255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49</v>
      </c>
      <c r="D214" s="59" t="s">
        <v>42</v>
      </c>
      <c r="E214" s="108" t="s">
        <v>255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49</v>
      </c>
      <c r="D215" s="59" t="s">
        <v>42</v>
      </c>
      <c r="E215" s="108" t="s">
        <v>255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1" t="s">
        <v>243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241</v>
      </c>
      <c r="S216" s="39">
        <v>148720</v>
      </c>
      <c r="T216" s="119">
        <f>IFERROR(J216,"")</f>
        <v>0</v>
      </c>
    </row>
    <row r="217" spans="1:20" ht="18" customHeight="1" x14ac:dyDescent="0.25">
      <c r="A217" s="158" t="s">
        <v>244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245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33</v>
      </c>
      <c r="D218" s="59" t="s">
        <v>42</v>
      </c>
      <c r="E218" s="108" t="s">
        <v>255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23</v>
      </c>
      <c r="M218" s="26" t="s">
        <v>139</v>
      </c>
      <c r="N218" s="26" t="s">
        <v>65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33</v>
      </c>
      <c r="D219" s="59" t="s">
        <v>42</v>
      </c>
      <c r="E219" s="108" t="s">
        <v>255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24</v>
      </c>
      <c r="M219" s="33" t="s">
        <v>51</v>
      </c>
      <c r="N219" s="33" t="s">
        <v>40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33</v>
      </c>
      <c r="D220" s="59" t="s">
        <v>42</v>
      </c>
      <c r="E220" s="108" t="s">
        <v>255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24</v>
      </c>
      <c r="M220" s="26" t="s">
        <v>162</v>
      </c>
      <c r="N220" s="26" t="s">
        <v>78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33</v>
      </c>
      <c r="D221" s="59" t="s">
        <v>42</v>
      </c>
      <c r="E221" s="108" t="s">
        <v>255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22</v>
      </c>
      <c r="M221" s="33" t="s">
        <v>139</v>
      </c>
      <c r="N221" s="33" t="s">
        <v>104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309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33</v>
      </c>
      <c r="D222" s="59" t="s">
        <v>42</v>
      </c>
      <c r="E222" s="108" t="s">
        <v>239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22</v>
      </c>
      <c r="M222" s="26" t="s">
        <v>139</v>
      </c>
      <c r="N222" s="26" t="s">
        <v>65</v>
      </c>
      <c r="O222" s="29">
        <v>0.69930555555555551</v>
      </c>
      <c r="P222" s="29" t="s">
        <v>310</v>
      </c>
      <c r="Q222" s="30" t="str">
        <f t="shared" ca="1" si="49"/>
        <v/>
      </c>
      <c r="R222" s="27" t="s">
        <v>311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33</v>
      </c>
      <c r="D223" s="59" t="s">
        <v>42</v>
      </c>
      <c r="E223" s="108" t="s">
        <v>255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23</v>
      </c>
      <c r="M223" s="33" t="s">
        <v>51</v>
      </c>
      <c r="N223" s="33" t="s">
        <v>31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33</v>
      </c>
      <c r="D224" s="59" t="s">
        <v>42</v>
      </c>
      <c r="E224" s="108" t="s">
        <v>255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33</v>
      </c>
      <c r="D225" s="59" t="s">
        <v>42</v>
      </c>
      <c r="E225" s="108" t="s">
        <v>255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33</v>
      </c>
      <c r="D226" s="59" t="s">
        <v>42</v>
      </c>
      <c r="E226" s="108" t="s">
        <v>255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33</v>
      </c>
      <c r="D227" s="59" t="s">
        <v>42</v>
      </c>
      <c r="E227" s="108" t="s">
        <v>255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33</v>
      </c>
      <c r="D228" s="59" t="s">
        <v>42</v>
      </c>
      <c r="E228" s="108" t="s">
        <v>255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33</v>
      </c>
      <c r="D229" s="59" t="s">
        <v>42</v>
      </c>
      <c r="E229" s="108" t="s">
        <v>255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1" t="s">
        <v>240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241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49</v>
      </c>
      <c r="D231" s="62" t="s">
        <v>42</v>
      </c>
      <c r="E231" s="109" t="s">
        <v>255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23</v>
      </c>
      <c r="M231" s="33" t="s">
        <v>51</v>
      </c>
      <c r="N231" s="33" t="s">
        <v>31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49</v>
      </c>
      <c r="D232" s="62" t="s">
        <v>42</v>
      </c>
      <c r="E232" s="109" t="s">
        <v>239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49</v>
      </c>
      <c r="D233" s="62" t="s">
        <v>42</v>
      </c>
      <c r="E233" s="109" t="s">
        <v>255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49</v>
      </c>
      <c r="D234" s="62" t="s">
        <v>42</v>
      </c>
      <c r="E234" s="109" t="s">
        <v>239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49</v>
      </c>
      <c r="D235" s="62" t="s">
        <v>42</v>
      </c>
      <c r="E235" s="109" t="s">
        <v>239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49</v>
      </c>
      <c r="D236" s="62" t="s">
        <v>42</v>
      </c>
      <c r="E236" s="109" t="s">
        <v>239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49</v>
      </c>
      <c r="D237" s="62" t="s">
        <v>42</v>
      </c>
      <c r="E237" s="109" t="s">
        <v>239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49</v>
      </c>
      <c r="D238" s="62" t="s">
        <v>42</v>
      </c>
      <c r="E238" s="109" t="s">
        <v>239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49</v>
      </c>
      <c r="D239" s="62" t="s">
        <v>42</v>
      </c>
      <c r="E239" s="109" t="s">
        <v>239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49</v>
      </c>
      <c r="D240" s="62" t="s">
        <v>42</v>
      </c>
      <c r="E240" s="109" t="s">
        <v>239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49</v>
      </c>
      <c r="D241" s="62" t="s">
        <v>42</v>
      </c>
      <c r="E241" s="109" t="s">
        <v>239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49</v>
      </c>
      <c r="D242" s="62" t="s">
        <v>42</v>
      </c>
      <c r="E242" s="109" t="s">
        <v>239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1" t="s">
        <v>243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241</v>
      </c>
      <c r="S243" s="39">
        <v>352720</v>
      </c>
      <c r="T243" s="119">
        <f>IFERROR(J243,"")</f>
        <v>0</v>
      </c>
    </row>
    <row r="244" spans="1:20" ht="18" customHeight="1" x14ac:dyDescent="0.25">
      <c r="A244" s="158" t="s">
        <v>244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245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33</v>
      </c>
      <c r="D245" s="59" t="s">
        <v>42</v>
      </c>
      <c r="E245" s="108" t="s">
        <v>239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23</v>
      </c>
      <c r="M245" s="33" t="s">
        <v>51</v>
      </c>
      <c r="N245" s="33" t="s">
        <v>31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312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33</v>
      </c>
      <c r="D246" s="59" t="s">
        <v>42</v>
      </c>
      <c r="E246" s="108" t="s">
        <v>239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24</v>
      </c>
      <c r="M246" s="26" t="s">
        <v>51</v>
      </c>
      <c r="N246" s="33" t="s">
        <v>55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33</v>
      </c>
      <c r="D247" s="59" t="s">
        <v>42</v>
      </c>
      <c r="E247" s="108" t="s">
        <v>239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24</v>
      </c>
      <c r="M247" s="33" t="s">
        <v>51</v>
      </c>
      <c r="N247" s="33" t="s">
        <v>40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33</v>
      </c>
      <c r="D248" s="59" t="s">
        <v>42</v>
      </c>
      <c r="E248" s="108" t="s">
        <v>239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33</v>
      </c>
      <c r="D249" s="59" t="s">
        <v>34</v>
      </c>
      <c r="E249" s="108" t="s">
        <v>255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33</v>
      </c>
      <c r="D250" s="59" t="s">
        <v>34</v>
      </c>
      <c r="E250" s="108" t="s">
        <v>255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33</v>
      </c>
      <c r="D251" s="59" t="s">
        <v>34</v>
      </c>
      <c r="E251" s="108" t="s">
        <v>255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33</v>
      </c>
      <c r="D252" s="59" t="s">
        <v>34</v>
      </c>
      <c r="E252" s="108" t="s">
        <v>255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33</v>
      </c>
      <c r="D253" s="59" t="s">
        <v>34</v>
      </c>
      <c r="E253" s="108" t="s">
        <v>255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33</v>
      </c>
      <c r="D254" s="59" t="s">
        <v>34</v>
      </c>
      <c r="E254" s="108" t="s">
        <v>255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33</v>
      </c>
      <c r="D255" s="59" t="s">
        <v>34</v>
      </c>
      <c r="E255" s="108" t="s">
        <v>239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33</v>
      </c>
      <c r="D256" s="59" t="s">
        <v>34</v>
      </c>
      <c r="E256" s="108" t="s">
        <v>239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1" t="s">
        <v>240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241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42</v>
      </c>
      <c r="E258" s="20" t="s">
        <v>255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42</v>
      </c>
      <c r="E259" s="20" t="s">
        <v>255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42</v>
      </c>
      <c r="E260" s="62" t="s">
        <v>255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42</v>
      </c>
      <c r="E261" s="62" t="s">
        <v>255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42</v>
      </c>
      <c r="E262" s="20" t="s">
        <v>255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42</v>
      </c>
      <c r="E263" s="62" t="s">
        <v>255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42</v>
      </c>
      <c r="E264" s="62" t="s">
        <v>255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42</v>
      </c>
      <c r="E265" s="62" t="s">
        <v>255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42</v>
      </c>
      <c r="E266" s="62" t="s">
        <v>255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42</v>
      </c>
      <c r="E267" s="62" t="s">
        <v>255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42</v>
      </c>
      <c r="E268" s="62" t="s">
        <v>255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42</v>
      </c>
      <c r="E269" s="62" t="s">
        <v>255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1" t="s">
        <v>243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241</v>
      </c>
      <c r="S270" s="39">
        <v>327900</v>
      </c>
      <c r="T270" s="119">
        <f>IFERROR(J270,"")</f>
        <v>0</v>
      </c>
    </row>
    <row r="271" spans="1:20" ht="18" customHeight="1" x14ac:dyDescent="0.25">
      <c r="A271" s="158" t="s">
        <v>244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245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33</v>
      </c>
      <c r="D272" s="59" t="s">
        <v>34</v>
      </c>
      <c r="E272" s="59" t="s">
        <v>255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33</v>
      </c>
      <c r="D273" s="59" t="s">
        <v>34</v>
      </c>
      <c r="E273" s="59" t="s">
        <v>255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33</v>
      </c>
      <c r="D274" s="59" t="s">
        <v>34</v>
      </c>
      <c r="E274" s="59" t="s">
        <v>255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33</v>
      </c>
      <c r="D275" s="59" t="s">
        <v>34</v>
      </c>
      <c r="E275" s="59" t="s">
        <v>255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33</v>
      </c>
      <c r="D276" s="59" t="s">
        <v>34</v>
      </c>
      <c r="E276" s="59" t="s">
        <v>255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33</v>
      </c>
      <c r="D277" s="59" t="s">
        <v>34</v>
      </c>
      <c r="E277" s="59" t="s">
        <v>255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33</v>
      </c>
      <c r="D278" s="59" t="s">
        <v>34</v>
      </c>
      <c r="E278" s="59" t="s">
        <v>255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33</v>
      </c>
      <c r="D279" s="59" t="s">
        <v>34</v>
      </c>
      <c r="E279" s="59" t="s">
        <v>255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33</v>
      </c>
      <c r="D280" s="59" t="s">
        <v>34</v>
      </c>
      <c r="E280" s="59" t="s">
        <v>255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33</v>
      </c>
      <c r="D281" s="59" t="s">
        <v>34</v>
      </c>
      <c r="E281" s="59" t="s">
        <v>255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33</v>
      </c>
      <c r="D282" s="59" t="s">
        <v>34</v>
      </c>
      <c r="E282" s="59" t="s">
        <v>239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33</v>
      </c>
      <c r="D283" s="59" t="s">
        <v>34</v>
      </c>
      <c r="E283" s="59" t="s">
        <v>255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1" t="s">
        <v>240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241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49</v>
      </c>
      <c r="D285" s="62" t="s">
        <v>50</v>
      </c>
      <c r="E285" s="62" t="s">
        <v>239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49</v>
      </c>
      <c r="D286" s="62" t="s">
        <v>50</v>
      </c>
      <c r="E286" s="62" t="s">
        <v>239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49</v>
      </c>
      <c r="D287" s="62" t="s">
        <v>50</v>
      </c>
      <c r="E287" s="62" t="s">
        <v>255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49</v>
      </c>
      <c r="D288" s="62" t="s">
        <v>50</v>
      </c>
      <c r="E288" s="62" t="s">
        <v>239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49</v>
      </c>
      <c r="D289" s="62" t="s">
        <v>50</v>
      </c>
      <c r="E289" s="62" t="s">
        <v>239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49</v>
      </c>
      <c r="D290" s="62" t="s">
        <v>34</v>
      </c>
      <c r="E290" s="62" t="s">
        <v>239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49</v>
      </c>
      <c r="D291" s="62" t="s">
        <v>34</v>
      </c>
      <c r="E291" s="62" t="s">
        <v>239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49</v>
      </c>
      <c r="D292" s="62" t="s">
        <v>34</v>
      </c>
      <c r="E292" s="62" t="s">
        <v>239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49</v>
      </c>
      <c r="D293" s="62" t="s">
        <v>34</v>
      </c>
      <c r="E293" s="62" t="s">
        <v>239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49</v>
      </c>
      <c r="D294" s="62" t="s">
        <v>34</v>
      </c>
      <c r="E294" s="62" t="s">
        <v>239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49</v>
      </c>
      <c r="D295" s="62" t="s">
        <v>34</v>
      </c>
      <c r="E295" s="62" t="s">
        <v>239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49</v>
      </c>
      <c r="D296" s="62" t="s">
        <v>34</v>
      </c>
      <c r="E296" s="62" t="s">
        <v>239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1" t="s">
        <v>243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241</v>
      </c>
      <c r="S297" s="39">
        <v>462190</v>
      </c>
      <c r="T297" s="119">
        <f>IFERROR(J297,"")</f>
        <v>0</v>
      </c>
    </row>
    <row r="298" spans="1:20" ht="18" customHeight="1" x14ac:dyDescent="0.25">
      <c r="A298" s="158" t="s">
        <v>244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245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33</v>
      </c>
      <c r="D299" s="62" t="s">
        <v>34</v>
      </c>
      <c r="E299" s="109" t="s">
        <v>255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24</v>
      </c>
      <c r="M299" s="33"/>
      <c r="N299" s="33" t="s">
        <v>203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33</v>
      </c>
      <c r="D300" s="62" t="s">
        <v>34</v>
      </c>
      <c r="E300" s="109" t="s">
        <v>255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24</v>
      </c>
      <c r="M300" s="26"/>
      <c r="N300" s="26" t="s">
        <v>203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33</v>
      </c>
      <c r="D301" s="62" t="s">
        <v>34</v>
      </c>
      <c r="E301" s="109" t="s">
        <v>255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24</v>
      </c>
      <c r="M301" s="33" t="s">
        <v>51</v>
      </c>
      <c r="N301" s="33" t="s">
        <v>188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31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33</v>
      </c>
      <c r="D302" s="62" t="s">
        <v>34</v>
      </c>
      <c r="E302" s="109" t="s">
        <v>255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21</v>
      </c>
      <c r="M302" s="26"/>
      <c r="N302" s="26" t="s">
        <v>29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33</v>
      </c>
      <c r="D303" s="62" t="s">
        <v>34</v>
      </c>
      <c r="E303" s="109" t="s">
        <v>255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33</v>
      </c>
      <c r="D304" s="62" t="s">
        <v>34</v>
      </c>
      <c r="E304" s="109" t="s">
        <v>255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33</v>
      </c>
      <c r="D305" s="62" t="s">
        <v>26</v>
      </c>
      <c r="E305" s="109" t="s">
        <v>255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33</v>
      </c>
      <c r="D306" s="62" t="s">
        <v>26</v>
      </c>
      <c r="E306" s="109" t="s">
        <v>255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33</v>
      </c>
      <c r="D307" s="62" t="s">
        <v>26</v>
      </c>
      <c r="E307" s="109" t="s">
        <v>255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33</v>
      </c>
      <c r="D308" s="62" t="s">
        <v>26</v>
      </c>
      <c r="E308" s="109" t="s">
        <v>255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33</v>
      </c>
      <c r="D309" s="62" t="s">
        <v>26</v>
      </c>
      <c r="E309" s="109" t="s">
        <v>255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33</v>
      </c>
      <c r="D310" s="62" t="s">
        <v>26</v>
      </c>
      <c r="E310" s="109" t="s">
        <v>255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1" t="s">
        <v>240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241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25</v>
      </c>
      <c r="D312" s="59" t="s">
        <v>34</v>
      </c>
      <c r="E312" s="108" t="s">
        <v>255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23</v>
      </c>
      <c r="M312" s="26" t="s">
        <v>51</v>
      </c>
      <c r="N312" s="26" t="s">
        <v>31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25</v>
      </c>
      <c r="D313" s="59" t="s">
        <v>34</v>
      </c>
      <c r="E313" s="108" t="s">
        <v>255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22</v>
      </c>
      <c r="M313" s="33" t="s">
        <v>142</v>
      </c>
      <c r="N313" s="33" t="s">
        <v>104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25</v>
      </c>
      <c r="D314" s="59" t="s">
        <v>34</v>
      </c>
      <c r="E314" s="108" t="s">
        <v>255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21</v>
      </c>
      <c r="M314" s="26"/>
      <c r="N314" s="26" t="s">
        <v>29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25</v>
      </c>
      <c r="D315" s="59" t="s">
        <v>34</v>
      </c>
      <c r="E315" s="108" t="s">
        <v>255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21</v>
      </c>
      <c r="M315" s="33" t="s">
        <v>139</v>
      </c>
      <c r="N315" s="33" t="s">
        <v>53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25</v>
      </c>
      <c r="D316" s="59" t="s">
        <v>34</v>
      </c>
      <c r="E316" s="108" t="s">
        <v>255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21</v>
      </c>
      <c r="M316" s="26" t="s">
        <v>139</v>
      </c>
      <c r="N316" s="26" t="s">
        <v>53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25</v>
      </c>
      <c r="D317" s="59" t="s">
        <v>34</v>
      </c>
      <c r="E317" s="108" t="s">
        <v>255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25</v>
      </c>
      <c r="D318" s="59" t="s">
        <v>34</v>
      </c>
      <c r="E318" s="108" t="s">
        <v>255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25</v>
      </c>
      <c r="D319" s="59" t="s">
        <v>34</v>
      </c>
      <c r="E319" s="108" t="s">
        <v>255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25</v>
      </c>
      <c r="D320" s="59" t="s">
        <v>34</v>
      </c>
      <c r="E320" s="108" t="s">
        <v>255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25</v>
      </c>
      <c r="D321" s="59" t="s">
        <v>34</v>
      </c>
      <c r="E321" s="108" t="s">
        <v>255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25</v>
      </c>
      <c r="D322" s="59" t="s">
        <v>34</v>
      </c>
      <c r="E322" s="108" t="s">
        <v>255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25</v>
      </c>
      <c r="D323" s="59" t="s">
        <v>34</v>
      </c>
      <c r="E323" s="108" t="s">
        <v>255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1" t="s">
        <v>243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241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58" t="s">
        <v>244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245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33</v>
      </c>
      <c r="D326" s="59" t="s">
        <v>26</v>
      </c>
      <c r="E326" s="108" t="s">
        <v>239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22</v>
      </c>
      <c r="M326" s="26" t="s">
        <v>142</v>
      </c>
      <c r="N326" s="26" t="s">
        <v>134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33</v>
      </c>
      <c r="D327" s="59" t="s">
        <v>26</v>
      </c>
      <c r="E327" s="108" t="s">
        <v>239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22</v>
      </c>
      <c r="M327" s="26" t="s">
        <v>142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313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33</v>
      </c>
      <c r="D328" s="59" t="s">
        <v>26</v>
      </c>
      <c r="E328" s="108" t="s">
        <v>239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24</v>
      </c>
      <c r="M328" s="26" t="s">
        <v>130</v>
      </c>
      <c r="N328" s="26" t="s">
        <v>118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33</v>
      </c>
      <c r="D329" s="59" t="s">
        <v>26</v>
      </c>
      <c r="E329" s="108" t="s">
        <v>239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22</v>
      </c>
      <c r="M329" s="33" t="s">
        <v>142</v>
      </c>
      <c r="N329" s="33" t="s">
        <v>65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295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33</v>
      </c>
      <c r="D330" s="59" t="s">
        <v>26</v>
      </c>
      <c r="E330" s="108" t="s">
        <v>239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33</v>
      </c>
      <c r="D331" s="59" t="s">
        <v>26</v>
      </c>
      <c r="E331" s="108" t="s">
        <v>255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33</v>
      </c>
      <c r="D332" s="59" t="s">
        <v>26</v>
      </c>
      <c r="E332" s="108" t="s">
        <v>255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33</v>
      </c>
      <c r="D333" s="59" t="s">
        <v>26</v>
      </c>
      <c r="E333" s="108" t="s">
        <v>255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33</v>
      </c>
      <c r="D334" s="59" t="s">
        <v>26</v>
      </c>
      <c r="E334" s="108" t="s">
        <v>255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33</v>
      </c>
      <c r="D335" s="59" t="s">
        <v>26</v>
      </c>
      <c r="E335" s="108" t="s">
        <v>255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33</v>
      </c>
      <c r="D336" s="59" t="s">
        <v>26</v>
      </c>
      <c r="E336" s="108" t="s">
        <v>255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33</v>
      </c>
      <c r="D337" s="59" t="s">
        <v>26</v>
      </c>
      <c r="E337" s="108" t="s">
        <v>255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1" t="s">
        <v>240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241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25</v>
      </c>
      <c r="D339" s="62" t="s">
        <v>26</v>
      </c>
      <c r="E339" s="109" t="s">
        <v>255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23</v>
      </c>
      <c r="M339" s="33" t="s">
        <v>51</v>
      </c>
      <c r="N339" s="33" t="s">
        <v>31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25</v>
      </c>
      <c r="D340" s="62" t="s">
        <v>26</v>
      </c>
      <c r="E340" s="109" t="s">
        <v>255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21</v>
      </c>
      <c r="M340" s="26" t="s">
        <v>139</v>
      </c>
      <c r="N340" s="26" t="s">
        <v>53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25</v>
      </c>
      <c r="D341" s="62" t="s">
        <v>26</v>
      </c>
      <c r="E341" s="109" t="s">
        <v>255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21</v>
      </c>
      <c r="M341" s="33" t="s">
        <v>139</v>
      </c>
      <c r="N341" s="33" t="s">
        <v>53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25</v>
      </c>
      <c r="D342" s="62" t="s">
        <v>26</v>
      </c>
      <c r="E342" s="109" t="s">
        <v>255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25</v>
      </c>
      <c r="D343" s="62" t="s">
        <v>26</v>
      </c>
      <c r="E343" s="109" t="s">
        <v>255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25</v>
      </c>
      <c r="D344" s="62" t="s">
        <v>26</v>
      </c>
      <c r="E344" s="109" t="s">
        <v>255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25</v>
      </c>
      <c r="D345" s="62" t="s">
        <v>26</v>
      </c>
      <c r="E345" s="109" t="s">
        <v>255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25</v>
      </c>
      <c r="D346" s="62" t="s">
        <v>26</v>
      </c>
      <c r="E346" s="109" t="s">
        <v>255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25</v>
      </c>
      <c r="D347" s="62" t="s">
        <v>26</v>
      </c>
      <c r="E347" s="109" t="s">
        <v>255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25</v>
      </c>
      <c r="D348" s="62" t="s">
        <v>26</v>
      </c>
      <c r="E348" s="109" t="s">
        <v>255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25</v>
      </c>
      <c r="D349" s="62" t="s">
        <v>26</v>
      </c>
      <c r="E349" s="109" t="s">
        <v>255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25</v>
      </c>
      <c r="D350" s="62" t="s">
        <v>26</v>
      </c>
      <c r="E350" s="109" t="s">
        <v>255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1" t="s">
        <v>243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241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58" t="s">
        <v>244</v>
      </c>
      <c r="B352" s="159"/>
      <c r="C352" s="159"/>
      <c r="D352" s="159"/>
      <c r="E352" s="15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245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33</v>
      </c>
      <c r="D353" s="62" t="s">
        <v>34</v>
      </c>
      <c r="E353" s="109" t="s">
        <v>255</v>
      </c>
      <c r="F353" s="140">
        <f>IFERROR(IF($D353="","",VLOOKUP($D353,Cadastro!$C$4:$E$7,3,FALSE)),"")</f>
        <v>0.24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24</v>
      </c>
      <c r="M353" s="33" t="s">
        <v>51</v>
      </c>
      <c r="N353" s="33" t="s">
        <v>66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33</v>
      </c>
      <c r="D354" s="62" t="s">
        <v>34</v>
      </c>
      <c r="E354" s="109" t="s">
        <v>255</v>
      </c>
      <c r="F354" s="134">
        <f>IFERROR(IF($D354="","",VLOOKUP($D354,Cadastro!$C$4:$E$7,3,FALSE)),"")</f>
        <v>0.24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33</v>
      </c>
      <c r="D355" s="62" t="s">
        <v>34</v>
      </c>
      <c r="E355" s="109" t="s">
        <v>255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33</v>
      </c>
      <c r="D356" s="62" t="s">
        <v>34</v>
      </c>
      <c r="E356" s="109" t="s">
        <v>255</v>
      </c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33</v>
      </c>
      <c r="D357" s="62" t="s">
        <v>34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33</v>
      </c>
      <c r="D358" s="62" t="s">
        <v>34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33</v>
      </c>
      <c r="D359" s="62" t="s">
        <v>34</v>
      </c>
      <c r="E359" s="109"/>
      <c r="F359" s="134">
        <f>IFERROR(IF($D359="","",VLOOKUP($D359,Cadastro!$C$4:$E$7,3,FALSE)),"")</f>
        <v>0.24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33</v>
      </c>
      <c r="D360" s="62" t="s">
        <v>34</v>
      </c>
      <c r="E360" s="109"/>
      <c r="F360" s="134">
        <f>IFERROR(IF($D360="","",VLOOKUP($D360,Cadastro!$C$4:$E$7,3,FALSE)),"")</f>
        <v>0.24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33</v>
      </c>
      <c r="D361" s="62" t="s">
        <v>34</v>
      </c>
      <c r="E361" s="109"/>
      <c r="F361" s="134">
        <f>IFERROR(IF($D361="","",VLOOKUP($D361,Cadastro!$C$4:$E$7,3,FALSE)),"")</f>
        <v>0.24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33</v>
      </c>
      <c r="D362" s="62" t="s">
        <v>34</v>
      </c>
      <c r="E362" s="109"/>
      <c r="F362" s="134">
        <f>IFERROR(IF($D362="","",VLOOKUP($D362,Cadastro!$C$4:$E$7,3,FALSE)),"")</f>
        <v>0.24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33</v>
      </c>
      <c r="D363" s="62" t="s">
        <v>34</v>
      </c>
      <c r="E363" s="109"/>
      <c r="F363" s="134">
        <f>IFERROR(IF($D363="","",VLOOKUP($D363,Cadastro!$C$4:$E$7,3,FALSE)),"")</f>
        <v>0.24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33</v>
      </c>
      <c r="D364" s="62" t="s">
        <v>34</v>
      </c>
      <c r="E364" s="109"/>
      <c r="F364" s="137">
        <f>IFERROR(IF($D364="","",VLOOKUP($D364,Cadastro!$C$4:$E$7,3,FALSE)),"")</f>
        <v>0.24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1" t="s">
        <v>240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</v>
      </c>
      <c r="L365" s="37"/>
      <c r="M365" s="37"/>
      <c r="N365" s="37"/>
      <c r="O365" s="37"/>
      <c r="P365" s="37"/>
      <c r="Q365" s="38">
        <f ca="1">IFERROR(SUM(Q353:Q364),"")</f>
        <v>1.4583333333333337E-2</v>
      </c>
      <c r="R365" s="36" t="s">
        <v>241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1" t="s">
        <v>243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241</v>
      </c>
      <c r="S378" s="39"/>
      <c r="T378" s="119">
        <f>IFERROR(J378,"")</f>
        <v>0</v>
      </c>
    </row>
    <row r="379" spans="1:20" ht="18" customHeight="1" x14ac:dyDescent="0.25">
      <c r="A379" s="158" t="s">
        <v>244</v>
      </c>
      <c r="B379" s="159"/>
      <c r="C379" s="159"/>
      <c r="D379" s="159"/>
      <c r="E379" s="159">
        <f>E365+E378</f>
        <v>0</v>
      </c>
      <c r="F379" s="112"/>
      <c r="G379" s="91">
        <f>G365+G378</f>
        <v>10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</v>
      </c>
      <c r="L379" s="41"/>
      <c r="M379" s="41"/>
      <c r="N379" s="41"/>
      <c r="O379" s="41"/>
      <c r="P379" s="41"/>
      <c r="Q379" s="42">
        <f ca="1">IFERROR(Q365+Q378,"")</f>
        <v>1.4583333333333337E-2</v>
      </c>
      <c r="R379" s="40" t="s">
        <v>245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1" t="s">
        <v>240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241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1" t="s">
        <v>243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241</v>
      </c>
      <c r="S405" s="39"/>
      <c r="T405" s="119">
        <f>IFERROR(J405,"")</f>
        <v>0</v>
      </c>
    </row>
    <row r="406" spans="1:20" ht="18" customHeight="1" x14ac:dyDescent="0.25">
      <c r="A406" s="158" t="s">
        <v>244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245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1" t="s">
        <v>240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241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1" t="s">
        <v>243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241</v>
      </c>
      <c r="S432" s="39"/>
      <c r="T432" s="119">
        <f>IFERROR(J432,"")</f>
        <v>0</v>
      </c>
    </row>
    <row r="433" spans="1:20" ht="18" customHeight="1" x14ac:dyDescent="0.25">
      <c r="A433" s="158" t="s">
        <v>244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245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1" t="s">
        <v>240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241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1" t="s">
        <v>243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241</v>
      </c>
      <c r="S459" s="39"/>
      <c r="T459" s="119">
        <f>IFERROR(J459,"")</f>
        <v>0</v>
      </c>
    </row>
    <row r="460" spans="1:20" ht="18" customHeight="1" x14ac:dyDescent="0.25">
      <c r="A460" s="158" t="s">
        <v>244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245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1" t="s">
        <v>240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241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1" t="s">
        <v>243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241</v>
      </c>
      <c r="S486" s="39"/>
      <c r="T486" s="119">
        <f>IFERROR(J486,"")</f>
        <v>0</v>
      </c>
    </row>
    <row r="487" spans="1:20" ht="18" customHeight="1" x14ac:dyDescent="0.25">
      <c r="A487" s="158" t="s">
        <v>244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245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1" t="s">
        <v>240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241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1" t="s">
        <v>243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241</v>
      </c>
      <c r="S513" s="39"/>
      <c r="T513" s="119">
        <f>IFERROR(J513,"")</f>
        <v>0</v>
      </c>
    </row>
    <row r="514" spans="1:20" ht="18" customHeight="1" x14ac:dyDescent="0.25">
      <c r="A514" s="158" t="s">
        <v>244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245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1" t="s">
        <v>240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241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1" t="s">
        <v>243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241</v>
      </c>
      <c r="S540" s="39"/>
      <c r="T540" s="119">
        <f>IFERROR(J540,"")</f>
        <v>0</v>
      </c>
    </row>
    <row r="541" spans="1:20" ht="18" customHeight="1" x14ac:dyDescent="0.25">
      <c r="A541" s="158" t="s">
        <v>244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245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1" t="s">
        <v>240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241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1" t="s">
        <v>243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241</v>
      </c>
      <c r="S567" s="39"/>
      <c r="T567" s="119">
        <f>IFERROR(J567,"")</f>
        <v>0</v>
      </c>
    </row>
    <row r="568" spans="1:20" ht="18" customHeight="1" x14ac:dyDescent="0.25">
      <c r="A568" s="158" t="s">
        <v>244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245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1" t="s">
        <v>240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241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1" t="s">
        <v>243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241</v>
      </c>
      <c r="S594" s="39"/>
      <c r="T594" s="119">
        <f>IFERROR(J594,"")</f>
        <v>0</v>
      </c>
    </row>
    <row r="595" spans="1:20" ht="18" customHeight="1" x14ac:dyDescent="0.25">
      <c r="A595" s="158" t="s">
        <v>244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245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1" t="s">
        <v>240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241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1" t="s">
        <v>243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241</v>
      </c>
      <c r="S621" s="39"/>
      <c r="T621" s="119">
        <f>IFERROR(J621,"")</f>
        <v>0</v>
      </c>
    </row>
    <row r="622" spans="1:20" ht="18" customHeight="1" x14ac:dyDescent="0.25">
      <c r="A622" s="158" t="s">
        <v>244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245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1" t="s">
        <v>240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241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1" t="s">
        <v>243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241</v>
      </c>
      <c r="S648" s="39"/>
      <c r="T648" s="119">
        <f>IFERROR(J648,"")</f>
        <v>0</v>
      </c>
    </row>
    <row r="649" spans="1:20" ht="18" customHeight="1" x14ac:dyDescent="0.25">
      <c r="A649" s="158" t="s">
        <v>244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245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1" t="s">
        <v>240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241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1" t="s">
        <v>243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241</v>
      </c>
      <c r="S675" s="39"/>
      <c r="T675" s="119">
        <f>IFERROR(J675,"")</f>
        <v>0</v>
      </c>
    </row>
    <row r="676" spans="1:20" ht="18" customHeight="1" x14ac:dyDescent="0.25">
      <c r="A676" s="158" t="s">
        <v>244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245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1" t="s">
        <v>240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241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1" t="s">
        <v>243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241</v>
      </c>
      <c r="S702" s="39"/>
      <c r="T702" s="119">
        <f>IFERROR(J702,"")</f>
        <v>0</v>
      </c>
    </row>
    <row r="703" spans="1:20" ht="18" customHeight="1" x14ac:dyDescent="0.25">
      <c r="A703" s="158" t="s">
        <v>244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245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1" t="s">
        <v>240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241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1" t="s">
        <v>243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241</v>
      </c>
      <c r="S729" s="39"/>
      <c r="T729" s="119">
        <f>IFERROR(J729,"")</f>
        <v>0</v>
      </c>
    </row>
    <row r="730" spans="1:20" ht="18" customHeight="1" x14ac:dyDescent="0.25">
      <c r="A730" s="158" t="s">
        <v>244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245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1" t="s">
        <v>240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241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1" t="s">
        <v>243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241</v>
      </c>
      <c r="S756" s="39"/>
      <c r="T756" s="119">
        <f>IFERROR(J756,"")</f>
        <v>0</v>
      </c>
    </row>
    <row r="757" spans="1:20" ht="18" customHeight="1" x14ac:dyDescent="0.25">
      <c r="A757" s="158" t="s">
        <v>244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245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1" t="s">
        <v>240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241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1" t="s">
        <v>243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241</v>
      </c>
      <c r="S783" s="39"/>
      <c r="T783" s="119">
        <f>IFERROR(J783,"")</f>
        <v>0</v>
      </c>
    </row>
    <row r="784" spans="1:20" ht="18" customHeight="1" x14ac:dyDescent="0.25">
      <c r="A784" s="158" t="s">
        <v>244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245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1" t="s">
        <v>240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241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1" t="s">
        <v>243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241</v>
      </c>
      <c r="S810" s="39"/>
      <c r="T810" s="119">
        <f>IFERROR(J810,"")</f>
        <v>0</v>
      </c>
    </row>
    <row r="811" spans="1:20" ht="18" customHeight="1" x14ac:dyDescent="0.25">
      <c r="A811" s="158" t="s">
        <v>244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245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1" t="s">
        <v>240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241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1" t="s">
        <v>243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241</v>
      </c>
      <c r="S837" s="39"/>
      <c r="T837" s="119">
        <f>IFERROR(J837,"")</f>
        <v>0</v>
      </c>
    </row>
    <row r="838" spans="1:20" ht="18" customHeight="1" x14ac:dyDescent="0.25">
      <c r="A838" s="158" t="s">
        <v>244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245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opLeftCell="B1" zoomScale="85" zoomScaleNormal="85" workbookViewId="0">
      <pane ySplit="1" topLeftCell="A326" activePane="bottomLeft" state="frozen"/>
      <selection pane="bottomLeft" activeCell="R355" sqref="R35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9</v>
      </c>
      <c r="B1" s="23" t="s">
        <v>229</v>
      </c>
      <c r="C1" s="23" t="s">
        <v>14</v>
      </c>
      <c r="D1" s="22" t="s">
        <v>15</v>
      </c>
      <c r="E1" s="22" t="s">
        <v>230</v>
      </c>
      <c r="F1" s="133" t="s">
        <v>16</v>
      </c>
      <c r="G1" s="23" t="s">
        <v>231</v>
      </c>
      <c r="H1" s="133" t="s">
        <v>265</v>
      </c>
      <c r="I1" s="133" t="s">
        <v>17</v>
      </c>
      <c r="J1" s="133" t="s">
        <v>266</v>
      </c>
      <c r="K1" s="23" t="s">
        <v>232</v>
      </c>
      <c r="L1" s="23" t="s">
        <v>18</v>
      </c>
      <c r="M1" s="23" t="s">
        <v>19</v>
      </c>
      <c r="N1" s="23" t="s">
        <v>233</v>
      </c>
      <c r="O1" s="23" t="s">
        <v>234</v>
      </c>
      <c r="P1" s="23" t="s">
        <v>235</v>
      </c>
      <c r="Q1" s="24" t="s">
        <v>236</v>
      </c>
      <c r="R1" s="23" t="s">
        <v>237</v>
      </c>
      <c r="S1" s="23" t="s">
        <v>238</v>
      </c>
      <c r="T1" s="23" t="s">
        <v>266</v>
      </c>
    </row>
    <row r="2" spans="1:20" ht="15" customHeight="1" x14ac:dyDescent="0.25">
      <c r="A2" s="67">
        <v>46235</v>
      </c>
      <c r="B2" s="25">
        <v>0.33333333333333298</v>
      </c>
      <c r="C2" s="26" t="s">
        <v>49</v>
      </c>
      <c r="D2" s="59" t="s">
        <v>42</v>
      </c>
      <c r="E2" s="108" t="s">
        <v>255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23</v>
      </c>
      <c r="M2" s="26" t="s">
        <v>56</v>
      </c>
      <c r="N2" s="26" t="s">
        <v>31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49</v>
      </c>
      <c r="D3" s="59" t="s">
        <v>42</v>
      </c>
      <c r="E3" s="108" t="s">
        <v>255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24</v>
      </c>
      <c r="M3" s="33" t="s">
        <v>61</v>
      </c>
      <c r="N3" s="33" t="s">
        <v>32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49</v>
      </c>
      <c r="D4" s="59" t="s">
        <v>42</v>
      </c>
      <c r="E4" s="108" t="s">
        <v>255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24</v>
      </c>
      <c r="M4" s="26" t="s">
        <v>61</v>
      </c>
      <c r="N4" s="26" t="s">
        <v>32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49</v>
      </c>
      <c r="D5" s="59" t="s">
        <v>42</v>
      </c>
      <c r="E5" s="108" t="s">
        <v>255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49</v>
      </c>
      <c r="D6" s="59" t="s">
        <v>42</v>
      </c>
      <c r="E6" s="108" t="s">
        <v>255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49</v>
      </c>
      <c r="D7" s="59" t="s">
        <v>42</v>
      </c>
      <c r="E7" s="108" t="s">
        <v>255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49</v>
      </c>
      <c r="D8" s="59" t="s">
        <v>42</v>
      </c>
      <c r="E8" s="108" t="s">
        <v>255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49</v>
      </c>
      <c r="D9" s="59" t="s">
        <v>42</v>
      </c>
      <c r="E9" s="108" t="s">
        <v>255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49</v>
      </c>
      <c r="D10" s="59" t="s">
        <v>42</v>
      </c>
      <c r="E10" s="108" t="s">
        <v>255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49</v>
      </c>
      <c r="D11" s="59" t="s">
        <v>42</v>
      </c>
      <c r="E11" s="108" t="s">
        <v>255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49</v>
      </c>
      <c r="D12" s="59" t="s">
        <v>42</v>
      </c>
      <c r="E12" s="108" t="s">
        <v>255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49</v>
      </c>
      <c r="D13" s="59" t="s">
        <v>42</v>
      </c>
      <c r="E13" s="108" t="s">
        <v>255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1" t="s">
        <v>240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241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33</v>
      </c>
      <c r="D15" s="62" t="s">
        <v>42</v>
      </c>
      <c r="E15" s="109" t="s">
        <v>255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24</v>
      </c>
      <c r="M15" s="33" t="s">
        <v>56</v>
      </c>
      <c r="N15" s="33" t="s">
        <v>66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33</v>
      </c>
      <c r="D16" s="62" t="s">
        <v>42</v>
      </c>
      <c r="E16" s="109" t="s">
        <v>255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23</v>
      </c>
      <c r="M16" s="26" t="s">
        <v>61</v>
      </c>
      <c r="N16" s="26" t="s">
        <v>31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314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33</v>
      </c>
      <c r="D17" s="62" t="s">
        <v>42</v>
      </c>
      <c r="E17" s="109" t="s">
        <v>255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23</v>
      </c>
      <c r="M17" s="33" t="s">
        <v>56</v>
      </c>
      <c r="N17" s="33" t="s">
        <v>31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33</v>
      </c>
      <c r="D18" s="62" t="s">
        <v>42</v>
      </c>
      <c r="E18" s="109" t="s">
        <v>255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22</v>
      </c>
      <c r="M18" s="26" t="s">
        <v>56</v>
      </c>
      <c r="N18" s="26" t="s">
        <v>134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297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33</v>
      </c>
      <c r="D19" s="62" t="s">
        <v>42</v>
      </c>
      <c r="E19" s="109" t="s">
        <v>255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22</v>
      </c>
      <c r="M19" s="33" t="s">
        <v>56</v>
      </c>
      <c r="N19" s="33" t="s">
        <v>134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315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33</v>
      </c>
      <c r="D20" s="62" t="s">
        <v>42</v>
      </c>
      <c r="E20" s="109" t="s">
        <v>255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24</v>
      </c>
      <c r="M20" s="26" t="s">
        <v>61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33</v>
      </c>
      <c r="D21" s="62" t="s">
        <v>42</v>
      </c>
      <c r="E21" s="109" t="s">
        <v>255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24</v>
      </c>
      <c r="M21" s="33" t="s">
        <v>61</v>
      </c>
      <c r="N21" s="33" t="s">
        <v>66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33</v>
      </c>
      <c r="D22" s="62" t="s">
        <v>42</v>
      </c>
      <c r="E22" s="109" t="s">
        <v>255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24</v>
      </c>
      <c r="M22" s="26"/>
      <c r="N22" s="26" t="s">
        <v>166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316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33</v>
      </c>
      <c r="D23" s="62" t="s">
        <v>42</v>
      </c>
      <c r="E23" s="109" t="s">
        <v>255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33</v>
      </c>
      <c r="D24" s="62" t="s">
        <v>42</v>
      </c>
      <c r="E24" s="109" t="s">
        <v>255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33</v>
      </c>
      <c r="D25" s="62" t="s">
        <v>42</v>
      </c>
      <c r="E25" s="109" t="s">
        <v>255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33</v>
      </c>
      <c r="D26" s="62" t="s">
        <v>42</v>
      </c>
      <c r="E26" s="109" t="s">
        <v>255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1" t="s">
        <v>243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241</v>
      </c>
      <c r="S27" s="39">
        <v>491520</v>
      </c>
      <c r="T27" s="119">
        <f>IFERROR(J27,"")</f>
        <v>0</v>
      </c>
    </row>
    <row r="28" spans="1:20" ht="18" customHeight="1" x14ac:dyDescent="0.25">
      <c r="A28" s="158" t="s">
        <v>244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245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49</v>
      </c>
      <c r="D29" s="59" t="s">
        <v>42</v>
      </c>
      <c r="E29" s="108" t="s">
        <v>255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23</v>
      </c>
      <c r="M29" s="33" t="s">
        <v>61</v>
      </c>
      <c r="N29" s="33" t="s">
        <v>31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49</v>
      </c>
      <c r="D30" s="59" t="s">
        <v>42</v>
      </c>
      <c r="E30" s="108" t="s">
        <v>255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49</v>
      </c>
      <c r="D31" s="59" t="s">
        <v>42</v>
      </c>
      <c r="E31" s="108" t="s">
        <v>255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49</v>
      </c>
      <c r="D32" s="59" t="s">
        <v>42</v>
      </c>
      <c r="E32" s="108" t="s">
        <v>255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49</v>
      </c>
      <c r="D33" s="59" t="s">
        <v>42</v>
      </c>
      <c r="E33" s="108" t="s">
        <v>255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49</v>
      </c>
      <c r="D34" s="59" t="s">
        <v>42</v>
      </c>
      <c r="E34" s="108" t="s">
        <v>255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49</v>
      </c>
      <c r="D35" s="59" t="s">
        <v>42</v>
      </c>
      <c r="E35" s="108" t="s">
        <v>255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49</v>
      </c>
      <c r="D36" s="59" t="s">
        <v>42</v>
      </c>
      <c r="E36" s="108" t="s">
        <v>255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49</v>
      </c>
      <c r="D37" s="59" t="s">
        <v>42</v>
      </c>
      <c r="E37" s="108" t="s">
        <v>255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49</v>
      </c>
      <c r="D38" s="59" t="s">
        <v>42</v>
      </c>
      <c r="E38" s="108" t="s">
        <v>255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49</v>
      </c>
      <c r="D39" s="59" t="s">
        <v>42</v>
      </c>
      <c r="E39" s="108" t="s">
        <v>255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49</v>
      </c>
      <c r="D40" s="59" t="s">
        <v>42</v>
      </c>
      <c r="E40" s="108" t="s">
        <v>255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1" t="s">
        <v>240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241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33</v>
      </c>
      <c r="D42" s="62" t="s">
        <v>26</v>
      </c>
      <c r="E42" s="109" t="s">
        <v>255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24</v>
      </c>
      <c r="M42" s="26" t="s">
        <v>56</v>
      </c>
      <c r="N42" s="26" t="s">
        <v>55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33</v>
      </c>
      <c r="D43" s="62" t="s">
        <v>26</v>
      </c>
      <c r="E43" s="109" t="s">
        <v>255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24</v>
      </c>
      <c r="M43" s="33" t="s">
        <v>61</v>
      </c>
      <c r="N43" s="33" t="s">
        <v>55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33</v>
      </c>
      <c r="D44" s="62" t="s">
        <v>26</v>
      </c>
      <c r="E44" s="109" t="s">
        <v>255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23</v>
      </c>
      <c r="M44" s="26" t="s">
        <v>56</v>
      </c>
      <c r="N44" s="26" t="s">
        <v>31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33</v>
      </c>
      <c r="D45" s="62" t="s">
        <v>26</v>
      </c>
      <c r="E45" s="109" t="s">
        <v>255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24</v>
      </c>
      <c r="M45" s="33" t="s">
        <v>61</v>
      </c>
      <c r="N45" s="33" t="s">
        <v>66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317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33</v>
      </c>
      <c r="D46" s="62" t="s">
        <v>26</v>
      </c>
      <c r="E46" s="109" t="s">
        <v>255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24</v>
      </c>
      <c r="M46" s="26" t="s">
        <v>61</v>
      </c>
      <c r="N46" s="26" t="s">
        <v>40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33</v>
      </c>
      <c r="D47" s="62" t="s">
        <v>26</v>
      </c>
      <c r="E47" s="109" t="s">
        <v>255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23</v>
      </c>
      <c r="M47" s="33" t="s">
        <v>61</v>
      </c>
      <c r="N47" s="33" t="s">
        <v>31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33</v>
      </c>
      <c r="D48" s="62" t="s">
        <v>26</v>
      </c>
      <c r="E48" s="109" t="s">
        <v>255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24</v>
      </c>
      <c r="M48" s="26" t="s">
        <v>61</v>
      </c>
      <c r="N48" s="26" t="s">
        <v>32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33</v>
      </c>
      <c r="D49" s="62" t="s">
        <v>26</v>
      </c>
      <c r="E49" s="109" t="s">
        <v>255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33</v>
      </c>
      <c r="D50" s="62" t="s">
        <v>26</v>
      </c>
      <c r="E50" s="109" t="s">
        <v>255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33</v>
      </c>
      <c r="D51" s="62" t="s">
        <v>26</v>
      </c>
      <c r="E51" s="109" t="s">
        <v>255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33</v>
      </c>
      <c r="D52" s="62" t="s">
        <v>26</v>
      </c>
      <c r="E52" s="109" t="s">
        <v>255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33</v>
      </c>
      <c r="D53" s="62" t="s">
        <v>26</v>
      </c>
      <c r="E53" s="109" t="s">
        <v>255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1" t="s">
        <v>243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241</v>
      </c>
      <c r="S54" s="39">
        <v>352430</v>
      </c>
      <c r="T54" s="119">
        <f>IFERROR(J54,"")</f>
        <v>0</v>
      </c>
    </row>
    <row r="55" spans="1:20" ht="18" customHeight="1" x14ac:dyDescent="0.25">
      <c r="A55" s="158" t="s">
        <v>244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245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49</v>
      </c>
      <c r="D56" s="59" t="s">
        <v>42</v>
      </c>
      <c r="E56" s="108" t="s">
        <v>255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24</v>
      </c>
      <c r="M56" s="26" t="s">
        <v>61</v>
      </c>
      <c r="N56" s="33" t="s">
        <v>55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49</v>
      </c>
      <c r="D57" s="59" t="s">
        <v>42</v>
      </c>
      <c r="E57" s="108" t="s">
        <v>255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23</v>
      </c>
      <c r="M57" s="33" t="s">
        <v>56</v>
      </c>
      <c r="N57" s="33" t="s">
        <v>31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49</v>
      </c>
      <c r="D58" s="59" t="s">
        <v>50</v>
      </c>
      <c r="E58" s="108" t="s">
        <v>255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24</v>
      </c>
      <c r="M58" s="26" t="s">
        <v>61</v>
      </c>
      <c r="N58" s="26" t="s">
        <v>211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49</v>
      </c>
      <c r="D59" s="59" t="s">
        <v>42</v>
      </c>
      <c r="E59" s="108" t="s">
        <v>255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22</v>
      </c>
      <c r="M59" s="33" t="s">
        <v>56</v>
      </c>
      <c r="N59" s="33" t="s">
        <v>38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318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49</v>
      </c>
      <c r="D60" s="59" t="s">
        <v>42</v>
      </c>
      <c r="E60" s="108" t="s">
        <v>255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22</v>
      </c>
      <c r="M60" s="26" t="s">
        <v>56</v>
      </c>
      <c r="N60" s="26" t="s">
        <v>134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319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49</v>
      </c>
      <c r="D61" s="59" t="s">
        <v>42</v>
      </c>
      <c r="E61" s="108" t="s">
        <v>255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49</v>
      </c>
      <c r="D62" s="59" t="s">
        <v>42</v>
      </c>
      <c r="E62" s="108" t="s">
        <v>255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49</v>
      </c>
      <c r="D63" s="59" t="s">
        <v>42</v>
      </c>
      <c r="E63" s="108" t="s">
        <v>255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49</v>
      </c>
      <c r="D64" s="59" t="s">
        <v>42</v>
      </c>
      <c r="E64" s="108" t="s">
        <v>255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49</v>
      </c>
      <c r="D65" s="59" t="s">
        <v>42</v>
      </c>
      <c r="E65" s="108" t="s">
        <v>255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49</v>
      </c>
      <c r="D66" s="59" t="s">
        <v>42</v>
      </c>
      <c r="E66" s="108" t="s">
        <v>255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49</v>
      </c>
      <c r="D67" s="59" t="s">
        <v>42</v>
      </c>
      <c r="E67" s="108" t="s">
        <v>255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1" t="s">
        <v>240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241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33</v>
      </c>
      <c r="D69" s="62" t="s">
        <v>42</v>
      </c>
      <c r="E69" s="109" t="s">
        <v>255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22</v>
      </c>
      <c r="M69" s="33" t="s">
        <v>56</v>
      </c>
      <c r="N69" s="33" t="s">
        <v>222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320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33</v>
      </c>
      <c r="D70" s="62" t="s">
        <v>42</v>
      </c>
      <c r="E70" s="109" t="s">
        <v>255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24</v>
      </c>
      <c r="M70" s="26" t="s">
        <v>61</v>
      </c>
      <c r="N70" s="26" t="s">
        <v>66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33</v>
      </c>
      <c r="D71" s="62" t="s">
        <v>42</v>
      </c>
      <c r="E71" s="109" t="s">
        <v>255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23</v>
      </c>
      <c r="M71" s="33" t="s">
        <v>61</v>
      </c>
      <c r="N71" s="33" t="s">
        <v>31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33</v>
      </c>
      <c r="D72" s="62" t="s">
        <v>42</v>
      </c>
      <c r="E72" s="109" t="s">
        <v>255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22</v>
      </c>
      <c r="M72" s="26" t="s">
        <v>61</v>
      </c>
      <c r="N72" s="26" t="s">
        <v>134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297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33</v>
      </c>
      <c r="D73" s="62" t="s">
        <v>42</v>
      </c>
      <c r="E73" s="109" t="s">
        <v>255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23</v>
      </c>
      <c r="M73" s="33" t="s">
        <v>56</v>
      </c>
      <c r="N73" s="33" t="s">
        <v>31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33</v>
      </c>
      <c r="D74" s="62" t="s">
        <v>42</v>
      </c>
      <c r="E74" s="109" t="s">
        <v>255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24</v>
      </c>
      <c r="M74" s="26" t="s">
        <v>56</v>
      </c>
      <c r="N74" s="33" t="s">
        <v>211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33</v>
      </c>
      <c r="D75" s="62" t="s">
        <v>42</v>
      </c>
      <c r="E75" s="109" t="s">
        <v>255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33</v>
      </c>
      <c r="D76" s="62" t="s">
        <v>42</v>
      </c>
      <c r="E76" s="109" t="s">
        <v>255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33</v>
      </c>
      <c r="D77" s="62" t="s">
        <v>42</v>
      </c>
      <c r="E77" s="109" t="s">
        <v>255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33</v>
      </c>
      <c r="D78" s="62" t="s">
        <v>42</v>
      </c>
      <c r="E78" s="109" t="s">
        <v>255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33</v>
      </c>
      <c r="D79" s="62" t="s">
        <v>34</v>
      </c>
      <c r="E79" s="109" t="s">
        <v>255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33</v>
      </c>
      <c r="D80" s="62" t="s">
        <v>34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1" t="s">
        <v>243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241</v>
      </c>
      <c r="S81" s="39">
        <v>612410</v>
      </c>
      <c r="T81" s="119">
        <f>IFERROR(J81,"")</f>
        <v>0</v>
      </c>
    </row>
    <row r="82" spans="1:20" ht="18" customHeight="1" x14ac:dyDescent="0.25">
      <c r="A82" s="158" t="s">
        <v>244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245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49</v>
      </c>
      <c r="D83" s="59" t="s">
        <v>34</v>
      </c>
      <c r="E83" s="108" t="s">
        <v>255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23</v>
      </c>
      <c r="M83" s="33" t="s">
        <v>167</v>
      </c>
      <c r="N83" s="33" t="s">
        <v>31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49</v>
      </c>
      <c r="D84" s="59" t="s">
        <v>34</v>
      </c>
      <c r="E84" s="108" t="s">
        <v>255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23</v>
      </c>
      <c r="M84" s="26" t="s">
        <v>56</v>
      </c>
      <c r="N84" s="26" t="s">
        <v>31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49</v>
      </c>
      <c r="D85" s="59" t="s">
        <v>34</v>
      </c>
      <c r="E85" s="108" t="s">
        <v>255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49</v>
      </c>
      <c r="D86" s="59" t="s">
        <v>34</v>
      </c>
      <c r="E86" s="108" t="s">
        <v>255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49</v>
      </c>
      <c r="D87" s="59" t="s">
        <v>34</v>
      </c>
      <c r="E87" s="108" t="s">
        <v>255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49</v>
      </c>
      <c r="D88" s="59" t="s">
        <v>34</v>
      </c>
      <c r="E88" s="108" t="s">
        <v>255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49</v>
      </c>
      <c r="D89" s="59" t="s">
        <v>34</v>
      </c>
      <c r="E89" s="108" t="s">
        <v>255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49</v>
      </c>
      <c r="D90" s="59" t="s">
        <v>34</v>
      </c>
      <c r="E90" s="108" t="s">
        <v>255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49</v>
      </c>
      <c r="D91" s="59" t="s">
        <v>34</v>
      </c>
      <c r="E91" s="108" t="s">
        <v>255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49</v>
      </c>
      <c r="D92" s="59" t="s">
        <v>34</v>
      </c>
      <c r="E92" s="108" t="s">
        <v>255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49</v>
      </c>
      <c r="D93" s="59" t="s">
        <v>34</v>
      </c>
      <c r="E93" s="108" t="s">
        <v>255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49</v>
      </c>
      <c r="D94" s="59" t="s">
        <v>34</v>
      </c>
      <c r="E94" s="108" t="s">
        <v>255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1" t="s">
        <v>240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241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33</v>
      </c>
      <c r="D96" s="62" t="s">
        <v>34</v>
      </c>
      <c r="E96" s="109" t="s">
        <v>255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23</v>
      </c>
      <c r="M96" s="26" t="s">
        <v>167</v>
      </c>
      <c r="N96" s="26" t="s">
        <v>31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33</v>
      </c>
      <c r="D97" s="62" t="s">
        <v>34</v>
      </c>
      <c r="E97" s="109" t="s">
        <v>255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22</v>
      </c>
      <c r="M97" s="33" t="s">
        <v>56</v>
      </c>
      <c r="N97" s="33" t="s">
        <v>134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297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33</v>
      </c>
      <c r="D98" s="62" t="s">
        <v>34</v>
      </c>
      <c r="E98" s="109" t="s">
        <v>255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33</v>
      </c>
      <c r="D99" s="62" t="s">
        <v>34</v>
      </c>
      <c r="E99" s="109" t="s">
        <v>255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33</v>
      </c>
      <c r="D100" s="62" t="s">
        <v>34</v>
      </c>
      <c r="E100" s="109" t="s">
        <v>255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33</v>
      </c>
      <c r="D101" s="62" t="s">
        <v>34</v>
      </c>
      <c r="E101" s="109" t="s">
        <v>255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33</v>
      </c>
      <c r="D102" s="62" t="s">
        <v>34</v>
      </c>
      <c r="E102" s="109" t="s">
        <v>255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33</v>
      </c>
      <c r="D103" s="62" t="s">
        <v>34</v>
      </c>
      <c r="E103" s="109" t="s">
        <v>255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33</v>
      </c>
      <c r="D104" s="62" t="s">
        <v>34</v>
      </c>
      <c r="E104" s="109" t="s">
        <v>255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33</v>
      </c>
      <c r="D105" s="62" t="s">
        <v>34</v>
      </c>
      <c r="E105" s="109" t="s">
        <v>255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33</v>
      </c>
      <c r="D106" s="62" t="s">
        <v>34</v>
      </c>
      <c r="E106" s="109" t="s">
        <v>255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33</v>
      </c>
      <c r="D107" s="62" t="s">
        <v>34</v>
      </c>
      <c r="E107" s="109" t="s">
        <v>255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1" t="s">
        <v>243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241</v>
      </c>
      <c r="S108" s="39">
        <v>956070</v>
      </c>
      <c r="T108" s="119">
        <f>IFERROR(J108,"")</f>
        <v>0</v>
      </c>
    </row>
    <row r="109" spans="1:20" ht="18" customHeight="1" x14ac:dyDescent="0.25">
      <c r="A109" s="158" t="s">
        <v>244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245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49</v>
      </c>
      <c r="D110" s="59" t="s">
        <v>34</v>
      </c>
      <c r="E110" s="108" t="s">
        <v>255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167</v>
      </c>
      <c r="N110" s="26" t="s">
        <v>31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49</v>
      </c>
      <c r="D111" s="59" t="s">
        <v>34</v>
      </c>
      <c r="E111" s="108" t="s">
        <v>255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22</v>
      </c>
      <c r="M111" s="33" t="s">
        <v>61</v>
      </c>
      <c r="N111" s="33" t="s">
        <v>222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49</v>
      </c>
      <c r="D112" s="59" t="s">
        <v>34</v>
      </c>
      <c r="E112" s="108" t="s">
        <v>255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22</v>
      </c>
      <c r="M112" s="26"/>
      <c r="N112" s="33" t="s">
        <v>227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49</v>
      </c>
      <c r="D113" s="59" t="s">
        <v>34</v>
      </c>
      <c r="E113" s="108" t="s">
        <v>255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22</v>
      </c>
      <c r="M113" s="33"/>
      <c r="N113" s="33" t="s">
        <v>227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49</v>
      </c>
      <c r="D114" s="59" t="s">
        <v>34</v>
      </c>
      <c r="E114" s="108" t="s">
        <v>255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23</v>
      </c>
      <c r="M114" s="26" t="s">
        <v>167</v>
      </c>
      <c r="N114" s="26" t="s">
        <v>31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321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49</v>
      </c>
      <c r="D115" s="59" t="s">
        <v>34</v>
      </c>
      <c r="E115" s="108" t="s">
        <v>255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49</v>
      </c>
      <c r="D116" s="59" t="s">
        <v>34</v>
      </c>
      <c r="E116" s="108" t="s">
        <v>255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49</v>
      </c>
      <c r="D117" s="59" t="s">
        <v>34</v>
      </c>
      <c r="E117" s="108" t="s">
        <v>255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49</v>
      </c>
      <c r="D118" s="59" t="s">
        <v>34</v>
      </c>
      <c r="E118" s="108" t="s">
        <v>255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49</v>
      </c>
      <c r="D119" s="59" t="s">
        <v>34</v>
      </c>
      <c r="E119" s="108" t="s">
        <v>255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49</v>
      </c>
      <c r="D120" s="59" t="s">
        <v>34</v>
      </c>
      <c r="E120" s="108" t="s">
        <v>255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49</v>
      </c>
      <c r="D121" s="59" t="s">
        <v>34</v>
      </c>
      <c r="E121" s="108" t="s">
        <v>255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1" t="s">
        <v>240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241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33</v>
      </c>
      <c r="D123" s="62" t="s">
        <v>34</v>
      </c>
      <c r="E123" s="109" t="s">
        <v>255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24</v>
      </c>
      <c r="M123" s="33" t="s">
        <v>56</v>
      </c>
      <c r="N123" s="33" t="s">
        <v>211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33</v>
      </c>
      <c r="D124" s="62" t="s">
        <v>34</v>
      </c>
      <c r="E124" s="109" t="s">
        <v>255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24</v>
      </c>
      <c r="M124" s="26" t="s">
        <v>56</v>
      </c>
      <c r="N124" s="26" t="s">
        <v>60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322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33</v>
      </c>
      <c r="D125" s="62" t="s">
        <v>34</v>
      </c>
      <c r="E125" s="109" t="s">
        <v>255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24</v>
      </c>
      <c r="M125" s="33" t="s">
        <v>56</v>
      </c>
      <c r="N125" s="33" t="s">
        <v>40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33</v>
      </c>
      <c r="D126" s="62" t="s">
        <v>34</v>
      </c>
      <c r="E126" s="109" t="s">
        <v>255</v>
      </c>
      <c r="F126" s="134"/>
      <c r="G126" s="105">
        <v>24</v>
      </c>
      <c r="H126" s="134"/>
      <c r="I126" s="135"/>
      <c r="J126" s="136"/>
      <c r="K126" s="28"/>
      <c r="L126" s="26" t="s">
        <v>23</v>
      </c>
      <c r="M126" s="26" t="s">
        <v>61</v>
      </c>
      <c r="N126" s="26" t="s">
        <v>31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33</v>
      </c>
      <c r="D127" s="62" t="s">
        <v>34</v>
      </c>
      <c r="E127" s="109" t="s">
        <v>255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23</v>
      </c>
      <c r="M127" s="33" t="s">
        <v>56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33</v>
      </c>
      <c r="D128" s="62" t="s">
        <v>34</v>
      </c>
      <c r="E128" s="109" t="s">
        <v>255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23</v>
      </c>
      <c r="M128" s="26" t="s">
        <v>61</v>
      </c>
      <c r="N128" s="26" t="s">
        <v>31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33</v>
      </c>
      <c r="D129" s="62" t="s">
        <v>34</v>
      </c>
      <c r="E129" s="109" t="s">
        <v>255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22</v>
      </c>
      <c r="M129" s="33" t="s">
        <v>56</v>
      </c>
      <c r="N129" s="33" t="s">
        <v>134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297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33</v>
      </c>
      <c r="D130" s="62" t="s">
        <v>34</v>
      </c>
      <c r="E130" s="109" t="s">
        <v>255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24</v>
      </c>
      <c r="M130" s="26" t="s">
        <v>61</v>
      </c>
      <c r="N130" s="26" t="s">
        <v>55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33</v>
      </c>
      <c r="D131" s="62" t="s">
        <v>34</v>
      </c>
      <c r="E131" s="109" t="s">
        <v>255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33</v>
      </c>
      <c r="D132" s="62" t="s">
        <v>34</v>
      </c>
      <c r="E132" s="109" t="s">
        <v>255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33</v>
      </c>
      <c r="D133" s="62" t="s">
        <v>34</v>
      </c>
      <c r="E133" s="109" t="s">
        <v>255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33</v>
      </c>
      <c r="D134" s="62" t="s">
        <v>34</v>
      </c>
      <c r="E134" s="109" t="s">
        <v>255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1" t="s">
        <v>243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241</v>
      </c>
      <c r="S135" s="39">
        <v>912240</v>
      </c>
      <c r="T135" s="119">
        <f>IFERROR(J135,"")</f>
        <v>0</v>
      </c>
    </row>
    <row r="136" spans="1:22" ht="18" customHeight="1" x14ac:dyDescent="0.25">
      <c r="A136" s="158" t="s">
        <v>244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245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25</v>
      </c>
      <c r="D137" s="62" t="s">
        <v>34</v>
      </c>
      <c r="E137" s="109" t="s">
        <v>255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21</v>
      </c>
      <c r="M137" s="33"/>
      <c r="N137" s="33" t="s">
        <v>29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25</v>
      </c>
      <c r="D138" s="62" t="s">
        <v>34</v>
      </c>
      <c r="E138" s="109" t="s">
        <v>255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24</v>
      </c>
      <c r="M138" s="26" t="s">
        <v>167</v>
      </c>
      <c r="N138" s="26" t="s">
        <v>40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323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25</v>
      </c>
      <c r="D139" s="62" t="s">
        <v>42</v>
      </c>
      <c r="E139" s="109" t="s">
        <v>255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20</v>
      </c>
      <c r="M139" s="33" t="s">
        <v>56</v>
      </c>
      <c r="N139" s="33" t="s">
        <v>114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324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25</v>
      </c>
      <c r="D140" s="62" t="s">
        <v>42</v>
      </c>
      <c r="E140" s="109" t="s">
        <v>255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24</v>
      </c>
      <c r="M140" s="26" t="s">
        <v>61</v>
      </c>
      <c r="N140" s="26" t="s">
        <v>55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25</v>
      </c>
      <c r="D141" s="62" t="s">
        <v>42</v>
      </c>
      <c r="E141" s="109" t="s">
        <v>255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24</v>
      </c>
      <c r="M141" s="33" t="s">
        <v>145</v>
      </c>
      <c r="N141" s="33" t="s">
        <v>78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25</v>
      </c>
      <c r="D142" s="62" t="s">
        <v>42</v>
      </c>
      <c r="E142" s="109" t="s">
        <v>255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24</v>
      </c>
      <c r="M142" s="26" t="s">
        <v>56</v>
      </c>
      <c r="N142" s="26" t="s">
        <v>55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25</v>
      </c>
      <c r="D143" s="62" t="s">
        <v>42</v>
      </c>
      <c r="E143" s="109" t="s">
        <v>255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23</v>
      </c>
      <c r="M143" s="33" t="s">
        <v>167</v>
      </c>
      <c r="N143" s="33" t="s">
        <v>31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25</v>
      </c>
      <c r="D144" s="62" t="s">
        <v>42</v>
      </c>
      <c r="E144" s="109" t="s">
        <v>255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20</v>
      </c>
      <c r="M144" s="26" t="s">
        <v>61</v>
      </c>
      <c r="N144" s="26" t="s">
        <v>114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25</v>
      </c>
      <c r="D145" s="62" t="s">
        <v>42</v>
      </c>
      <c r="E145" s="109" t="s">
        <v>255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25</v>
      </c>
      <c r="D146" s="62" t="s">
        <v>42</v>
      </c>
      <c r="E146" s="109" t="s">
        <v>255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25</v>
      </c>
      <c r="D147" s="62" t="s">
        <v>42</v>
      </c>
      <c r="E147" s="109" t="s">
        <v>255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25</v>
      </c>
      <c r="D148" s="62" t="s">
        <v>42</v>
      </c>
      <c r="E148" s="109" t="s">
        <v>255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240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241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49</v>
      </c>
      <c r="D150" s="59" t="s">
        <v>42</v>
      </c>
      <c r="E150" s="108" t="s">
        <v>255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23</v>
      </c>
      <c r="M150" s="26" t="s">
        <v>167</v>
      </c>
      <c r="N150" s="26" t="s">
        <v>31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325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49</v>
      </c>
      <c r="D151" s="59" t="s">
        <v>42</v>
      </c>
      <c r="E151" s="108" t="s">
        <v>255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20</v>
      </c>
      <c r="M151" s="33" t="s">
        <v>144</v>
      </c>
      <c r="N151" s="33" t="s">
        <v>62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326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49</v>
      </c>
      <c r="D152" s="59" t="s">
        <v>42</v>
      </c>
      <c r="E152" s="108" t="s">
        <v>255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49</v>
      </c>
      <c r="D153" s="59" t="s">
        <v>42</v>
      </c>
      <c r="E153" s="108" t="s">
        <v>255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49</v>
      </c>
      <c r="D154" s="59" t="s">
        <v>42</v>
      </c>
      <c r="E154" s="108" t="s">
        <v>255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49</v>
      </c>
      <c r="D155" s="59" t="s">
        <v>42</v>
      </c>
      <c r="E155" s="108" t="s">
        <v>255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49</v>
      </c>
      <c r="D156" s="59" t="s">
        <v>42</v>
      </c>
      <c r="E156" s="108" t="s">
        <v>255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49</v>
      </c>
      <c r="D157" s="59" t="s">
        <v>42</v>
      </c>
      <c r="E157" s="108" t="s">
        <v>255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49</v>
      </c>
      <c r="D158" s="59" t="s">
        <v>42</v>
      </c>
      <c r="E158" s="108" t="s">
        <v>255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49</v>
      </c>
      <c r="D159" s="59" t="s">
        <v>42</v>
      </c>
      <c r="E159" s="108" t="s">
        <v>255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49</v>
      </c>
      <c r="D160" s="59" t="s">
        <v>42</v>
      </c>
      <c r="E160" s="108" t="s">
        <v>255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49</v>
      </c>
      <c r="D161" s="59" t="s">
        <v>42</v>
      </c>
      <c r="E161" s="108" t="s">
        <v>255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1" t="s">
        <v>243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241</v>
      </c>
      <c r="S162" s="39">
        <v>573230</v>
      </c>
      <c r="T162" s="119">
        <f>IFERROR(J162,"")</f>
        <v>0</v>
      </c>
    </row>
    <row r="163" spans="1:20" ht="18" customHeight="1" x14ac:dyDescent="0.25">
      <c r="A163" s="158" t="s">
        <v>244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245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25</v>
      </c>
      <c r="D164" s="59" t="s">
        <v>42</v>
      </c>
      <c r="E164" s="108" t="s">
        <v>255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24</v>
      </c>
      <c r="M164" s="26" t="s">
        <v>144</v>
      </c>
      <c r="N164" s="26" t="s">
        <v>138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25</v>
      </c>
      <c r="D165" s="59" t="s">
        <v>42</v>
      </c>
      <c r="E165" s="108" t="s">
        <v>255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24</v>
      </c>
      <c r="M165" s="33" t="s">
        <v>167</v>
      </c>
      <c r="N165" s="33" t="s">
        <v>188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25</v>
      </c>
      <c r="D166" s="59" t="s">
        <v>42</v>
      </c>
      <c r="E166" s="108" t="s">
        <v>255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23</v>
      </c>
      <c r="M166" s="26" t="s">
        <v>167</v>
      </c>
      <c r="N166" s="26" t="s">
        <v>31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25</v>
      </c>
      <c r="D167" s="59" t="s">
        <v>42</v>
      </c>
      <c r="E167" s="108" t="s">
        <v>255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24</v>
      </c>
      <c r="M167" s="33" t="s">
        <v>61</v>
      </c>
      <c r="N167" s="33" t="s">
        <v>40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25</v>
      </c>
      <c r="D168" s="59" t="s">
        <v>42</v>
      </c>
      <c r="E168" s="108" t="s">
        <v>255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22</v>
      </c>
      <c r="M168" s="26" t="s">
        <v>61</v>
      </c>
      <c r="N168" s="26" t="s">
        <v>161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25</v>
      </c>
      <c r="D169" s="59" t="s">
        <v>42</v>
      </c>
      <c r="E169" s="108" t="s">
        <v>255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24</v>
      </c>
      <c r="M169" s="33" t="s">
        <v>145</v>
      </c>
      <c r="N169" s="33" t="s">
        <v>78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25</v>
      </c>
      <c r="D170" s="59" t="s">
        <v>42</v>
      </c>
      <c r="E170" s="108" t="s">
        <v>255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23</v>
      </c>
      <c r="M170" s="26" t="s">
        <v>167</v>
      </c>
      <c r="N170" s="26" t="s">
        <v>31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327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25</v>
      </c>
      <c r="D171" s="59" t="s">
        <v>42</v>
      </c>
      <c r="E171" s="108" t="s">
        <v>255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24</v>
      </c>
      <c r="M171" s="33" t="s">
        <v>145</v>
      </c>
      <c r="N171" s="33" t="s">
        <v>78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25</v>
      </c>
      <c r="D172" s="59" t="s">
        <v>42</v>
      </c>
      <c r="E172" s="108" t="s">
        <v>255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25</v>
      </c>
      <c r="D173" s="59" t="s">
        <v>42</v>
      </c>
      <c r="E173" s="108" t="s">
        <v>255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25</v>
      </c>
      <c r="D174" s="59" t="s">
        <v>42</v>
      </c>
      <c r="E174" s="108" t="s">
        <v>255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25</v>
      </c>
      <c r="D175" s="59" t="s">
        <v>42</v>
      </c>
      <c r="E175" s="108" t="s">
        <v>255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1" t="s">
        <v>240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241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49</v>
      </c>
      <c r="D177" s="62" t="s">
        <v>42</v>
      </c>
      <c r="E177" s="109" t="s">
        <v>255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21</v>
      </c>
      <c r="M177" s="33"/>
      <c r="N177" s="33" t="s">
        <v>121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328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49</v>
      </c>
      <c r="D178" s="62" t="s">
        <v>42</v>
      </c>
      <c r="E178" s="109" t="s">
        <v>255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22</v>
      </c>
      <c r="M178" s="26" t="s">
        <v>145</v>
      </c>
      <c r="N178" s="26" t="s">
        <v>134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49</v>
      </c>
      <c r="D179" s="62" t="s">
        <v>42</v>
      </c>
      <c r="E179" s="109" t="s">
        <v>255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23</v>
      </c>
      <c r="M179" s="33" t="s">
        <v>167</v>
      </c>
      <c r="N179" s="26" t="s">
        <v>31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49</v>
      </c>
      <c r="D180" s="62" t="s">
        <v>42</v>
      </c>
      <c r="E180" s="109" t="s">
        <v>255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49</v>
      </c>
      <c r="D181" s="62" t="s">
        <v>42</v>
      </c>
      <c r="E181" s="109" t="s">
        <v>255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49</v>
      </c>
      <c r="D182" s="62" t="s">
        <v>42</v>
      </c>
      <c r="E182" s="109" t="s">
        <v>255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49</v>
      </c>
      <c r="D183" s="62" t="s">
        <v>42</v>
      </c>
      <c r="E183" s="109" t="s">
        <v>255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49</v>
      </c>
      <c r="D184" s="62" t="s">
        <v>42</v>
      </c>
      <c r="E184" s="109" t="s">
        <v>255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49</v>
      </c>
      <c r="D185" s="62" t="s">
        <v>42</v>
      </c>
      <c r="E185" s="109" t="s">
        <v>255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49</v>
      </c>
      <c r="D186" s="62" t="s">
        <v>42</v>
      </c>
      <c r="E186" s="109" t="s">
        <v>255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49</v>
      </c>
      <c r="D187" s="62" t="s">
        <v>42</v>
      </c>
      <c r="E187" s="109" t="s">
        <v>255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49</v>
      </c>
      <c r="D188" s="62" t="s">
        <v>42</v>
      </c>
      <c r="E188" s="109" t="s">
        <v>255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1" t="s">
        <v>243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241</v>
      </c>
      <c r="S189" s="39">
        <v>692750</v>
      </c>
      <c r="T189" s="119">
        <f>IFERROR(J189,"")</f>
        <v>0</v>
      </c>
    </row>
    <row r="190" spans="1:20" ht="18" customHeight="1" x14ac:dyDescent="0.25">
      <c r="A190" s="158" t="s">
        <v>244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245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25</v>
      </c>
      <c r="D191" s="62" t="s">
        <v>42</v>
      </c>
      <c r="E191" s="109" t="s">
        <v>255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23</v>
      </c>
      <c r="M191" s="33" t="s">
        <v>167</v>
      </c>
      <c r="N191" s="33" t="s">
        <v>31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25</v>
      </c>
      <c r="D192" s="62" t="s">
        <v>42</v>
      </c>
      <c r="E192" s="109" t="s">
        <v>255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22</v>
      </c>
      <c r="M192" s="26" t="s">
        <v>56</v>
      </c>
      <c r="N192" s="33" t="s">
        <v>161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329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25</v>
      </c>
      <c r="D193" s="62" t="s">
        <v>42</v>
      </c>
      <c r="E193" s="109" t="s">
        <v>255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24</v>
      </c>
      <c r="M193" s="33" t="s">
        <v>61</v>
      </c>
      <c r="N193" s="33" t="s">
        <v>32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25</v>
      </c>
      <c r="D194" s="62" t="s">
        <v>42</v>
      </c>
      <c r="E194" s="109" t="s">
        <v>255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24</v>
      </c>
      <c r="M194" s="26" t="s">
        <v>162</v>
      </c>
      <c r="N194" s="26" t="s">
        <v>78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25</v>
      </c>
      <c r="D195" s="62" t="s">
        <v>42</v>
      </c>
      <c r="E195" s="109" t="s">
        <v>255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25</v>
      </c>
      <c r="D196" s="62" t="s">
        <v>42</v>
      </c>
      <c r="E196" s="109" t="s">
        <v>255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25</v>
      </c>
      <c r="D197" s="62" t="s">
        <v>42</v>
      </c>
      <c r="E197" s="109" t="s">
        <v>255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25</v>
      </c>
      <c r="D198" s="62" t="s">
        <v>42</v>
      </c>
      <c r="E198" s="109" t="s">
        <v>255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25</v>
      </c>
      <c r="D199" s="62" t="s">
        <v>42</v>
      </c>
      <c r="E199" s="109" t="s">
        <v>255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25</v>
      </c>
      <c r="D200" s="62" t="s">
        <v>42</v>
      </c>
      <c r="E200" s="109" t="s">
        <v>255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25</v>
      </c>
      <c r="D201" s="62" t="s">
        <v>42</v>
      </c>
      <c r="E201" s="109" t="s">
        <v>255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25</v>
      </c>
      <c r="D202" s="62" t="s">
        <v>42</v>
      </c>
      <c r="E202" s="109" t="s">
        <v>255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1" t="s">
        <v>240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241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49</v>
      </c>
      <c r="D204" s="59" t="s">
        <v>42</v>
      </c>
      <c r="E204" s="108" t="s">
        <v>255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22</v>
      </c>
      <c r="M204" s="33" t="s">
        <v>61</v>
      </c>
      <c r="N204" s="26" t="s">
        <v>38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330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49</v>
      </c>
      <c r="D205" s="59" t="s">
        <v>42</v>
      </c>
      <c r="E205" s="108" t="s">
        <v>255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24</v>
      </c>
      <c r="M205" s="57" t="s">
        <v>331</v>
      </c>
      <c r="N205" s="33" t="s">
        <v>32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49</v>
      </c>
      <c r="D206" s="59" t="s">
        <v>42</v>
      </c>
      <c r="E206" s="108" t="s">
        <v>255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24</v>
      </c>
      <c r="M206" s="26" t="s">
        <v>56</v>
      </c>
      <c r="N206" s="26" t="s">
        <v>40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332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49</v>
      </c>
      <c r="D207" s="59" t="s">
        <v>42</v>
      </c>
      <c r="E207" s="108" t="s">
        <v>255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49</v>
      </c>
      <c r="D208" s="59" t="s">
        <v>42</v>
      </c>
      <c r="E208" s="108" t="s">
        <v>255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49</v>
      </c>
      <c r="D209" s="59" t="s">
        <v>42</v>
      </c>
      <c r="E209" s="108" t="s">
        <v>255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49</v>
      </c>
      <c r="D210" s="59" t="s">
        <v>42</v>
      </c>
      <c r="E210" s="108" t="s">
        <v>255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49</v>
      </c>
      <c r="D211" s="59" t="s">
        <v>42</v>
      </c>
      <c r="E211" s="108" t="s">
        <v>255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49</v>
      </c>
      <c r="D212" s="59" t="s">
        <v>42</v>
      </c>
      <c r="E212" s="108" t="s">
        <v>255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49</v>
      </c>
      <c r="D213" s="59" t="s">
        <v>42</v>
      </c>
      <c r="E213" s="108" t="s">
        <v>255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49</v>
      </c>
      <c r="D214" s="59" t="s">
        <v>42</v>
      </c>
      <c r="E214" s="108" t="s">
        <v>255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49</v>
      </c>
      <c r="D215" s="59" t="s">
        <v>42</v>
      </c>
      <c r="E215" s="108" t="s">
        <v>255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1" t="s">
        <v>243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241</v>
      </c>
      <c r="S216" s="45">
        <v>607180</v>
      </c>
      <c r="T216" s="122">
        <f>IFERROR(J216,"")</f>
        <v>0</v>
      </c>
    </row>
    <row r="217" spans="1:20" ht="18" customHeight="1" x14ac:dyDescent="0.25">
      <c r="A217" s="158" t="s">
        <v>244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245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33</v>
      </c>
      <c r="D218" s="59" t="s">
        <v>42</v>
      </c>
      <c r="E218" s="108" t="s">
        <v>255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23</v>
      </c>
      <c r="M218" s="26" t="s">
        <v>61</v>
      </c>
      <c r="N218" s="26" t="s">
        <v>31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33</v>
      </c>
      <c r="D219" s="59" t="s">
        <v>42</v>
      </c>
      <c r="E219" s="108" t="s">
        <v>255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23</v>
      </c>
      <c r="M219" s="33" t="s">
        <v>56</v>
      </c>
      <c r="N219" s="33" t="s">
        <v>31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33</v>
      </c>
      <c r="D220" s="59" t="s">
        <v>42</v>
      </c>
      <c r="E220" s="108" t="s">
        <v>255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24</v>
      </c>
      <c r="M220" s="26" t="s">
        <v>56</v>
      </c>
      <c r="N220" s="26" t="s">
        <v>60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333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33</v>
      </c>
      <c r="D221" s="59" t="s">
        <v>42</v>
      </c>
      <c r="E221" s="108" t="s">
        <v>255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61</v>
      </c>
      <c r="N221" s="33" t="s">
        <v>82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334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33</v>
      </c>
      <c r="D222" s="59" t="s">
        <v>42</v>
      </c>
      <c r="E222" s="108" t="s">
        <v>239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33</v>
      </c>
      <c r="D223" s="59" t="s">
        <v>42</v>
      </c>
      <c r="E223" s="108" t="s">
        <v>255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33</v>
      </c>
      <c r="D224" s="59" t="s">
        <v>42</v>
      </c>
      <c r="E224" s="108" t="s">
        <v>255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33</v>
      </c>
      <c r="D225" s="59" t="s">
        <v>42</v>
      </c>
      <c r="E225" s="108" t="s">
        <v>255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33</v>
      </c>
      <c r="D226" s="59" t="s">
        <v>42</v>
      </c>
      <c r="E226" s="108" t="s">
        <v>255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33</v>
      </c>
      <c r="D227" s="59" t="s">
        <v>42</v>
      </c>
      <c r="E227" s="108" t="s">
        <v>255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33</v>
      </c>
      <c r="D228" s="59" t="s">
        <v>42</v>
      </c>
      <c r="E228" s="108" t="s">
        <v>255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33</v>
      </c>
      <c r="D229" s="59" t="s">
        <v>42</v>
      </c>
      <c r="E229" s="108" t="s">
        <v>255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1" t="s">
        <v>240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241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49</v>
      </c>
      <c r="D231" s="62" t="s">
        <v>42</v>
      </c>
      <c r="E231" s="109" t="s">
        <v>255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24</v>
      </c>
      <c r="M231" s="33" t="s">
        <v>61</v>
      </c>
      <c r="N231" s="33" t="s">
        <v>40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335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49</v>
      </c>
      <c r="D232" s="62" t="s">
        <v>42</v>
      </c>
      <c r="E232" s="109" t="s">
        <v>239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24</v>
      </c>
      <c r="M232" s="26" t="s">
        <v>61</v>
      </c>
      <c r="N232" s="26" t="s">
        <v>60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336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49</v>
      </c>
      <c r="D233" s="62" t="s">
        <v>42</v>
      </c>
      <c r="E233" s="109" t="s">
        <v>255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22</v>
      </c>
      <c r="M233" s="33" t="s">
        <v>156</v>
      </c>
      <c r="N233" s="33" t="s">
        <v>134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49</v>
      </c>
      <c r="D234" s="62" t="s">
        <v>42</v>
      </c>
      <c r="E234" s="109" t="s">
        <v>239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23</v>
      </c>
      <c r="M234" s="26" t="s">
        <v>56</v>
      </c>
      <c r="N234" s="26" t="s">
        <v>31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49</v>
      </c>
      <c r="D235" s="62" t="s">
        <v>42</v>
      </c>
      <c r="E235" s="109" t="s">
        <v>239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49</v>
      </c>
      <c r="D236" s="62" t="s">
        <v>42</v>
      </c>
      <c r="E236" s="109" t="s">
        <v>239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49</v>
      </c>
      <c r="D237" s="62" t="s">
        <v>42</v>
      </c>
      <c r="E237" s="109" t="s">
        <v>239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49</v>
      </c>
      <c r="D238" s="62" t="s">
        <v>42</v>
      </c>
      <c r="E238" s="109" t="s">
        <v>239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49</v>
      </c>
      <c r="D239" s="62" t="s">
        <v>42</v>
      </c>
      <c r="E239" s="109" t="s">
        <v>239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49</v>
      </c>
      <c r="D240" s="62" t="s">
        <v>42</v>
      </c>
      <c r="E240" s="109" t="s">
        <v>239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49</v>
      </c>
      <c r="D241" s="62" t="s">
        <v>42</v>
      </c>
      <c r="E241" s="109" t="s">
        <v>239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49</v>
      </c>
      <c r="D242" s="62" t="s">
        <v>42</v>
      </c>
      <c r="E242" s="109" t="s">
        <v>239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1" t="s">
        <v>243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241</v>
      </c>
      <c r="S243" s="39">
        <v>795250</v>
      </c>
      <c r="T243" s="119">
        <f>IFERROR(J243,"")</f>
        <v>0</v>
      </c>
    </row>
    <row r="244" spans="1:20" ht="18" customHeight="1" x14ac:dyDescent="0.25">
      <c r="A244" s="158" t="s">
        <v>244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245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33</v>
      </c>
      <c r="D245" s="59" t="s">
        <v>42</v>
      </c>
      <c r="E245" s="108" t="s">
        <v>239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22</v>
      </c>
      <c r="M245" s="33" t="s">
        <v>56</v>
      </c>
      <c r="N245" s="33" t="s">
        <v>171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33</v>
      </c>
      <c r="D246" s="59" t="s">
        <v>42</v>
      </c>
      <c r="E246" s="108" t="s">
        <v>239</v>
      </c>
      <c r="F246" s="134"/>
      <c r="G246" s="27" t="s">
        <v>337</v>
      </c>
      <c r="H246" s="134"/>
      <c r="I246" s="135"/>
      <c r="J246" s="136"/>
      <c r="K246" s="34" t="e">
        <f t="shared" si="54"/>
        <v>#VALUE!</v>
      </c>
      <c r="L246" s="33" t="s">
        <v>24</v>
      </c>
      <c r="M246" s="26" t="s">
        <v>61</v>
      </c>
      <c r="N246" s="33" t="s">
        <v>32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33</v>
      </c>
      <c r="D247" s="59" t="s">
        <v>42</v>
      </c>
      <c r="E247" s="108" t="s">
        <v>239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24</v>
      </c>
      <c r="M247" s="33" t="s">
        <v>56</v>
      </c>
      <c r="N247" s="33" t="s">
        <v>66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33</v>
      </c>
      <c r="D248" s="59" t="s">
        <v>42</v>
      </c>
      <c r="E248" s="108" t="s">
        <v>239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23</v>
      </c>
      <c r="M248" s="26" t="s">
        <v>61</v>
      </c>
      <c r="N248" s="26" t="s">
        <v>31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33</v>
      </c>
      <c r="D249" s="59" t="s">
        <v>34</v>
      </c>
      <c r="E249" s="108" t="s">
        <v>255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22</v>
      </c>
      <c r="M249" s="33" t="s">
        <v>156</v>
      </c>
      <c r="N249" s="33" t="s">
        <v>134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338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33</v>
      </c>
      <c r="D250" s="59" t="s">
        <v>34</v>
      </c>
      <c r="E250" s="108" t="s">
        <v>255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23</v>
      </c>
      <c r="M250" s="26" t="s">
        <v>56</v>
      </c>
      <c r="N250" s="26" t="s">
        <v>31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33</v>
      </c>
      <c r="D251" s="59" t="s">
        <v>34</v>
      </c>
      <c r="E251" s="108" t="s">
        <v>255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24</v>
      </c>
      <c r="M251" s="33" t="s">
        <v>56</v>
      </c>
      <c r="N251" s="33" t="s">
        <v>55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33</v>
      </c>
      <c r="D252" s="59" t="s">
        <v>34</v>
      </c>
      <c r="E252" s="108" t="s">
        <v>255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33</v>
      </c>
      <c r="D253" s="59" t="s">
        <v>34</v>
      </c>
      <c r="E253" s="108" t="s">
        <v>255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33</v>
      </c>
      <c r="D254" s="59" t="s">
        <v>34</v>
      </c>
      <c r="E254" s="108" t="s">
        <v>255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33</v>
      </c>
      <c r="D255" s="59" t="s">
        <v>34</v>
      </c>
      <c r="E255" s="108" t="s">
        <v>255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33</v>
      </c>
      <c r="D256" s="59" t="s">
        <v>34</v>
      </c>
      <c r="E256" s="108" t="s">
        <v>255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1" t="s">
        <v>240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241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42</v>
      </c>
      <c r="E258" s="109" t="s">
        <v>255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42</v>
      </c>
      <c r="E259" s="109" t="s">
        <v>255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42</v>
      </c>
      <c r="E260" s="109" t="s">
        <v>255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42</v>
      </c>
      <c r="E261" s="109" t="s">
        <v>255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42</v>
      </c>
      <c r="E262" s="109" t="s">
        <v>255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42</v>
      </c>
      <c r="E263" s="109" t="s">
        <v>255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42</v>
      </c>
      <c r="E264" s="109" t="s">
        <v>255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42</v>
      </c>
      <c r="E265" s="109" t="s">
        <v>255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42</v>
      </c>
      <c r="E266" s="109" t="s">
        <v>255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42</v>
      </c>
      <c r="E267" s="109" t="s">
        <v>255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42</v>
      </c>
      <c r="E268" s="109" t="s">
        <v>255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42</v>
      </c>
      <c r="E269" s="109" t="s">
        <v>255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1" t="s">
        <v>243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241</v>
      </c>
      <c r="S270" s="39">
        <v>683360</v>
      </c>
      <c r="T270" s="119">
        <f>IFERROR(J270,"")</f>
        <v>0</v>
      </c>
    </row>
    <row r="271" spans="1:20" ht="18" customHeight="1" x14ac:dyDescent="0.25">
      <c r="A271" s="158" t="s">
        <v>244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245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33</v>
      </c>
      <c r="D272" s="59" t="s">
        <v>34</v>
      </c>
      <c r="E272" s="59" t="s">
        <v>255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33</v>
      </c>
      <c r="D273" s="59" t="s">
        <v>34</v>
      </c>
      <c r="E273" s="59" t="s">
        <v>255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33</v>
      </c>
      <c r="D274" s="59" t="s">
        <v>34</v>
      </c>
      <c r="E274" s="59" t="s">
        <v>255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33</v>
      </c>
      <c r="D275" s="59" t="s">
        <v>34</v>
      </c>
      <c r="E275" s="59" t="s">
        <v>255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33</v>
      </c>
      <c r="D276" s="59" t="s">
        <v>34</v>
      </c>
      <c r="E276" s="59" t="s">
        <v>255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33</v>
      </c>
      <c r="D277" s="59" t="s">
        <v>34</v>
      </c>
      <c r="E277" s="59" t="s">
        <v>255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33</v>
      </c>
      <c r="D278" s="59" t="s">
        <v>34</v>
      </c>
      <c r="E278" s="59" t="s">
        <v>255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33</v>
      </c>
      <c r="D279" s="59" t="s">
        <v>34</v>
      </c>
      <c r="E279" s="59" t="s">
        <v>255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33</v>
      </c>
      <c r="D280" s="59" t="s">
        <v>34</v>
      </c>
      <c r="E280" s="59" t="s">
        <v>255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33</v>
      </c>
      <c r="D281" s="59" t="s">
        <v>34</v>
      </c>
      <c r="E281" s="59" t="s">
        <v>255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33</v>
      </c>
      <c r="D282" s="59" t="s">
        <v>34</v>
      </c>
      <c r="E282" s="59" t="s">
        <v>255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33</v>
      </c>
      <c r="D283" s="59" t="s">
        <v>34</v>
      </c>
      <c r="E283" s="59" t="s">
        <v>255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1" t="s">
        <v>240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241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49</v>
      </c>
      <c r="D285" s="62" t="s">
        <v>50</v>
      </c>
      <c r="E285" s="62" t="s">
        <v>239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49</v>
      </c>
      <c r="D286" s="62" t="s">
        <v>50</v>
      </c>
      <c r="E286" s="62" t="s">
        <v>239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49</v>
      </c>
      <c r="D287" s="62" t="s">
        <v>50</v>
      </c>
      <c r="E287" s="62" t="s">
        <v>255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49</v>
      </c>
      <c r="D288" s="62" t="s">
        <v>50</v>
      </c>
      <c r="E288" s="62" t="s">
        <v>239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49</v>
      </c>
      <c r="D289" s="62" t="s">
        <v>50</v>
      </c>
      <c r="E289" s="62" t="s">
        <v>239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49</v>
      </c>
      <c r="D290" s="62" t="s">
        <v>34</v>
      </c>
      <c r="E290" s="62" t="s">
        <v>239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49</v>
      </c>
      <c r="D291" s="62" t="s">
        <v>34</v>
      </c>
      <c r="E291" s="62" t="s">
        <v>239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49</v>
      </c>
      <c r="D292" s="62" t="s">
        <v>34</v>
      </c>
      <c r="E292" s="62" t="s">
        <v>239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49</v>
      </c>
      <c r="D293" s="62" t="s">
        <v>34</v>
      </c>
      <c r="E293" s="62" t="s">
        <v>239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49</v>
      </c>
      <c r="D294" s="62" t="s">
        <v>34</v>
      </c>
      <c r="E294" s="62" t="s">
        <v>239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49</v>
      </c>
      <c r="D295" s="62" t="s">
        <v>34</v>
      </c>
      <c r="E295" s="62" t="s">
        <v>239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49</v>
      </c>
      <c r="D296" s="62" t="s">
        <v>34</v>
      </c>
      <c r="E296" s="62" t="s">
        <v>239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1" t="s">
        <v>243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241</v>
      </c>
      <c r="S297" s="39">
        <v>904710</v>
      </c>
      <c r="T297" s="119">
        <f>IFERROR(J297,"")</f>
        <v>0</v>
      </c>
    </row>
    <row r="298" spans="1:20" ht="18" customHeight="1" x14ac:dyDescent="0.25">
      <c r="A298" s="158" t="s">
        <v>244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245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33</v>
      </c>
      <c r="D299" s="62" t="s">
        <v>34</v>
      </c>
      <c r="E299" s="109" t="s">
        <v>255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24</v>
      </c>
      <c r="M299" s="33" t="s">
        <v>56</v>
      </c>
      <c r="N299" s="33" t="s">
        <v>188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33</v>
      </c>
      <c r="D300" s="62" t="s">
        <v>34</v>
      </c>
      <c r="E300" s="109" t="s">
        <v>255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23</v>
      </c>
      <c r="M300" s="26" t="s">
        <v>61</v>
      </c>
      <c r="N300" s="26" t="s">
        <v>31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33</v>
      </c>
      <c r="D301" s="62" t="s">
        <v>34</v>
      </c>
      <c r="E301" s="109" t="s">
        <v>255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20</v>
      </c>
      <c r="M301" s="33"/>
      <c r="N301" s="33" t="s">
        <v>90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33</v>
      </c>
      <c r="D302" s="62" t="s">
        <v>34</v>
      </c>
      <c r="E302" s="109" t="s">
        <v>255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21</v>
      </c>
      <c r="M302" s="26"/>
      <c r="N302" s="26" t="s">
        <v>29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33</v>
      </c>
      <c r="D303" s="62" t="s">
        <v>34</v>
      </c>
      <c r="E303" s="109" t="s">
        <v>255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33</v>
      </c>
      <c r="D304" s="62" t="s">
        <v>34</v>
      </c>
      <c r="E304" s="109" t="s">
        <v>255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33</v>
      </c>
      <c r="D305" s="62" t="s">
        <v>26</v>
      </c>
      <c r="E305" s="109" t="s">
        <v>255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33</v>
      </c>
      <c r="D306" s="62" t="s">
        <v>26</v>
      </c>
      <c r="E306" s="109" t="s">
        <v>255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33</v>
      </c>
      <c r="D307" s="62" t="s">
        <v>26</v>
      </c>
      <c r="E307" s="109" t="s">
        <v>255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33</v>
      </c>
      <c r="D308" s="62" t="s">
        <v>26</v>
      </c>
      <c r="E308" s="109" t="s">
        <v>255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33</v>
      </c>
      <c r="D309" s="62" t="s">
        <v>26</v>
      </c>
      <c r="E309" s="109" t="s">
        <v>255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33</v>
      </c>
      <c r="D310" s="62" t="s">
        <v>26</v>
      </c>
      <c r="E310" s="109" t="s">
        <v>255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1" t="s">
        <v>240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241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25</v>
      </c>
      <c r="D312" s="59" t="s">
        <v>34</v>
      </c>
      <c r="E312" s="108" t="s">
        <v>255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24</v>
      </c>
      <c r="M312" s="26" t="s">
        <v>162</v>
      </c>
      <c r="N312" s="26" t="s">
        <v>78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25</v>
      </c>
      <c r="D313" s="59" t="s">
        <v>34</v>
      </c>
      <c r="E313" s="108" t="s">
        <v>255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23</v>
      </c>
      <c r="M313" s="33" t="s">
        <v>167</v>
      </c>
      <c r="N313" s="33" t="s">
        <v>31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25</v>
      </c>
      <c r="D314" s="59" t="s">
        <v>34</v>
      </c>
      <c r="E314" s="108" t="s">
        <v>255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21</v>
      </c>
      <c r="M314" s="26"/>
      <c r="N314" s="26" t="s">
        <v>29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25</v>
      </c>
      <c r="D315" s="59" t="s">
        <v>34</v>
      </c>
      <c r="E315" s="108" t="s">
        <v>255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25</v>
      </c>
      <c r="D316" s="59" t="s">
        <v>34</v>
      </c>
      <c r="E316" s="108" t="s">
        <v>255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25</v>
      </c>
      <c r="D317" s="59" t="s">
        <v>34</v>
      </c>
      <c r="E317" s="108" t="s">
        <v>255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25</v>
      </c>
      <c r="D318" s="59" t="s">
        <v>34</v>
      </c>
      <c r="E318" s="108" t="s">
        <v>255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25</v>
      </c>
      <c r="D319" s="59" t="s">
        <v>34</v>
      </c>
      <c r="E319" s="108" t="s">
        <v>255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25</v>
      </c>
      <c r="D320" s="59" t="s">
        <v>34</v>
      </c>
      <c r="E320" s="108" t="s">
        <v>255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25</v>
      </c>
      <c r="D321" s="59" t="s">
        <v>34</v>
      </c>
      <c r="E321" s="108" t="s">
        <v>255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25</v>
      </c>
      <c r="D322" s="59" t="s">
        <v>34</v>
      </c>
      <c r="E322" s="108" t="s">
        <v>255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25</v>
      </c>
      <c r="D323" s="59" t="s">
        <v>34</v>
      </c>
      <c r="E323" s="108" t="s">
        <v>255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1" t="s">
        <v>243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241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58" t="s">
        <v>244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245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33</v>
      </c>
      <c r="D326" s="59" t="s">
        <v>26</v>
      </c>
      <c r="E326" s="108" t="s">
        <v>239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23</v>
      </c>
      <c r="M326" s="26" t="s">
        <v>167</v>
      </c>
      <c r="N326" s="26" t="s">
        <v>31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33</v>
      </c>
      <c r="D327" s="59" t="s">
        <v>26</v>
      </c>
      <c r="E327" s="108" t="s">
        <v>239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21</v>
      </c>
      <c r="M327" s="33"/>
      <c r="N327" s="33" t="s">
        <v>29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33</v>
      </c>
      <c r="D328" s="59" t="s">
        <v>26</v>
      </c>
      <c r="E328" s="108" t="s">
        <v>239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23</v>
      </c>
      <c r="M328" s="26" t="s">
        <v>61</v>
      </c>
      <c r="N328" s="26" t="s">
        <v>31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33</v>
      </c>
      <c r="D329" s="59" t="s">
        <v>26</v>
      </c>
      <c r="E329" s="108" t="s">
        <v>239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23</v>
      </c>
      <c r="M329" s="33" t="s">
        <v>56</v>
      </c>
      <c r="N329" s="33" t="s">
        <v>31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33</v>
      </c>
      <c r="D330" s="59" t="s">
        <v>26</v>
      </c>
      <c r="E330" s="108" t="s">
        <v>255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33</v>
      </c>
      <c r="D331" s="59" t="s">
        <v>26</v>
      </c>
      <c r="E331" s="108" t="s">
        <v>239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33</v>
      </c>
      <c r="D332" s="59" t="s">
        <v>26</v>
      </c>
      <c r="E332" s="108" t="s">
        <v>255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33</v>
      </c>
      <c r="D333" s="59" t="s">
        <v>26</v>
      </c>
      <c r="E333" s="108" t="s">
        <v>255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33</v>
      </c>
      <c r="D334" s="59" t="s">
        <v>26</v>
      </c>
      <c r="E334" s="108" t="s">
        <v>255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33</v>
      </c>
      <c r="D335" s="59" t="s">
        <v>26</v>
      </c>
      <c r="E335" s="108" t="s">
        <v>255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33</v>
      </c>
      <c r="D336" s="59" t="s">
        <v>26</v>
      </c>
      <c r="E336" s="108" t="s">
        <v>255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33</v>
      </c>
      <c r="D337" s="59" t="s">
        <v>26</v>
      </c>
      <c r="E337" s="108" t="s">
        <v>255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1" t="s">
        <v>240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241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25</v>
      </c>
      <c r="D339" s="62" t="s">
        <v>26</v>
      </c>
      <c r="E339" s="109" t="s">
        <v>255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24</v>
      </c>
      <c r="M339" s="33" t="s">
        <v>167</v>
      </c>
      <c r="N339" s="33" t="s">
        <v>66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25</v>
      </c>
      <c r="D340" s="62" t="s">
        <v>26</v>
      </c>
      <c r="E340" s="109" t="s">
        <v>255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24</v>
      </c>
      <c r="M340" s="26" t="s">
        <v>61</v>
      </c>
      <c r="N340" s="26" t="s">
        <v>32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25</v>
      </c>
      <c r="D341" s="62" t="s">
        <v>26</v>
      </c>
      <c r="E341" s="109" t="s">
        <v>255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24</v>
      </c>
      <c r="M341" s="33" t="s">
        <v>56</v>
      </c>
      <c r="N341" s="33" t="s">
        <v>32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25</v>
      </c>
      <c r="D342" s="62" t="s">
        <v>26</v>
      </c>
      <c r="E342" s="109" t="s">
        <v>255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23</v>
      </c>
      <c r="M342" s="26" t="s">
        <v>167</v>
      </c>
      <c r="N342" s="26" t="s">
        <v>31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25</v>
      </c>
      <c r="D343" s="62" t="s">
        <v>26</v>
      </c>
      <c r="E343" s="109" t="s">
        <v>255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24</v>
      </c>
      <c r="M343" s="33" t="s">
        <v>56</v>
      </c>
      <c r="N343" s="33" t="s">
        <v>40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25</v>
      </c>
      <c r="D344" s="62" t="s">
        <v>26</v>
      </c>
      <c r="E344" s="109" t="s">
        <v>255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24</v>
      </c>
      <c r="M344" s="26" t="s">
        <v>61</v>
      </c>
      <c r="N344" s="26" t="s">
        <v>32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25</v>
      </c>
      <c r="D345" s="62" t="s">
        <v>26</v>
      </c>
      <c r="E345" s="109" t="s">
        <v>255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24</v>
      </c>
      <c r="M345" s="33" t="s">
        <v>61</v>
      </c>
      <c r="N345" s="33" t="s">
        <v>32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25</v>
      </c>
      <c r="D346" s="62" t="s">
        <v>26</v>
      </c>
      <c r="E346" s="109" t="s">
        <v>255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23</v>
      </c>
      <c r="M346" s="26" t="s">
        <v>167</v>
      </c>
      <c r="N346" s="26" t="s">
        <v>31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339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25</v>
      </c>
      <c r="D347" s="62" t="s">
        <v>26</v>
      </c>
      <c r="E347" s="109" t="s">
        <v>255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24</v>
      </c>
      <c r="M347" s="33" t="s">
        <v>61</v>
      </c>
      <c r="N347" s="33" t="s">
        <v>60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340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25</v>
      </c>
      <c r="D348" s="62" t="s">
        <v>26</v>
      </c>
      <c r="E348" s="109" t="s">
        <v>255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25</v>
      </c>
      <c r="D349" s="62" t="s">
        <v>26</v>
      </c>
      <c r="E349" s="109" t="s">
        <v>255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25</v>
      </c>
      <c r="D350" s="62" t="s">
        <v>26</v>
      </c>
      <c r="E350" s="109" t="s">
        <v>255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1" t="s">
        <v>243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241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58" t="s">
        <v>244</v>
      </c>
      <c r="B352" s="159"/>
      <c r="C352" s="159"/>
      <c r="D352" s="159"/>
      <c r="E352" s="15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245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33</v>
      </c>
      <c r="D353" s="62" t="s">
        <v>34</v>
      </c>
      <c r="E353" s="109" t="s">
        <v>255</v>
      </c>
      <c r="F353" s="140">
        <f>IFERROR(IF($D353="","",VLOOKUP($D353,Cadastro!$C$4:$E$7,3,FALSE)),"")</f>
        <v>0.24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22</v>
      </c>
      <c r="M353" s="33"/>
      <c r="N353" s="33" t="s">
        <v>98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33</v>
      </c>
      <c r="D354" s="62" t="s">
        <v>34</v>
      </c>
      <c r="E354" s="109" t="s">
        <v>255</v>
      </c>
      <c r="F354" s="134">
        <f>IFERROR(IF($D354="","",VLOOKUP($D354,Cadastro!$C$4:$E$7,3,FALSE)),"")</f>
        <v>0.24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22</v>
      </c>
      <c r="M354" s="26" t="s">
        <v>145</v>
      </c>
      <c r="N354" s="33" t="s">
        <v>134</v>
      </c>
      <c r="O354" s="29">
        <v>0.42569444444444443</v>
      </c>
      <c r="P354" s="29"/>
      <c r="Q354" s="30">
        <f t="shared" ca="1" si="84"/>
        <v>1.5162037088884972E-3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33</v>
      </c>
      <c r="D355" s="62" t="s">
        <v>34</v>
      </c>
      <c r="E355" s="109" t="s">
        <v>255</v>
      </c>
      <c r="F355" s="134">
        <f>IFERROR(IF($D355="","",VLOOKUP($D355,Cadastro!$C$4:$E$7,3,FALSE)),"")</f>
        <v>0.24</v>
      </c>
      <c r="G355" s="105"/>
      <c r="H355" s="134" t="str">
        <f>IFERROR(IF($G355="","",$G355*$S$365/$G$365/Cadastro!$E$33),"")</f>
        <v/>
      </c>
      <c r="I355" s="135">
        <f>IFERROR(IF($D355="","",VLOOKUP($D355,Cadastro!$C$4:$G$7,5,FALSE)),"")</f>
        <v>0.6</v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33</v>
      </c>
      <c r="D356" s="62" t="s">
        <v>34</v>
      </c>
      <c r="E356" s="109"/>
      <c r="F356" s="134">
        <f>IFERROR(IF($D356="","",VLOOKUP($D356,Cadastro!$C$4:$E$7,3,FALSE)),"")</f>
        <v>0.24</v>
      </c>
      <c r="G356" s="105"/>
      <c r="H356" s="134" t="str">
        <f>IFERROR(IF($G356="","",$G356*$S$365/$G$365/Cadastro!$E$33),"")</f>
        <v/>
      </c>
      <c r="I356" s="135">
        <f>IFERROR(IF($D356="","",VLOOKUP($D356,Cadastro!$C$4:$G$7,5,FALSE)),"")</f>
        <v>0.6</v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33</v>
      </c>
      <c r="D357" s="62" t="s">
        <v>34</v>
      </c>
      <c r="E357" s="109"/>
      <c r="F357" s="134">
        <f>IFERROR(IF($D357="","",VLOOKUP($D357,Cadastro!$C$4:$E$7,3,FALSE)),"")</f>
        <v>0.24</v>
      </c>
      <c r="G357" s="105"/>
      <c r="H357" s="134" t="str">
        <f>IFERROR(IF($G357="","",$G357*$S$365/$G$365/Cadastro!$E$33),"")</f>
        <v/>
      </c>
      <c r="I357" s="135">
        <f>IFERROR(IF($D357="","",VLOOKUP($D357,Cadastro!$C$4:$G$7,5,FALSE)),"")</f>
        <v>0.6</v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33</v>
      </c>
      <c r="D358" s="62" t="s">
        <v>34</v>
      </c>
      <c r="E358" s="109"/>
      <c r="F358" s="134">
        <f>IFERROR(IF($D358="","",VLOOKUP($D358,Cadastro!$C$4:$E$7,3,FALSE)),"")</f>
        <v>0.24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33</v>
      </c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33</v>
      </c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33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33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33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33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240</v>
      </c>
      <c r="B365" s="79"/>
      <c r="C365" s="79"/>
      <c r="D365" s="79"/>
      <c r="E365" s="79">
        <f>SUM(E353:E364)</f>
        <v>0</v>
      </c>
      <c r="F365" s="110"/>
      <c r="G365" s="80">
        <f>SUM(G353:G364)</f>
        <v>27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113.4</v>
      </c>
      <c r="L365" s="37"/>
      <c r="M365" s="37"/>
      <c r="N365" s="37"/>
      <c r="O365" s="61"/>
      <c r="P365" s="61"/>
      <c r="Q365" s="38">
        <f ca="1">IFERROR(SUM(Q353:Q364),"")</f>
        <v>6.0543981486666287E-2</v>
      </c>
      <c r="R365" s="36" t="s">
        <v>241</v>
      </c>
      <c r="S365" s="39"/>
      <c r="T365" s="119">
        <f>IFERROR(J365,"")</f>
        <v>0</v>
      </c>
    </row>
    <row r="366" spans="1:20" ht="15" customHeight="1" x14ac:dyDescent="0.25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1" t="s">
        <v>243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241</v>
      </c>
      <c r="S378" s="39"/>
      <c r="T378" s="119">
        <f>IFERROR(J378,"")</f>
        <v>0</v>
      </c>
    </row>
    <row r="379" spans="1:20" ht="18" customHeight="1" x14ac:dyDescent="0.25">
      <c r="A379" s="158" t="s">
        <v>244</v>
      </c>
      <c r="B379" s="159"/>
      <c r="C379" s="159"/>
      <c r="D379" s="159"/>
      <c r="E379" s="159">
        <f>E365+E378</f>
        <v>0</v>
      </c>
      <c r="F379" s="112"/>
      <c r="G379" s="91">
        <f>G365+G378</f>
        <v>27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113.4</v>
      </c>
      <c r="L379" s="41"/>
      <c r="M379" s="41"/>
      <c r="N379" s="41"/>
      <c r="O379" s="63"/>
      <c r="P379" s="63"/>
      <c r="Q379" s="42">
        <f ca="1">IFERROR(Q365+Q378,"")</f>
        <v>6.0543981486666287E-2</v>
      </c>
      <c r="R379" s="40" t="s">
        <v>245</v>
      </c>
      <c r="S379" s="48">
        <f>IFERROR(S365+S378,"")</f>
        <v>0</v>
      </c>
      <c r="T379" s="121">
        <f>IFERROR(J379,"")</f>
        <v>0</v>
      </c>
    </row>
    <row r="380" spans="1:20" ht="15" customHeight="1" x14ac:dyDescent="0.25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1" t="s">
        <v>240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241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1" t="s">
        <v>243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241</v>
      </c>
      <c r="S405" s="39"/>
      <c r="T405" s="119">
        <f>IFERROR(J405,"")</f>
        <v>0</v>
      </c>
    </row>
    <row r="406" spans="1:20" ht="18" customHeight="1" x14ac:dyDescent="0.25">
      <c r="A406" s="158" t="s">
        <v>244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245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1" t="s">
        <v>240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241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1" t="s">
        <v>243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241</v>
      </c>
      <c r="S432" s="39"/>
      <c r="T432" s="119">
        <f>IFERROR(J432,"")</f>
        <v>0</v>
      </c>
    </row>
    <row r="433" spans="1:21" ht="18" customHeight="1" x14ac:dyDescent="0.25">
      <c r="A433" s="158" t="s">
        <v>244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245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1" t="s">
        <v>240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241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1" t="s">
        <v>243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241</v>
      </c>
      <c r="S459" s="39"/>
      <c r="T459" s="119">
        <f>IFERROR(J459,"")</f>
        <v>0</v>
      </c>
    </row>
    <row r="460" spans="1:20" ht="18" customHeight="1" x14ac:dyDescent="0.25">
      <c r="A460" s="158" t="s">
        <v>244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245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1" t="s">
        <v>240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241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1" t="s">
        <v>243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241</v>
      </c>
      <c r="S486" s="39"/>
      <c r="T486" s="119">
        <f>IFERROR(J486,"")</f>
        <v>0</v>
      </c>
    </row>
    <row r="487" spans="1:20" ht="18" customHeight="1" x14ac:dyDescent="0.25">
      <c r="A487" s="158" t="s">
        <v>244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245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1" t="s">
        <v>240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241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1" t="s">
        <v>243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241</v>
      </c>
      <c r="S513" s="39"/>
      <c r="T513" s="119">
        <f>IFERROR(J513,"")</f>
        <v>0</v>
      </c>
    </row>
    <row r="514" spans="1:20" ht="18" customHeight="1" x14ac:dyDescent="0.25">
      <c r="A514" s="158" t="s">
        <v>244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245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1" t="s">
        <v>240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241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1" t="s">
        <v>243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241</v>
      </c>
      <c r="S540" s="39"/>
      <c r="T540" s="119">
        <f>IFERROR(J540,"")</f>
        <v>0</v>
      </c>
    </row>
    <row r="541" spans="1:20" ht="18" customHeight="1" x14ac:dyDescent="0.25">
      <c r="A541" s="158" t="s">
        <v>244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245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1" t="s">
        <v>240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241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1" t="s">
        <v>243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241</v>
      </c>
      <c r="S567" s="39"/>
      <c r="T567" s="119">
        <f>IFERROR(J567,"")</f>
        <v>0</v>
      </c>
    </row>
    <row r="568" spans="1:20" ht="18" customHeight="1" x14ac:dyDescent="0.25">
      <c r="A568" s="158" t="s">
        <v>244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245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1" t="s">
        <v>240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241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1" t="s">
        <v>243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241</v>
      </c>
      <c r="S594" s="39"/>
      <c r="T594" s="119">
        <f>IFERROR(J594,"")</f>
        <v>0</v>
      </c>
    </row>
    <row r="595" spans="1:20" ht="18" customHeight="1" x14ac:dyDescent="0.25">
      <c r="A595" s="158" t="s">
        <v>244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245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1" t="s">
        <v>240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241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1" t="s">
        <v>243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241</v>
      </c>
      <c r="S621" s="39"/>
      <c r="T621" s="119">
        <f>IFERROR(J621,"")</f>
        <v>0</v>
      </c>
    </row>
    <row r="622" spans="1:20" ht="18" customHeight="1" x14ac:dyDescent="0.25">
      <c r="A622" s="158" t="s">
        <v>244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245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1" t="s">
        <v>240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241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1" t="s">
        <v>243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241</v>
      </c>
      <c r="S648" s="39"/>
      <c r="T648" s="119">
        <f>IFERROR(J648,"")</f>
        <v>0</v>
      </c>
    </row>
    <row r="649" spans="1:20" ht="18" customHeight="1" x14ac:dyDescent="0.25">
      <c r="A649" s="158" t="s">
        <v>244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245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1" t="s">
        <v>240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241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1" t="s">
        <v>243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241</v>
      </c>
      <c r="S675" s="39"/>
      <c r="T675" s="119">
        <f>IFERROR(J675,"")</f>
        <v>0</v>
      </c>
    </row>
    <row r="676" spans="1:20" ht="18" customHeight="1" x14ac:dyDescent="0.25">
      <c r="A676" s="158" t="s">
        <v>244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245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1" t="s">
        <v>240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241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1" t="s">
        <v>243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241</v>
      </c>
      <c r="S702" s="39"/>
      <c r="T702" s="119">
        <f>IFERROR(J702,"")</f>
        <v>0</v>
      </c>
    </row>
    <row r="703" spans="1:20" ht="18" customHeight="1" x14ac:dyDescent="0.25">
      <c r="A703" s="158" t="s">
        <v>244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245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1" t="s">
        <v>240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241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1" t="s">
        <v>243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241</v>
      </c>
      <c r="S729" s="39"/>
      <c r="T729" s="119">
        <f>IFERROR(J729,"")</f>
        <v>0</v>
      </c>
    </row>
    <row r="730" spans="1:20" ht="18" customHeight="1" x14ac:dyDescent="0.25">
      <c r="A730" s="158" t="s">
        <v>244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245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1" t="s">
        <v>240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241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1" t="s">
        <v>243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241</v>
      </c>
      <c r="S756" s="39"/>
      <c r="T756" s="119">
        <f>IFERROR(J756,"")</f>
        <v>0</v>
      </c>
    </row>
    <row r="757" spans="1:20" ht="18" customHeight="1" x14ac:dyDescent="0.25">
      <c r="A757" s="158" t="s">
        <v>244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245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1" t="s">
        <v>240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241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1" t="s">
        <v>243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241</v>
      </c>
      <c r="S783" s="39"/>
      <c r="T783" s="119">
        <f>IFERROR(J783,"")</f>
        <v>0</v>
      </c>
    </row>
    <row r="784" spans="1:20" ht="18" customHeight="1" x14ac:dyDescent="0.25">
      <c r="A784" s="158" t="s">
        <v>244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245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1" t="s">
        <v>240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241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1" t="s">
        <v>243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241</v>
      </c>
      <c r="S810" s="39"/>
      <c r="T810" s="119">
        <f>IFERROR(J810,"")</f>
        <v>0</v>
      </c>
    </row>
    <row r="811" spans="1:20" ht="18" customHeight="1" x14ac:dyDescent="0.25">
      <c r="A811" s="158" t="s">
        <v>244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245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1" t="s">
        <v>240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241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1" t="s">
        <v>243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241</v>
      </c>
      <c r="S837" s="39"/>
      <c r="T837" s="119">
        <f>IFERROR(J837,"")</f>
        <v>0</v>
      </c>
    </row>
    <row r="838" spans="1:20" ht="18" customHeight="1" x14ac:dyDescent="0.25">
      <c r="A838" s="158" t="s">
        <v>244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245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2026-08-14T14:16:01Z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