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82" documentId="8_{AF585B22-221D-4780-BB9C-493D365A6A02}" xr6:coauthVersionLast="47" xr6:coauthVersionMax="47" xr10:uidLastSave="{2E273165-CAE6-48A0-BCEE-01D1D04BCE1A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<sst xmlns="http://schemas.openxmlformats.org/spreadsheetml/2006/main" count="9495" uniqueCount="384">
  <si>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</si>
  <si>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</si>
  <si>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</si>
  <si>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</si>
  <si>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</si>
  <si>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</si>
  <si>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</si>
  <si>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</si>
  <si>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</si>
  <si>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</si>
  <si>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</si>
  <si>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</si>
  <si>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</si>
  <si>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</si>
  <si>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</si>
  <si>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</si>
  <si>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</si>
  <si>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</si>
  <si>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</si>
  <si>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</si>
  <si>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</si>
  <si>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</si>
  <si>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</si>
  <si>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</si>
  <si>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</si>
  <si>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</si>
  <si>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</si>
  <si>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</si>
  <si>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</si>
  <si>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</si>
  <si>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</si>
  <si>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</si>
  <si>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</si>
  <si>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</si>
  <si>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</si>
  <si>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</si>
  <si>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</si>
  <si>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</si>
  <si>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</si>
  <si>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</si>
  <si>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</si>
  <si>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</si>
  <si>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</si>
  <si>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</si>
  <si>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</si>
  <si>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</si>
  <si>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</si>
  <si>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</si>
  <si>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</si>
  <si>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</si>
  <si>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</si>
  <si>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</si>
  <si>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</si>
  <si>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</si>
  <si>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</si>
  <si>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</si>
  <si>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</si>
  <si>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</si>
  <si>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</si>
  <si>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</si>
  <si>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</si>
  <si>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</si>
  <si>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</si>
  <si>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</si>
  <si>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</si>
  <si>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</si>
  <si>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</si>
  <si>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</si>
  <si>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</si>
  <si>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</si>
  <si>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</si>
  <si>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</si>
  <si>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</si>
  <si>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</si>
  <si>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</si>
  <si>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</si>
  <si>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</si>
  <si>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</si>
  <si>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</si>
  <si>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</si>
  <si>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</si>
  <si>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</si>
  <si>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</si>
  <si>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</si>
  <si>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</si>
  <si>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</si>
  <si>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</si>
  <si>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</si>
  <si>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</si>
  <si>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</si>
  <si>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</si>
  <si>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</si>
  <si>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</si>
  <si>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</si>
  <si>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</si>
  <si>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</si>
  <si>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</si>
  <si>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</si>
  <si>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</si>
  <si>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</si>
  <si>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</si>
  <si>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</si>
  <si>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</si>
  <si>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</si>
  <si>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</si>
  <si>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</si>
  <si>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</si>
  <si>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</si>
  <si>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</si>
  <si>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</si>
  <si>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</si>
  <si>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</si>
  <si>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</si>
  <si>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</si>
  <si>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</si>
  <si>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</si>
  <si>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</si>
  <si>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</si>
  <si>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</si>
  <si>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</si>
  <si>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</si>
  <si>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</si>
  <si>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</si>
  <si>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</si>
  <si>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</si>
  <si>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</si>
  <si>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</si>
  <si>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</si>
  <si>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</si>
  <si>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</si>
  <si>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</si>
  <si>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</si>
  <si>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</si>
  <si>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</si>
  <si>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</si>
  <si>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</si>
  <si>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</si>
  <si>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</si>
  <si>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</si>
  <si>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</si>
  <si>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</si>
  <si>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</si>
  <si>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</si>
  <si>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</si>
  <si>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</si>
  <si>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</si>
  <si>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</si>
  <si>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</si>
  <si>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</si>
  <si>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</si>
  <si>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</si>
  <si>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</si>
  <si>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</si>
  <si>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</si>
  <si>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</si>
  <si>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</si>
  <si>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</si>
  <si>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</si>
  <si>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</si>
  <si>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</si>
  <si>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</si>
  <si>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</si>
  <si>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</si>
  <si>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</si>
  <si>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</si>
  <si>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</si>
  <si>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</si>
  <si>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</si>
  <si>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</si>
  <si>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</si>
  <si>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</si>
  <si>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</si>
  <si>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</si>
  <si>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</si>
  <si>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</si>
  <si>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</si>
  <si>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</si>
  <si>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</si>
  <si>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</si>
  <si>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</si>
  <si>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</si>
  <si>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</si>
  <si>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</si>
  <si>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</si>
  <si>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</si>
  <si>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</si>
  <si>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</si>
  <si>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</si>
  <si>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</si>
  <si>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</si>
  <si>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</si>
  <si>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</si>
  <si>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</si>
  <si>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</si>
  <si>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</si>
  <si>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</si>
  <si>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</si>
  <si>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</si>
  <si>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</si>
  <si>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</si>
  <si>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</si>
  <si>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</si>
  <si>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</si>
  <si>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</si>
  <si>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</si>
  <si>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</si>
  <si>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</si>
  <si>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</si>
  <si>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</si>
  <si>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</si>
  <si>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</si>
  <si>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</si>
  <si>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</si>
  <si>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</si>
  <si>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</si>
  <si>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</si>
  <si>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</si>
  <si>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</si>
  <si>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</si>
  <si>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</si>
  <si>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</si>
  <si>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</si>
  <si>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</si>
  <si>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</si>
  <si>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</si>
  <si>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</si>
  <si>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</si>
  <si>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</si>
  <si>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</si>
  <si>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</si>
  <si>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</si>
  <si>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</si>
  <si>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</si>
  <si>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</si>
  <si>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</si>
  <si>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</si>
  <si>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</si>
  <si>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</si>
  <si>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</si>
  <si>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</si>
  <si>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</si>
  <si>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</si>
  <si>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</si>
  <si>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</si>
  <si>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</si>
  <si>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</si>
  <si>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</si>
  <si>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</si>
  <si>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</si>
  <si>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</si>
  <si>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</si>
  <si>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</si>
  <si>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</si>
  <si>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</si>
  <si>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</si>
  <si>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</si>
  <si>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</si>
  <si>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</si>
  <si>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</si>
  <si>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</si>
  <si>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</si>
  <si>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</si>
  <si>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</si>
  <si>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</si>
  <si>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</si>
  <si>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</si>
  <si>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</si>
  <si>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</si>
  <si>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</si>
  <si>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</si>
  <si>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</si>
  <si>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</si>
  <si>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</si>
  <si>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</si>
  <si>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</si>
  <si>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</si>
  <si>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</si>
  <si>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</si>
  <si>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</si>
  <si>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</si>
  <si>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</si>
  <si>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</si>
  <si>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</si>
  <si>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</si>
  <si>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</si>
  <si>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</si>
  <si>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</si>
  <si>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</si>
  <si>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</si>
  <si>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</si>
  <si>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</si>
  <si>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</si>
  <si>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</si>
  <si>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</si>
  <si>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</si>
  <si>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</si>
  <si>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</si>
  <si>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</si>
  <si>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</si>
  <si>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</si>
  <si>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</si>
  <si>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</si>
  <si>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</si>
  <si>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</si>
  <si>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</si>
  <si>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</si>
  <si>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</si>
  <si>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</si>
  <si>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</si>
  <si>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e do mm2 troca de martelo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</si>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</sst>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0" activePane="bottomLeft" state="frozen"/>
      <selection pane="bottomLeft" activeCell="F617" sqref="F6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166</v>
      </c>
      <c r="G621" s="36">
        <f>SUM(G609:G620)</f>
        <v>830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557</v>
      </c>
      <c r="G622" s="40">
        <f>G608+G621</f>
        <v>2785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16" sqref="F6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0.92729502314614365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1.0849339120350325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1.1946561342572548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0.90576724537095288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1.0766005787042863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1.2217394675931752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0.1111111111111111</v>
      </c>
      <c r="M609" s="35">
        <f t="shared" ref="M609:M620" ca="1" si="136">IFERROR(IF(K609="","",IF(L609="",MOD(NOW()-K609,1),IF(L609&gt;=K609,L609-K609,L609+1-K609))),"")</f>
        <v>2.9861111111111102E-2</v>
      </c>
      <c r="N609" s="46" t="s">
        <v>309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57</v>
      </c>
      <c r="G621" s="36">
        <f>SUM(G609:G620)</f>
        <v>210.2</v>
      </c>
      <c r="H621" s="37"/>
      <c r="I621" s="37"/>
      <c r="J621" s="37"/>
      <c r="K621" s="37"/>
      <c r="L621" s="37"/>
      <c r="M621" s="38">
        <f ca="1">IFERROR(SUM(M609:M620),"")</f>
        <v>2.9861111111111102E-2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221</v>
      </c>
      <c r="G622" s="40">
        <f>G608+G621</f>
        <v>899</v>
      </c>
      <c r="H622" s="41"/>
      <c r="I622" s="41"/>
      <c r="J622" s="41"/>
      <c r="K622" s="41"/>
      <c r="L622" s="41"/>
      <c r="M622" s="42">
        <f ca="1">IFERROR(M608+M621,"")</f>
        <v>9.4444444444444428E-2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7" sqref="F6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41</v>
      </c>
      <c r="G621" s="36">
        <f>SUM(G609:G620)</f>
        <v>185.6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182</v>
      </c>
      <c r="G622" s="40">
        <f>G608+G621</f>
        <v>777.80000000000007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17" sqref="F6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0.91757280092861038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1.116878356484166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1.484239467595277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0.45854502314614365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0.5134061342572549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44</v>
      </c>
      <c r="G621" s="36">
        <f>SUM(G609:G620)</f>
        <v>191.20000000000002</v>
      </c>
      <c r="H621" s="37"/>
      <c r="I621" s="37"/>
      <c r="J621" s="37"/>
      <c r="K621" s="61"/>
      <c r="L621" s="61"/>
      <c r="M621" s="38">
        <f ca="1">IFERROR(SUM(M609:M620),"")</f>
        <v>0.10069444444444448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204</v>
      </c>
      <c r="G622" s="40">
        <f>G608+G621</f>
        <v>863.2</v>
      </c>
      <c r="H622" s="41"/>
      <c r="I622" s="41"/>
      <c r="J622" s="41"/>
      <c r="K622" s="63"/>
      <c r="L622" s="63"/>
      <c r="M622" s="42">
        <f ca="1">IFERROR(M608+M621,"")</f>
        <v>0.61410057870169932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2026-07-24T08:00:51Z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