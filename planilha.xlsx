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17" documentId="8_{AF585B22-221D-4780-BB9C-493D365A6A02}" xr6:coauthVersionLast="47" xr6:coauthVersionMax="47" xr10:uidLastSave="{FED9C5B5-0E57-4BFC-93E9-19CF20C45797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<sst xmlns="http://schemas.openxmlformats.org/spreadsheetml/2006/main" count="7476" uniqueCount="347">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</sst>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4296875" defaultRowHeight="14.5" x14ac:dyDescent="0.35"/>
  <cols>
    <col min="1" max="1" width="17.54296875" customWidth="1"/>
    <col min="2" max="2" width="21" style="71" customWidth="1"/>
    <col min="3" max="3" width="19.54296875" customWidth="1"/>
    <col min="4" max="4" width="23.54296875" customWidth="1"/>
    <col min="5" max="5" width="26" customWidth="1"/>
    <col min="6" max="6" width="26.453125" customWidth="1"/>
    <col min="7" max="7" width="32" customWidth="1"/>
  </cols>
  <sheetData>
    <row r="1" spans="1:7" ht="31.5" customHeight="1" x14ac:dyDescent="0.35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 x14ac:dyDescent="0.35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5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5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5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5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5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5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5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5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5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5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5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35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35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35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 x14ac:dyDescent="0.35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35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3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5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17.5429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796875" customWidth="1"/>
    <col min="10" max="10" width="45.453125" customWidth="1"/>
    <col min="11" max="11" width="42.1796875" customWidth="1"/>
    <col min="12" max="12" width="36" customWidth="1"/>
    <col min="13" max="13" width="45.81640625" customWidth="1"/>
  </cols>
  <sheetData>
    <row r="1" spans="1:13" ht="27.75" customHeight="1" x14ac:dyDescent="0.35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 x14ac:dyDescent="0.35">
      <c r="H2" s="109"/>
    </row>
    <row r="3" spans="1:13" ht="21.75" customHeight="1" x14ac:dyDescent="0.35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5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5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5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5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5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5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5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5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5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5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5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5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5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5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5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35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35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35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35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35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35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35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35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 x14ac:dyDescent="0.35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35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35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35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35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35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35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35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35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35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35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35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35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35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35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35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35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35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35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 x14ac:dyDescent="0.35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35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35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35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35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35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35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35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35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35">
      <c r="H55" s="109"/>
      <c r="I55" s="17"/>
      <c r="J55" s="17"/>
      <c r="K55" s="17" t="s">
        <v>200</v>
      </c>
      <c r="L55" s="17"/>
      <c r="M55" s="17"/>
    </row>
    <row r="56" spans="1:13" ht="15" customHeight="1" x14ac:dyDescent="0.35">
      <c r="H56" s="109"/>
      <c r="I56" s="16"/>
      <c r="J56" s="16"/>
      <c r="K56" s="16" t="s">
        <v>201</v>
      </c>
      <c r="L56" s="16"/>
      <c r="M56" s="16"/>
    </row>
    <row r="57" spans="1:13" ht="15" customHeight="1" x14ac:dyDescent="0.35">
      <c r="H57" s="109"/>
      <c r="I57" s="17"/>
      <c r="J57" s="17"/>
      <c r="K57" s="17" t="s">
        <v>50</v>
      </c>
      <c r="L57" s="17"/>
      <c r="M57" s="17"/>
    </row>
    <row r="58" spans="1:13" ht="15" customHeight="1" x14ac:dyDescent="0.35">
      <c r="H58" s="109"/>
      <c r="I58" s="16"/>
      <c r="J58" s="16"/>
      <c r="K58" s="16" t="s">
        <v>202</v>
      </c>
      <c r="L58" s="16"/>
      <c r="M58" s="16"/>
    </row>
    <row r="59" spans="1:13" ht="15" customHeight="1" x14ac:dyDescent="0.35">
      <c r="H59" s="109"/>
      <c r="I59" s="17"/>
      <c r="J59" s="17"/>
      <c r="K59" s="17" t="s">
        <v>203</v>
      </c>
      <c r="L59" s="17"/>
      <c r="M59" s="17"/>
    </row>
    <row r="60" spans="1:13" ht="15" customHeight="1" x14ac:dyDescent="0.35">
      <c r="H60" s="109"/>
      <c r="I60" s="16"/>
      <c r="J60" s="16"/>
      <c r="K60" s="87" t="s">
        <v>105</v>
      </c>
      <c r="L60" s="16"/>
      <c r="M60" s="16"/>
    </row>
    <row r="61" spans="1:13" ht="15" customHeight="1" x14ac:dyDescent="0.35">
      <c r="H61" s="109"/>
      <c r="I61" s="17"/>
      <c r="J61" s="17"/>
      <c r="K61" s="17" t="s">
        <v>204</v>
      </c>
      <c r="L61" s="17"/>
      <c r="M61" s="17"/>
    </row>
    <row r="62" spans="1:13" ht="15" customHeight="1" x14ac:dyDescent="0.35">
      <c r="H62" s="109"/>
      <c r="I62" s="16"/>
      <c r="J62" s="16"/>
      <c r="K62" s="16" t="s">
        <v>205</v>
      </c>
      <c r="L62" s="16"/>
      <c r="M62" s="16"/>
    </row>
    <row r="63" spans="1:13" ht="15" customHeight="1" x14ac:dyDescent="0.35">
      <c r="H63" s="109"/>
      <c r="I63" s="17"/>
      <c r="J63" s="17"/>
      <c r="K63" s="17" t="s">
        <v>206</v>
      </c>
      <c r="L63" s="17"/>
      <c r="M63" s="17"/>
    </row>
    <row r="64" spans="1:13" ht="15" customHeight="1" x14ac:dyDescent="0.35">
      <c r="H64" s="109"/>
      <c r="I64" s="16"/>
      <c r="J64" s="16"/>
      <c r="K64" s="16" t="s">
        <v>207</v>
      </c>
      <c r="L64" s="16"/>
      <c r="M64" s="16"/>
    </row>
    <row r="65" spans="8:13" ht="15" customHeight="1" x14ac:dyDescent="0.35">
      <c r="H65" s="109"/>
      <c r="I65" s="17"/>
      <c r="J65" s="17"/>
      <c r="K65" s="17" t="s">
        <v>208</v>
      </c>
      <c r="L65" s="17"/>
      <c r="M65" s="17"/>
    </row>
    <row r="66" spans="8:13" ht="15" customHeight="1" x14ac:dyDescent="0.35">
      <c r="H66" s="109"/>
      <c r="I66" s="16"/>
      <c r="J66" s="16"/>
      <c r="K66" s="16" t="s">
        <v>209</v>
      </c>
      <c r="L66" s="16"/>
      <c r="M66" s="16"/>
    </row>
    <row r="67" spans="8:13" ht="15" customHeight="1" x14ac:dyDescent="0.35">
      <c r="H67" s="109"/>
      <c r="I67" s="17"/>
      <c r="J67" s="17"/>
      <c r="K67" s="17" t="s">
        <v>210</v>
      </c>
      <c r="L67" s="17"/>
      <c r="M67" s="17"/>
    </row>
    <row r="68" spans="8:13" ht="15" customHeight="1" x14ac:dyDescent="0.35">
      <c r="H68" s="109"/>
      <c r="I68" s="16"/>
      <c r="J68" s="16"/>
      <c r="K68" s="16" t="s">
        <v>211</v>
      </c>
      <c r="L68" s="16"/>
      <c r="M68" s="16"/>
    </row>
    <row r="69" spans="8:13" ht="15" customHeight="1" x14ac:dyDescent="0.35">
      <c r="H69" s="109"/>
      <c r="I69" s="17"/>
      <c r="J69" s="17"/>
      <c r="K69" s="17" t="s">
        <v>212</v>
      </c>
      <c r="L69" s="17"/>
      <c r="M69" s="17"/>
    </row>
    <row r="70" spans="8:13" ht="15" customHeight="1" x14ac:dyDescent="0.35">
      <c r="H70" s="109"/>
      <c r="I70" s="16"/>
      <c r="J70" s="16"/>
      <c r="K70" s="16" t="s">
        <v>213</v>
      </c>
      <c r="L70" s="16"/>
      <c r="M70" s="16"/>
    </row>
    <row r="71" spans="8:13" ht="15" customHeight="1" x14ac:dyDescent="0.35">
      <c r="H71" s="109"/>
      <c r="I71" s="17"/>
      <c r="J71" s="17"/>
      <c r="K71" s="17" t="s">
        <v>214</v>
      </c>
      <c r="L71" s="17"/>
      <c r="M71" s="17"/>
    </row>
    <row r="72" spans="8:13" ht="15" customHeight="1" x14ac:dyDescent="0.35">
      <c r="H72" s="109"/>
      <c r="I72" s="16"/>
      <c r="J72" s="16"/>
      <c r="K72" s="16"/>
      <c r="L72" s="16"/>
      <c r="M72" s="16"/>
    </row>
    <row r="73" spans="8:13" ht="15" customHeight="1" x14ac:dyDescent="0.35">
      <c r="H73" s="109"/>
      <c r="I73" s="17"/>
      <c r="J73" s="17"/>
      <c r="K73" s="17"/>
      <c r="L73" s="17"/>
      <c r="M73" s="17"/>
    </row>
    <row r="74" spans="8:13" ht="15" customHeight="1" x14ac:dyDescent="0.35">
      <c r="H74" s="109"/>
      <c r="I74" s="16"/>
      <c r="J74" s="16"/>
      <c r="K74" s="16"/>
      <c r="L74" s="16"/>
      <c r="M74" s="16"/>
    </row>
    <row r="75" spans="8:13" ht="15" customHeight="1" x14ac:dyDescent="0.35">
      <c r="H75" s="109"/>
      <c r="I75" s="17"/>
      <c r="J75" s="17"/>
      <c r="K75" s="17"/>
      <c r="L75" s="17"/>
      <c r="M75" s="17"/>
    </row>
    <row r="76" spans="8:13" ht="15" customHeight="1" x14ac:dyDescent="0.35"/>
    <row r="77" spans="8:13" ht="15" customHeight="1" x14ac:dyDescent="0.35"/>
    <row r="78" spans="8:13" ht="15" customHeight="1" x14ac:dyDescent="0.35"/>
    <row r="79" spans="8:13" ht="15" customHeight="1" x14ac:dyDescent="0.35"/>
    <row r="80" spans="8:13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80" zoomScaleNormal="80" workbookViewId="0">
      <pane ySplit="1" topLeftCell="A431" activePane="bottomLeft" state="frozen"/>
      <selection pane="bottomLeft" activeCell="G469" sqref="G469"/>
    </sheetView>
  </sheetViews>
  <sheetFormatPr defaultColWidth="8.54296875" defaultRowHeight="14.5" x14ac:dyDescent="0.3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796875" style="20" customWidth="1"/>
    <col min="9" max="9" width="23.453125" style="20" customWidth="1"/>
    <col min="10" max="10" width="43.1796875" style="20" customWidth="1"/>
    <col min="11" max="11" width="14" style="20" customWidth="1"/>
    <col min="12" max="12" width="13.1796875" style="21" customWidth="1"/>
    <col min="13" max="13" width="14" style="20" customWidth="1"/>
    <col min="14" max="14" width="29.816406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 x14ac:dyDescent="0.3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5">
      <c r="A14" s="102" t="s">
        <v>228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102" t="s">
        <v>230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 x14ac:dyDescent="0.35">
      <c r="A28" s="99" t="s">
        <v>231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102" t="s">
        <v>228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102" t="s">
        <v>230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 x14ac:dyDescent="0.35">
      <c r="A55" s="99" t="s">
        <v>231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102" t="s">
        <v>228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102" t="s">
        <v>230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 x14ac:dyDescent="0.35">
      <c r="A82" s="99" t="s">
        <v>231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102" t="s">
        <v>228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 x14ac:dyDescent="0.35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102" t="s">
        <v>230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 x14ac:dyDescent="0.35">
      <c r="A109" s="99" t="s">
        <v>231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 x14ac:dyDescent="0.3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102" t="s">
        <v>228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 x14ac:dyDescent="0.3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102" t="s">
        <v>230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 x14ac:dyDescent="0.35">
      <c r="A136" s="99" t="s">
        <v>231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 x14ac:dyDescent="0.3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102" t="s">
        <v>228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 x14ac:dyDescent="0.3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102" t="s">
        <v>230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 x14ac:dyDescent="0.35">
      <c r="A163" s="99" t="s">
        <v>231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 x14ac:dyDescent="0.35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102" t="s">
        <v>228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 x14ac:dyDescent="0.3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102" t="s">
        <v>230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 x14ac:dyDescent="0.35">
      <c r="A190" s="99" t="s">
        <v>231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 x14ac:dyDescent="0.35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102" t="s">
        <v>228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 x14ac:dyDescent="0.3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102" t="s">
        <v>230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 x14ac:dyDescent="0.35">
      <c r="A217" s="99" t="s">
        <v>231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 x14ac:dyDescent="0.3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102" t="s">
        <v>228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 x14ac:dyDescent="0.3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102" t="s">
        <v>230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 x14ac:dyDescent="0.35">
      <c r="A244" s="99" t="s">
        <v>231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 x14ac:dyDescent="0.3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102" t="s">
        <v>228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 x14ac:dyDescent="0.3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102" t="s">
        <v>230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 x14ac:dyDescent="0.35">
      <c r="A271" s="99" t="s">
        <v>231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 x14ac:dyDescent="0.3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102" t="s">
        <v>228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 x14ac:dyDescent="0.3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 x14ac:dyDescent="0.35">
      <c r="A297" s="102" t="s">
        <v>230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 x14ac:dyDescent="0.35">
      <c r="A298" s="99" t="s">
        <v>231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 x14ac:dyDescent="0.3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102" t="s">
        <v>228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 x14ac:dyDescent="0.35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102" t="s">
        <v>230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 x14ac:dyDescent="0.35">
      <c r="A325" s="99" t="s">
        <v>231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 x14ac:dyDescent="0.35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102" t="s">
        <v>228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 x14ac:dyDescent="0.35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102" t="s">
        <v>230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 x14ac:dyDescent="0.35">
      <c r="A352" s="99" t="s">
        <v>231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 x14ac:dyDescent="0.35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102" t="s">
        <v>228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 x14ac:dyDescent="0.35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102" t="s">
        <v>230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 x14ac:dyDescent="0.35">
      <c r="A379" s="99" t="s">
        <v>231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 x14ac:dyDescent="0.35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102" t="s">
        <v>228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 x14ac:dyDescent="0.35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102" t="s">
        <v>230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 x14ac:dyDescent="0.35">
      <c r="A406" s="99" t="s">
        <v>231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 x14ac:dyDescent="0.35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102" t="s">
        <v>228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 x14ac:dyDescent="0.35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102" t="s">
        <v>230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 x14ac:dyDescent="0.35">
      <c r="A433" s="99" t="s">
        <v>231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 x14ac:dyDescent="0.35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102" t="s">
        <v>228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 x14ac:dyDescent="0.35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102" t="s">
        <v>230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 x14ac:dyDescent="0.35">
      <c r="A460" s="99" t="s">
        <v>231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 x14ac:dyDescent="0.35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102" t="s">
        <v>228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102" t="s">
        <v>230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35">
      <c r="A487" s="99" t="s">
        <v>231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102" t="s">
        <v>228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102" t="s">
        <v>230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35">
      <c r="A514" s="99" t="s">
        <v>231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102" t="s">
        <v>228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102" t="s">
        <v>230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35">
      <c r="A541" s="99" t="s">
        <v>231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102" t="s">
        <v>228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102" t="s">
        <v>230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35">
      <c r="A568" s="99" t="s">
        <v>231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102" t="s">
        <v>228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102" t="s">
        <v>230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35">
      <c r="A595" s="99" t="s">
        <v>231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102" t="s">
        <v>228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102" t="s">
        <v>230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35">
      <c r="A622" s="99" t="s">
        <v>231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102" t="s">
        <v>228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102" t="s">
        <v>230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35">
      <c r="A649" s="99" t="s">
        <v>231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102" t="s">
        <v>228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102" t="s">
        <v>230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35">
      <c r="A676" s="99" t="s">
        <v>231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102" t="s">
        <v>228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102" t="s">
        <v>230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35">
      <c r="A703" s="99" t="s">
        <v>231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102" t="s">
        <v>228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102" t="s">
        <v>230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35">
      <c r="A730" s="99" t="s">
        <v>231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102" t="s">
        <v>228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102" t="s">
        <v>230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35">
      <c r="A757" s="99" t="s">
        <v>231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102" t="s">
        <v>228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102" t="s">
        <v>230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35">
      <c r="A784" s="99" t="s">
        <v>231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102" t="s">
        <v>228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102" t="s">
        <v>230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35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70" zoomScaleNormal="70" workbookViewId="0">
      <pane ySplit="1" topLeftCell="A430" activePane="bottomLeft" state="frozen"/>
      <selection pane="bottomLeft" activeCell="F463" sqref="F463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.1796875" style="20" customWidth="1"/>
    <col min="6" max="6" width="13" style="20" customWidth="1"/>
    <col min="7" max="7" width="14" style="20" customWidth="1"/>
    <col min="8" max="8" width="29.453125" style="20" customWidth="1"/>
    <col min="9" max="9" width="29.26953125" style="20" customWidth="1"/>
    <col min="10" max="10" width="48.54296875" style="20" customWidth="1"/>
    <col min="11" max="11" width="15.453125" style="20" customWidth="1"/>
    <col min="12" max="12" width="12" style="21" customWidth="1"/>
    <col min="13" max="13" width="15.54296875" style="20" customWidth="1"/>
    <col min="14" max="14" width="59" style="20" customWidth="1"/>
    <col min="15" max="15" width="20" customWidth="1"/>
    <col min="16" max="16" width="20.1796875" customWidth="1"/>
  </cols>
  <sheetData>
    <row r="1" spans="1:15" ht="37.5" customHeight="1" x14ac:dyDescent="0.35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5">
      <c r="A14" s="102" t="s">
        <v>228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5">
      <c r="A27" s="102" t="s">
        <v>230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 x14ac:dyDescent="0.35">
      <c r="A28" s="99" t="s">
        <v>231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5">
      <c r="A41" s="102" t="s">
        <v>228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5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5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 x14ac:dyDescent="0.35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5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5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5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5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5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5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5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5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5">
      <c r="A54" s="102" t="s">
        <v>230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 x14ac:dyDescent="0.35">
      <c r="A55" s="99" t="s">
        <v>231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5">
      <c r="A68" s="102" t="s">
        <v>228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5">
      <c r="A81" s="102" t="s">
        <v>230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 x14ac:dyDescent="0.35">
      <c r="A82" s="99" t="s">
        <v>231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5">
      <c r="A95" s="102" t="s">
        <v>228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 x14ac:dyDescent="0.3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5">
      <c r="A108" s="102" t="s">
        <v>230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 x14ac:dyDescent="0.35">
      <c r="A109" s="99" t="s">
        <v>231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 x14ac:dyDescent="0.3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5">
      <c r="A122" s="102" t="s">
        <v>228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 x14ac:dyDescent="0.3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5">
      <c r="A135" s="102" t="s">
        <v>230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 x14ac:dyDescent="0.35">
      <c r="A136" s="99" t="s">
        <v>231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 x14ac:dyDescent="0.3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5">
      <c r="A149" s="102" t="s">
        <v>228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 x14ac:dyDescent="0.3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5">
      <c r="A162" s="102" t="s">
        <v>230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 x14ac:dyDescent="0.35">
      <c r="A163" s="99" t="s">
        <v>231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 x14ac:dyDescent="0.35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5">
      <c r="A176" s="102" t="s">
        <v>228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 x14ac:dyDescent="0.35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5">
      <c r="A189" s="102" t="s">
        <v>230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 x14ac:dyDescent="0.35">
      <c r="A190" s="99" t="s">
        <v>231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5">
      <c r="A203" s="102" t="s">
        <v>228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 x14ac:dyDescent="0.3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102" t="s">
        <v>230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 x14ac:dyDescent="0.35">
      <c r="A217" s="99" t="s">
        <v>231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 x14ac:dyDescent="0.3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 x14ac:dyDescent="0.3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102" t="s">
        <v>230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 x14ac:dyDescent="0.35">
      <c r="A244" s="99" t="s">
        <v>231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 x14ac:dyDescent="0.3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102" t="s">
        <v>228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 x14ac:dyDescent="0.3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102" t="s">
        <v>230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 x14ac:dyDescent="0.35">
      <c r="A271" s="99" t="s">
        <v>231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 x14ac:dyDescent="0.3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102" t="s">
        <v>228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 x14ac:dyDescent="0.3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102" t="s">
        <v>230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 x14ac:dyDescent="0.35">
      <c r="A298" s="99" t="s">
        <v>231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 x14ac:dyDescent="0.3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102" t="s">
        <v>228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 x14ac:dyDescent="0.35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102" t="s">
        <v>230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 x14ac:dyDescent="0.35">
      <c r="A325" s="99" t="s">
        <v>231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 x14ac:dyDescent="0.35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102" t="s">
        <v>228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 x14ac:dyDescent="0.35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102" t="s">
        <v>230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 x14ac:dyDescent="0.35">
      <c r="A352" s="99" t="s">
        <v>231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 x14ac:dyDescent="0.35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102" t="s">
        <v>228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 x14ac:dyDescent="0.35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0.13893518518307246</v>
      </c>
      <c r="N377" s="46"/>
      <c r="O377" s="47"/>
    </row>
    <row r="378" spans="1:15" ht="15.75" customHeight="1" x14ac:dyDescent="0.35">
      <c r="A378" s="102" t="s">
        <v>230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0.29657407407196135</v>
      </c>
      <c r="N378" s="36" t="s">
        <v>229</v>
      </c>
      <c r="O378" s="78">
        <v>511980</v>
      </c>
    </row>
    <row r="379" spans="1:15" ht="18" customHeight="1" x14ac:dyDescent="0.35">
      <c r="A379" s="99" t="s">
        <v>231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0.40629629629418351</v>
      </c>
      <c r="N379" s="40" t="s">
        <v>232</v>
      </c>
      <c r="O379" s="84">
        <f>IFERROR(O365+O378,"")</f>
        <v>1320530</v>
      </c>
    </row>
    <row r="380" spans="1:15" ht="15" customHeight="1" x14ac:dyDescent="0.35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102" t="s">
        <v>228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 x14ac:dyDescent="0.35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102" t="s">
        <v>230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 x14ac:dyDescent="0.35">
      <c r="A406" s="99" t="s">
        <v>231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 x14ac:dyDescent="0.35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102" t="s">
        <v>228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 x14ac:dyDescent="0.35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0.11740740740788169</v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0.28824074074121508</v>
      </c>
      <c r="N432" s="36" t="s">
        <v>229</v>
      </c>
      <c r="O432" s="78">
        <v>484540</v>
      </c>
    </row>
    <row r="433" spans="1:15" ht="18" customHeight="1" x14ac:dyDescent="0.35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0.43337962963010396</v>
      </c>
      <c r="N433" s="40" t="s">
        <v>232</v>
      </c>
      <c r="O433" s="84">
        <f>IFERROR(O419+O432,"")</f>
        <v>1184540</v>
      </c>
    </row>
    <row r="434" spans="1:15" ht="15" customHeight="1" x14ac:dyDescent="0.35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102" t="s">
        <v>228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 x14ac:dyDescent="0.35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102" t="s">
        <v>230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 x14ac:dyDescent="0.35">
      <c r="A460" s="99" t="s">
        <v>231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 x14ac:dyDescent="0.35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102" t="s">
        <v>228</v>
      </c>
      <c r="B473" s="103"/>
      <c r="C473" s="103"/>
      <c r="D473" s="103"/>
      <c r="E473" s="104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2.4305555555555525E-2</v>
      </c>
      <c r="N473" s="36" t="s">
        <v>229</v>
      </c>
      <c r="O473" s="78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102" t="s">
        <v>230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 x14ac:dyDescent="0.35">
      <c r="A487" s="99" t="s">
        <v>231</v>
      </c>
      <c r="B487" s="100"/>
      <c r="C487" s="100"/>
      <c r="D487" s="100"/>
      <c r="E487" s="101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2.4305555555555525E-2</v>
      </c>
      <c r="N487" s="40" t="s">
        <v>232</v>
      </c>
      <c r="O487" s="84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102" t="s">
        <v>228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102" t="s">
        <v>230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 x14ac:dyDescent="0.35">
      <c r="A514" s="99" t="s">
        <v>231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102" t="s">
        <v>228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102" t="s">
        <v>230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 x14ac:dyDescent="0.35">
      <c r="A541" s="99" t="s">
        <v>231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102" t="s">
        <v>228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102" t="s">
        <v>230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 x14ac:dyDescent="0.35">
      <c r="A568" s="99" t="s">
        <v>231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102" t="s">
        <v>228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102" t="s">
        <v>230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 x14ac:dyDescent="0.35">
      <c r="A595" s="99" t="s">
        <v>231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102" t="s">
        <v>228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102" t="s">
        <v>230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 x14ac:dyDescent="0.35">
      <c r="A622" s="99" t="s">
        <v>231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102" t="s">
        <v>228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102" t="s">
        <v>230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 x14ac:dyDescent="0.35">
      <c r="A649" s="99" t="s">
        <v>231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102" t="s">
        <v>228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102" t="s">
        <v>230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 x14ac:dyDescent="0.35">
      <c r="A676" s="99" t="s">
        <v>231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102" t="s">
        <v>228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102" t="s">
        <v>230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 x14ac:dyDescent="0.35">
      <c r="A703" s="99" t="s">
        <v>231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102" t="s">
        <v>228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102" t="s">
        <v>230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 x14ac:dyDescent="0.35">
      <c r="A730" s="99" t="s">
        <v>231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102" t="s">
        <v>228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102" t="s">
        <v>230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35">
      <c r="A757" s="99" t="s">
        <v>231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102" t="s">
        <v>228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102" t="s">
        <v>230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35">
      <c r="A784" s="99" t="s">
        <v>231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102" t="s">
        <v>228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102" t="s">
        <v>230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35">
      <c r="A811" s="99" t="s">
        <v>231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80" zoomScaleNormal="80" workbookViewId="0">
      <selection activeCell="F463" sqref="F463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4296875" style="20" customWidth="1"/>
    <col min="9" max="9" width="30.453125" style="20" customWidth="1"/>
    <col min="10" max="10" width="46.453125" style="20" customWidth="1"/>
    <col min="11" max="11" width="12" style="20" customWidth="1"/>
    <col min="12" max="12" width="16.453125" style="21" customWidth="1"/>
    <col min="13" max="13" width="14" style="20" customWidth="1"/>
    <col min="14" max="14" width="27.816406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5">
      <c r="A14" s="102" t="s">
        <v>228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5">
      <c r="A27" s="102" t="s">
        <v>230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 x14ac:dyDescent="0.35">
      <c r="A28" s="99" t="s">
        <v>231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102" t="s">
        <v>228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102" t="s">
        <v>230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 x14ac:dyDescent="0.35">
      <c r="A55" s="99" t="s">
        <v>231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102" t="s">
        <v>228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102" t="s">
        <v>230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 x14ac:dyDescent="0.35">
      <c r="A82" s="99" t="s">
        <v>231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102" t="s">
        <v>228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 x14ac:dyDescent="0.3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102" t="s">
        <v>230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 x14ac:dyDescent="0.35">
      <c r="A109" s="99" t="s">
        <v>231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 x14ac:dyDescent="0.3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102" t="s">
        <v>228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 x14ac:dyDescent="0.3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102" t="s">
        <v>230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 x14ac:dyDescent="0.35">
      <c r="A136" s="99" t="s">
        <v>231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 x14ac:dyDescent="0.3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2" t="s">
        <v>228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 x14ac:dyDescent="0.3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2" t="s">
        <v>230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 x14ac:dyDescent="0.35">
      <c r="A163" s="99" t="s">
        <v>231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 x14ac:dyDescent="0.35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102" t="s">
        <v>228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 x14ac:dyDescent="0.3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102" t="s">
        <v>230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 x14ac:dyDescent="0.35">
      <c r="A190" s="99" t="s">
        <v>231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 x14ac:dyDescent="0.35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102" t="s">
        <v>228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 x14ac:dyDescent="0.3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5">
      <c r="A216" s="102" t="s">
        <v>230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 x14ac:dyDescent="0.35">
      <c r="A217" s="99" t="s">
        <v>231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 x14ac:dyDescent="0.3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5">
      <c r="A230" s="102" t="s">
        <v>228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 x14ac:dyDescent="0.3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5">
      <c r="A243" s="102" t="s">
        <v>230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 x14ac:dyDescent="0.35">
      <c r="A244" s="99" t="s">
        <v>231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 x14ac:dyDescent="0.3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5">
      <c r="A257" s="102" t="s">
        <v>228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 x14ac:dyDescent="0.3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5">
      <c r="A270" s="102" t="s">
        <v>230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 x14ac:dyDescent="0.35">
      <c r="A271" s="99" t="s">
        <v>231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 x14ac:dyDescent="0.3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5">
      <c r="A284" s="102" t="s">
        <v>228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 x14ac:dyDescent="0.3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5">
      <c r="A297" s="102" t="s">
        <v>230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 x14ac:dyDescent="0.35">
      <c r="A298" s="99" t="s">
        <v>231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 x14ac:dyDescent="0.3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5">
      <c r="A311" s="102" t="s">
        <v>228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 x14ac:dyDescent="0.35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5">
      <c r="A324" s="102" t="s">
        <v>230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 x14ac:dyDescent="0.35">
      <c r="A325" s="99" t="s">
        <v>231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 x14ac:dyDescent="0.35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5">
      <c r="A338" s="102" t="s">
        <v>228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 x14ac:dyDescent="0.35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5">
      <c r="A351" s="102" t="s">
        <v>230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 x14ac:dyDescent="0.35">
      <c r="A352" s="99" t="s">
        <v>231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 x14ac:dyDescent="0.35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5">
      <c r="A365" s="102" t="s">
        <v>228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 x14ac:dyDescent="0.35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5">
      <c r="A378" s="102" t="s">
        <v>230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 x14ac:dyDescent="0.35">
      <c r="A379" s="99" t="s">
        <v>231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 x14ac:dyDescent="0.35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5">
      <c r="A392" s="102" t="s">
        <v>228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 x14ac:dyDescent="0.35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5">
      <c r="A405" s="102" t="s">
        <v>230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 x14ac:dyDescent="0.35">
      <c r="A406" s="99" t="s">
        <v>231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 x14ac:dyDescent="0.35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5">
      <c r="A419" s="102" t="s">
        <v>228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 x14ac:dyDescent="0.35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5">
      <c r="A432" s="102" t="s">
        <v>230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 x14ac:dyDescent="0.35">
      <c r="A433" s="99" t="s">
        <v>231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 x14ac:dyDescent="0.35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5">
      <c r="A446" s="102" t="s">
        <v>228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 x14ac:dyDescent="0.35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5">
      <c r="A459" s="102" t="s">
        <v>230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 x14ac:dyDescent="0.35">
      <c r="A460" s="99" t="s">
        <v>231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 x14ac:dyDescent="0.35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5">
      <c r="A473" s="102" t="s">
        <v>228</v>
      </c>
      <c r="B473" s="103"/>
      <c r="C473" s="103"/>
      <c r="D473" s="103"/>
      <c r="E473" s="104">
        <f>SUM(E461:E472)</f>
        <v>0</v>
      </c>
      <c r="F473" s="36">
        <f>SUM(F461:F472)</f>
        <v>7</v>
      </c>
      <c r="G473" s="36">
        <f>SUM(G461:G472)</f>
        <v>35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5">
      <c r="A486" s="102" t="s">
        <v>230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35">
      <c r="A487" s="99" t="s">
        <v>231</v>
      </c>
      <c r="B487" s="100"/>
      <c r="C487" s="100"/>
      <c r="D487" s="100"/>
      <c r="E487" s="101">
        <f>E473+E486</f>
        <v>0</v>
      </c>
      <c r="F487" s="40">
        <f>F473+F486</f>
        <v>7</v>
      </c>
      <c r="G487" s="40">
        <f>G473+G486</f>
        <v>35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5">
      <c r="A500" s="102" t="s">
        <v>228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5">
      <c r="A513" s="102" t="s">
        <v>230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35">
      <c r="A514" s="99" t="s">
        <v>231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5">
      <c r="A527" s="102" t="s">
        <v>228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5">
      <c r="A540" s="102" t="s">
        <v>230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35">
      <c r="A541" s="99" t="s">
        <v>231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5">
      <c r="A554" s="102" t="s">
        <v>228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5">
      <c r="A567" s="102" t="s">
        <v>230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35">
      <c r="A568" s="99" t="s">
        <v>231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5">
      <c r="A581" s="102" t="s">
        <v>228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5">
      <c r="A594" s="102" t="s">
        <v>230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35">
      <c r="A595" s="99" t="s">
        <v>231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5">
      <c r="A608" s="102" t="s">
        <v>228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5">
      <c r="A621" s="102" t="s">
        <v>230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35">
      <c r="A622" s="99" t="s">
        <v>231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5">
      <c r="A635" s="102" t="s">
        <v>228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5">
      <c r="A648" s="102" t="s">
        <v>230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35">
      <c r="A649" s="99" t="s">
        <v>231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5">
      <c r="A662" s="102" t="s">
        <v>228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5">
      <c r="A675" s="102" t="s">
        <v>230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35">
      <c r="A676" s="99" t="s">
        <v>231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5">
      <c r="A689" s="102" t="s">
        <v>228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5">
      <c r="A702" s="102" t="s">
        <v>230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35">
      <c r="A703" s="99" t="s">
        <v>231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5">
      <c r="A716" s="102" t="s">
        <v>228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5">
      <c r="A729" s="102" t="s">
        <v>230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35">
      <c r="A730" s="99" t="s">
        <v>231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5">
      <c r="A743" s="102" t="s">
        <v>228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5">
      <c r="A756" s="102" t="s">
        <v>230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35">
      <c r="A757" s="99" t="s">
        <v>231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5">
      <c r="A770" s="102" t="s">
        <v>228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5">
      <c r="A783" s="102" t="s">
        <v>230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35">
      <c r="A784" s="99" t="s">
        <v>231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5">
      <c r="A797" s="102" t="s">
        <v>228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5">
      <c r="A810" s="102" t="s">
        <v>230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35">
      <c r="A811" s="99" t="s">
        <v>231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70" zoomScaleNormal="70" workbookViewId="0">
      <pane ySplit="1" topLeftCell="A430" activePane="bottomLeft" state="frozen"/>
      <selection pane="bottomLeft" activeCell="L461" sqref="L461"/>
    </sheetView>
  </sheetViews>
  <sheetFormatPr defaultColWidth="8.54296875" defaultRowHeight="14.5" x14ac:dyDescent="0.3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796875" style="57" customWidth="1"/>
    <col min="10" max="10" width="52.1796875" style="57" customWidth="1"/>
    <col min="11" max="11" width="18.453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53125" bestFit="1" customWidth="1"/>
  </cols>
  <sheetData>
    <row r="1" spans="1:15" ht="37.5" customHeight="1" x14ac:dyDescent="0.35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5">
      <c r="A14" s="102" t="s">
        <v>228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5">
      <c r="A27" s="102" t="s">
        <v>230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 x14ac:dyDescent="0.35">
      <c r="A28" s="99" t="s">
        <v>231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5">
      <c r="A41" s="102" t="s">
        <v>228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5">
      <c r="A54" s="102" t="s">
        <v>230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 x14ac:dyDescent="0.35">
      <c r="A55" s="99" t="s">
        <v>231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5">
      <c r="A68" s="102" t="s">
        <v>228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5">
      <c r="A81" s="102" t="s">
        <v>230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 x14ac:dyDescent="0.35">
      <c r="A82" s="99" t="s">
        <v>231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5">
      <c r="A95" s="102" t="s">
        <v>228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 x14ac:dyDescent="0.3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5">
      <c r="A108" s="102" t="s">
        <v>230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 x14ac:dyDescent="0.35">
      <c r="A109" s="99" t="s">
        <v>231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 x14ac:dyDescent="0.3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5">
      <c r="A122" s="102" t="s">
        <v>228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 x14ac:dyDescent="0.3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 x14ac:dyDescent="0.3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0.12921296296553919</v>
      </c>
      <c r="N128" s="27"/>
      <c r="O128" s="60"/>
    </row>
    <row r="129" spans="1:18" ht="15" customHeight="1" x14ac:dyDescent="0.3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 x14ac:dyDescent="0.3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5">
      <c r="A135" s="102" t="s">
        <v>230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0.32851851852109482</v>
      </c>
      <c r="N135" s="36" t="s">
        <v>229</v>
      </c>
      <c r="O135" s="39">
        <v>729290</v>
      </c>
    </row>
    <row r="136" spans="1:18" ht="18" customHeight="1" x14ac:dyDescent="0.35">
      <c r="A136" s="99" t="s">
        <v>231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0.69587962963220584</v>
      </c>
      <c r="N136" s="40" t="s">
        <v>232</v>
      </c>
      <c r="O136" s="48">
        <f>IFERROR(O122+O135,"")</f>
        <v>1003740</v>
      </c>
    </row>
    <row r="137" spans="1:18" ht="15" customHeight="1" x14ac:dyDescent="0.3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 x14ac:dyDescent="0.3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2" t="s">
        <v>228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 x14ac:dyDescent="0.3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2" t="s">
        <v>230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 x14ac:dyDescent="0.35">
      <c r="A163" s="99" t="s">
        <v>231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 x14ac:dyDescent="0.35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102" t="s">
        <v>228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 x14ac:dyDescent="0.3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102" t="s">
        <v>230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 x14ac:dyDescent="0.35">
      <c r="A190" s="99" t="s">
        <v>231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 x14ac:dyDescent="0.35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102" t="s">
        <v>228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 x14ac:dyDescent="0.3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5">
      <c r="A216" s="102" t="s">
        <v>230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 x14ac:dyDescent="0.35">
      <c r="A217" s="99" t="s">
        <v>231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 x14ac:dyDescent="0.3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5">
      <c r="A230" s="102" t="s">
        <v>228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 x14ac:dyDescent="0.3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 x14ac:dyDescent="0.3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5">
      <c r="A243" s="102" t="s">
        <v>230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 x14ac:dyDescent="0.35">
      <c r="A244" s="99" t="s">
        <v>231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 x14ac:dyDescent="0.3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5">
      <c r="A257" s="102" t="s">
        <v>228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 x14ac:dyDescent="0.3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5">
      <c r="A270" s="102" t="s">
        <v>230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 x14ac:dyDescent="0.35">
      <c r="A271" s="99" t="s">
        <v>231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 x14ac:dyDescent="0.3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5">
      <c r="A284" s="102" t="s">
        <v>228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 x14ac:dyDescent="0.3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5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5">
      <c r="A297" s="102" t="s">
        <v>230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 x14ac:dyDescent="0.35">
      <c r="A298" s="99" t="s">
        <v>231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 x14ac:dyDescent="0.3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5">
      <c r="A311" s="102" t="s">
        <v>228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 x14ac:dyDescent="0.35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35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35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35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 x14ac:dyDescent="0.35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35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35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5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5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5">
      <c r="A324" s="102" t="s">
        <v>230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 x14ac:dyDescent="0.35">
      <c r="A325" s="99" t="s">
        <v>231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 x14ac:dyDescent="0.35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35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 x14ac:dyDescent="0.35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35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5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5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5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5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5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5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5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5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5">
      <c r="A338" s="102" t="s">
        <v>228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 x14ac:dyDescent="0.35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35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35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35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35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35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 x14ac:dyDescent="0.35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5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5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5">
      <c r="A351" s="102" t="s">
        <v>230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 x14ac:dyDescent="0.35">
      <c r="A352" s="99" t="s">
        <v>231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 x14ac:dyDescent="0.35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5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5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 x14ac:dyDescent="0.35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35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35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35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35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35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35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35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35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35">
      <c r="A378" s="102" t="s">
        <v>230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 x14ac:dyDescent="0.35">
      <c r="A379" s="99" t="s">
        <v>231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 x14ac:dyDescent="0.35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5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5">
      <c r="A392" s="102" t="s">
        <v>228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 x14ac:dyDescent="0.35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 x14ac:dyDescent="0.35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35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 x14ac:dyDescent="0.35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35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5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5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5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5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5">
      <c r="A405" s="102" t="s">
        <v>230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 x14ac:dyDescent="0.35">
      <c r="A406" s="99" t="s">
        <v>231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 x14ac:dyDescent="0.35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5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5">
      <c r="A419" s="102" t="s">
        <v>228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 x14ac:dyDescent="0.35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35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35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 x14ac:dyDescent="0.35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35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5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5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5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5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5">
      <c r="A432" s="102" t="s">
        <v>230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 x14ac:dyDescent="0.35">
      <c r="A433" s="99" t="s">
        <v>231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 x14ac:dyDescent="0.35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35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35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35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35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5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5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5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5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5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5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5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5">
      <c r="A446" s="102" t="s">
        <v>228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 x14ac:dyDescent="0.35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35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35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5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5">
      <c r="A459" s="102" t="s">
        <v>230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 x14ac:dyDescent="0.35">
      <c r="A460" s="99" t="s">
        <v>231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 x14ac:dyDescent="0.35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/>
      <c r="M461" s="35">
        <f t="shared" ref="M461:M472" ca="1" si="103">IFERROR(IF(K461="","",IF(L461="",MOD(NOW()-K461,1),IF(L461&gt;=K461,L461-K461,L461+1-K461))),"")</f>
        <v>5.2129629628325347E-2</v>
      </c>
      <c r="N461" s="27" t="s">
        <v>346</v>
      </c>
      <c r="O461" s="60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5">
      <c r="A473" s="102" t="s">
        <v>228</v>
      </c>
      <c r="B473" s="103"/>
      <c r="C473" s="103"/>
      <c r="D473" s="103"/>
      <c r="E473" s="104">
        <f>SUM(E461:E472)</f>
        <v>0</v>
      </c>
      <c r="F473" s="36">
        <f>SUM(F461:F472)</f>
        <v>5</v>
      </c>
      <c r="G473" s="36">
        <f>SUM(G461:G472)</f>
        <v>25</v>
      </c>
      <c r="H473" s="37"/>
      <c r="I473" s="37"/>
      <c r="J473" s="37"/>
      <c r="K473" s="61"/>
      <c r="L473" s="61"/>
      <c r="M473" s="38">
        <f ca="1">IFERROR(SUM(M461:M472),"")</f>
        <v>5.2129629628325347E-2</v>
      </c>
      <c r="N473" s="36" t="s">
        <v>229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5">
      <c r="A486" s="102" t="s">
        <v>230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35">
      <c r="A487" s="99" t="s">
        <v>231</v>
      </c>
      <c r="B487" s="100"/>
      <c r="C487" s="100"/>
      <c r="D487" s="100"/>
      <c r="E487" s="101">
        <f>E473+E486</f>
        <v>0</v>
      </c>
      <c r="F487" s="40">
        <f>F473+F486</f>
        <v>5</v>
      </c>
      <c r="G487" s="40">
        <f>G473+G486</f>
        <v>25</v>
      </c>
      <c r="H487" s="41"/>
      <c r="I487" s="41"/>
      <c r="J487" s="41"/>
      <c r="K487" s="63"/>
      <c r="L487" s="63"/>
      <c r="M487" s="42">
        <f ca="1">IFERROR(M473+M486,"")</f>
        <v>5.2129629628325347E-2</v>
      </c>
      <c r="N487" s="40" t="s">
        <v>232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5">
      <c r="A500" s="102" t="s">
        <v>228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5">
      <c r="A513" s="102" t="s">
        <v>230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35">
      <c r="A514" s="99" t="s">
        <v>231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5">
      <c r="A527" s="102" t="s">
        <v>228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5">
      <c r="A540" s="102" t="s">
        <v>230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35">
      <c r="A541" s="99" t="s">
        <v>231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5">
      <c r="A554" s="102" t="s">
        <v>228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5">
      <c r="A567" s="102" t="s">
        <v>230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35">
      <c r="A568" s="99" t="s">
        <v>231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5">
      <c r="A581" s="102" t="s">
        <v>228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5">
      <c r="A594" s="102" t="s">
        <v>230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35">
      <c r="A595" s="99" t="s">
        <v>231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5">
      <c r="A608" s="102" t="s">
        <v>228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5">
      <c r="A621" s="102" t="s">
        <v>230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35">
      <c r="A622" s="99" t="s">
        <v>231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5">
      <c r="A635" s="102" t="s">
        <v>228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5">
      <c r="A648" s="102" t="s">
        <v>230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35">
      <c r="A649" s="99" t="s">
        <v>231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5">
      <c r="A662" s="102" t="s">
        <v>228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5">
      <c r="A675" s="102" t="s">
        <v>230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35">
      <c r="A676" s="99" t="s">
        <v>231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5">
      <c r="A689" s="102" t="s">
        <v>228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5">
      <c r="A702" s="102" t="s">
        <v>230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35">
      <c r="A703" s="99" t="s">
        <v>231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5">
      <c r="A716" s="102" t="s">
        <v>228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5">
      <c r="A729" s="102" t="s">
        <v>230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35">
      <c r="A730" s="99" t="s">
        <v>231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5">
      <c r="A743" s="102" t="s">
        <v>228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5">
      <c r="A756" s="102" t="s">
        <v>230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35">
      <c r="A757" s="99" t="s">
        <v>231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5">
      <c r="A770" s="102" t="s">
        <v>228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5">
      <c r="A783" s="102" t="s">
        <v>230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35">
      <c r="A784" s="99" t="s">
        <v>231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5">
      <c r="A797" s="102" t="s">
        <v>228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5">
      <c r="A810" s="102" t="s">
        <v>230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35">
      <c r="A811" s="99" t="s">
        <v>231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2026-07-18T13:09:40Z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