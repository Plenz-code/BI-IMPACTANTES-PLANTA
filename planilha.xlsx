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0" documentId="8_{AF585B22-221D-4780-BB9C-493D365A6A02}" xr6:coauthVersionLast="47" xr6:coauthVersionMax="47" xr10:uidLastSave="{E550E127-640A-4189-9073-1C72F5A9A165}"/>
  <bookViews>
    <workbookView xWindow="-110" yWindow="-110" windowWidth="25820" windowHeight="15500" tabRatio="500" firstSheet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<sst xmlns="http://schemas.openxmlformats.org/spreadsheetml/2006/main" count="1312" uniqueCount="201">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</sst>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" zoomScale="85" zoomScaleNormal="85" workbookViewId="0">
      <selection activeCell="K3" sqref="K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85</v>
      </c>
      <c r="G27" s="36">
        <f>SUM(G15:G26)</f>
        <v>425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357</v>
      </c>
      <c r="G28" s="40">
        <f>G14+G27</f>
        <v>1785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>
        <v>0.91666666666666663</v>
      </c>
      <c r="L15" s="29">
        <v>0.95833333333333337</v>
      </c>
      <c r="M15" s="30">
        <f t="shared" ref="M15:M26" ca="1" si="4">IFERROR(IF(K15="","",IF(L15="",MOD(NOW()-K15,1),IF(L15&gt;=K15,L15-K15,L15+1-K15))),"")</f>
        <v>4.1666666666666741E-2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62</v>
      </c>
      <c r="G27" s="36">
        <f>SUM(G15:G26)</f>
        <v>260.40000000000003</v>
      </c>
      <c r="H27" s="37"/>
      <c r="I27" s="37"/>
      <c r="J27" s="37"/>
      <c r="K27" s="37"/>
      <c r="L27" s="37"/>
      <c r="M27" s="38">
        <f ca="1">IFERROR(SUM(M15:M26),"")</f>
        <v>4.1666666666666741E-2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210</v>
      </c>
      <c r="G28" s="40">
        <f>G14+G27</f>
        <v>882</v>
      </c>
      <c r="H28" s="41"/>
      <c r="I28" s="41"/>
      <c r="J28" s="41"/>
      <c r="K28" s="41"/>
      <c r="L28" s="41"/>
      <c r="M28" s="42">
        <f ca="1">IFERROR(M14+M27,"")</f>
        <v>0.13125000000000003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28</v>
      </c>
      <c r="G27" s="36">
        <f>SUM(G15:G26)</f>
        <v>117.60000000000002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87</v>
      </c>
      <c r="G28" s="40">
        <f>G14+G27</f>
        <v>365.40000000000003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83</v>
      </c>
      <c r="G28" s="40">
        <f>G14+G27</f>
        <v>348.59999999999997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2026-07-02T04:06:52Z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