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24" documentId="13_ncr:1_{9DFDFEE8-78F7-4C04-B87C-99924EE6CC37}" xr6:coauthVersionLast="47" xr6:coauthVersionMax="47" xr10:uidLastSave="{F19198C3-6A93-4679-825A-33A71D4D3F7A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<sst xmlns="http://schemas.openxmlformats.org/spreadsheetml/2006/main" count="4633" uniqueCount="1312">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</sst>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77" sqref="F7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208</v>
      </c>
      <c r="G54" s="2">
        <f>SUM(G42:G53)</f>
        <v>1040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381</v>
      </c>
      <c r="G55" s="1">
        <f>G41+G54</f>
        <v>1905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0" activePane="bottomLeft" state="frozen"/>
      <selection pane="bottomLeft" activeCell="R48" sqref="R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/>
      <c r="N47" s="85" t="s">
        <v>171</v>
      </c>
      <c r="O47" s="80">
        <v>0.22222222222222221</v>
      </c>
      <c r="P47" s="80"/>
      <c r="Q47" s="81">
        <f t="shared" ca="1" si="14"/>
        <v>2.4461342596623581E-2</v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135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567.00000000000011</v>
      </c>
      <c r="L54" s="87"/>
      <c r="M54" s="87"/>
      <c r="N54" s="87"/>
      <c r="O54" s="87"/>
      <c r="P54" s="87"/>
      <c r="Q54" s="88">
        <f ca="1">IFERROR(SUM(Q42:Q53),"")</f>
        <v>0.22585023148551248</v>
      </c>
      <c r="R54" s="2" t="s">
        <v>270</v>
      </c>
      <c r="S54" s="131"/>
      <c r="T54" s="132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165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0.66960023148551251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86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361.2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148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621.6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N47" sqref="N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/>
      <c r="Q47" s="86">
        <f t="shared" ca="1" si="14"/>
        <v>3.6280092608649284E-3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>
        <v>0.18472222222222223</v>
      </c>
      <c r="P52" s="80"/>
      <c r="Q52" s="86">
        <f t="shared" ca="1" si="14"/>
        <v>6.1961342595168389E-2</v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138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516.6</v>
      </c>
      <c r="L54" s="87"/>
      <c r="M54" s="87"/>
      <c r="N54" s="87"/>
      <c r="O54" s="154"/>
      <c r="P54" s="154"/>
      <c r="Q54" s="88">
        <f ca="1">IFERROR(SUM(Q42:Q53),"")</f>
        <v>0.21697824074492222</v>
      </c>
      <c r="R54" s="2" t="s">
        <v>270</v>
      </c>
      <c r="S54" s="89"/>
      <c r="T54" s="118">
        <f>IFERROR(J54,"")</f>
        <v>0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212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890.40000000000009</v>
      </c>
      <c r="L55" s="91"/>
      <c r="M55" s="91"/>
      <c r="N55" s="91"/>
      <c r="O55" s="155"/>
      <c r="P55" s="155"/>
      <c r="Q55" s="92">
        <f ca="1">IFERROR(Q41+Q54,"")</f>
        <v>0.51420046296714461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2026-09-03T09:55:34Z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