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972" documentId="13_ncr:1_{0A10D8D4-8450-4366-8075-B53B08E6B7EA}" xr6:coauthVersionLast="47" xr6:coauthVersionMax="47" xr10:uidLastSave="{E67434B8-989F-48B9-9E44-249A36653834}"/>
  <bookViews>
    <workbookView xWindow="-120" yWindow="-12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5" l="1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44" i="6"/>
  <c r="J444" i="6" s="1"/>
  <c r="H445" i="6"/>
  <c r="J44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44" i="5"/>
  <c r="J444" i="5" s="1"/>
  <c r="H445" i="5"/>
  <c r="J44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47" i="4"/>
  <c r="J447" i="4" s="1"/>
  <c r="H448" i="4"/>
  <c r="J448" i="4" s="1"/>
  <c r="H449" i="4"/>
  <c r="J449" i="4" s="1"/>
  <c r="H450" i="4"/>
  <c r="J450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H444" i="4"/>
  <c r="J444" i="4" s="1"/>
  <c r="H445" i="4"/>
  <c r="J44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42" i="6" l="1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<sst xmlns="http://schemas.openxmlformats.org/spreadsheetml/2006/main" count="7545" uniqueCount="363">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</sst>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8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7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</row>
    <row r="2" spans="1:11" ht="30" customHeight="1">
      <c r="A2" s="165"/>
      <c r="B2" s="16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6" t="s">
        <v>14</v>
      </c>
      <c r="B35" s="166"/>
      <c r="C35" s="13">
        <f t="shared" ref="C35:H35" si="2">IFERROR(SUM(C4:C34),"")</f>
        <v>59854730</v>
      </c>
      <c r="D35" s="13">
        <f t="shared" si="2"/>
        <v>19537270</v>
      </c>
      <c r="E35" s="13">
        <f t="shared" si="2"/>
        <v>10062440</v>
      </c>
      <c r="F35" s="13">
        <f t="shared" si="2"/>
        <v>24902370</v>
      </c>
      <c r="G35" s="13">
        <f t="shared" si="2"/>
        <v>54502080</v>
      </c>
      <c r="H35" s="97">
        <f t="shared" si="2"/>
        <v>3687.0015327907322</v>
      </c>
      <c r="I35" s="97">
        <f>IFERROR(SUM(I4:I34),"")</f>
        <v>3895.4599999999996</v>
      </c>
      <c r="J35" s="130">
        <f>IFERROR(AVERAGE(J4:J34),"-")</f>
        <v>0.93662764247245955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9" t="s">
        <v>15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70"/>
      <c r="N1" s="171" t="s">
        <v>16</v>
      </c>
      <c r="O1" s="171"/>
      <c r="P1" s="171"/>
      <c r="Q1" s="171"/>
      <c r="R1" s="171"/>
    </row>
    <row r="2" spans="1:18" ht="4.5" customHeight="1">
      <c r="M2" s="170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0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0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0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0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0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0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0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0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0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0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0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0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0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0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0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0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0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0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70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70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70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70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70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70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70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70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70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70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70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70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70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70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70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70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70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70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70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70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70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70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70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70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70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70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70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70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70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0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70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70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70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70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70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70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70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70"/>
      <c r="N58" s="16"/>
      <c r="O58" s="16"/>
      <c r="P58" s="16" t="s">
        <v>216</v>
      </c>
      <c r="Q58" s="16"/>
      <c r="R58" s="16"/>
    </row>
    <row r="59" spans="1:18" ht="15" customHeight="1">
      <c r="M59" s="170"/>
      <c r="N59" s="17"/>
      <c r="O59" s="17"/>
      <c r="P59" s="17" t="s">
        <v>217</v>
      </c>
      <c r="Q59" s="17"/>
      <c r="R59" s="17"/>
    </row>
    <row r="60" spans="1:18" ht="15" customHeight="1">
      <c r="M60" s="170"/>
      <c r="N60" s="16"/>
      <c r="O60" s="16"/>
      <c r="P60" s="77" t="s">
        <v>112</v>
      </c>
      <c r="Q60" s="16"/>
      <c r="R60" s="16"/>
    </row>
    <row r="61" spans="1:18" ht="15" customHeight="1">
      <c r="M61" s="170"/>
      <c r="N61" s="17"/>
      <c r="O61" s="17"/>
      <c r="P61" s="17" t="s">
        <v>218</v>
      </c>
      <c r="Q61" s="17"/>
      <c r="R61" s="17"/>
    </row>
    <row r="62" spans="1:18" ht="15" customHeight="1">
      <c r="M62" s="170"/>
      <c r="N62" s="16"/>
      <c r="O62" s="16"/>
      <c r="P62" s="16" t="s">
        <v>219</v>
      </c>
      <c r="Q62" s="16"/>
      <c r="R62" s="16"/>
    </row>
    <row r="63" spans="1:18" ht="15" customHeight="1">
      <c r="M63" s="170"/>
      <c r="N63" s="17"/>
      <c r="O63" s="17"/>
      <c r="P63" s="17" t="s">
        <v>220</v>
      </c>
      <c r="Q63" s="17"/>
      <c r="R63" s="17"/>
    </row>
    <row r="64" spans="1:18" ht="15" customHeight="1">
      <c r="M64" s="170"/>
      <c r="N64" s="16"/>
      <c r="O64" s="16"/>
      <c r="P64" s="16" t="s">
        <v>221</v>
      </c>
      <c r="Q64" s="16"/>
      <c r="R64" s="16"/>
    </row>
    <row r="65" spans="13:18" ht="15" customHeight="1">
      <c r="M65" s="170"/>
      <c r="N65" s="17"/>
      <c r="O65" s="17"/>
      <c r="P65" s="17" t="s">
        <v>222</v>
      </c>
      <c r="Q65" s="17"/>
      <c r="R65" s="17"/>
    </row>
    <row r="66" spans="13:18" ht="15" customHeight="1">
      <c r="M66" s="170"/>
      <c r="N66" s="16"/>
      <c r="O66" s="16"/>
      <c r="P66" s="16" t="s">
        <v>223</v>
      </c>
      <c r="Q66" s="16"/>
      <c r="R66" s="16"/>
    </row>
    <row r="67" spans="13:18" ht="15" customHeight="1">
      <c r="M67" s="170"/>
      <c r="N67" s="17"/>
      <c r="O67" s="17"/>
      <c r="P67" s="17" t="s">
        <v>224</v>
      </c>
      <c r="Q67" s="17"/>
      <c r="R67" s="17"/>
    </row>
    <row r="68" spans="13:18" ht="15" customHeight="1">
      <c r="M68" s="170"/>
      <c r="N68" s="16"/>
      <c r="O68" s="16"/>
      <c r="P68" s="16" t="s">
        <v>225</v>
      </c>
      <c r="Q68" s="16"/>
      <c r="R68" s="16"/>
    </row>
    <row r="69" spans="13:18" ht="15" customHeight="1">
      <c r="M69" s="170"/>
      <c r="N69" s="17"/>
      <c r="O69" s="17"/>
      <c r="P69" s="17" t="s">
        <v>226</v>
      </c>
      <c r="Q69" s="17"/>
      <c r="R69" s="17"/>
    </row>
    <row r="70" spans="13:18" ht="15" customHeight="1">
      <c r="M70" s="170"/>
      <c r="N70" s="16"/>
      <c r="O70" s="16"/>
      <c r="P70" s="16" t="s">
        <v>227</v>
      </c>
      <c r="Q70" s="16"/>
      <c r="R70" s="16"/>
    </row>
    <row r="71" spans="13:18" ht="15" customHeight="1">
      <c r="M71" s="170"/>
      <c r="N71" s="17"/>
      <c r="O71" s="17"/>
      <c r="P71" s="17" t="s">
        <v>228</v>
      </c>
      <c r="Q71" s="17"/>
      <c r="R71" s="17"/>
    </row>
    <row r="72" spans="13:18" ht="15" customHeight="1">
      <c r="M72" s="170"/>
      <c r="N72" s="16"/>
      <c r="O72" s="16"/>
      <c r="P72" s="16" t="s">
        <v>229</v>
      </c>
      <c r="Q72" s="16"/>
      <c r="R72" s="16"/>
    </row>
    <row r="73" spans="13:18" ht="15" customHeight="1">
      <c r="M73" s="170"/>
      <c r="N73" s="17"/>
      <c r="O73" s="17"/>
      <c r="P73" s="17" t="s">
        <v>230</v>
      </c>
      <c r="Q73" s="17"/>
      <c r="R73" s="17"/>
    </row>
    <row r="74" spans="13:18" ht="15" customHeight="1">
      <c r="M74" s="170"/>
      <c r="N74" s="16"/>
      <c r="O74" s="16"/>
      <c r="P74" s="16" t="s">
        <v>231</v>
      </c>
      <c r="Q74" s="16"/>
      <c r="R74" s="16"/>
    </row>
    <row r="75" spans="13:18" ht="15" customHeight="1">
      <c r="M75" s="170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11" activePane="bottomLeft" state="frozen"/>
      <selection pane="bottomLeft" activeCell="L439" sqref="L439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9" t="s">
        <v>244</v>
      </c>
      <c r="B14" s="160"/>
      <c r="C14" s="160"/>
      <c r="D14" s="160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9" t="s">
        <v>247</v>
      </c>
      <c r="B27" s="160"/>
      <c r="C27" s="160"/>
      <c r="D27" s="160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1" t="s">
        <v>248</v>
      </c>
      <c r="B28" s="162"/>
      <c r="C28" s="162"/>
      <c r="D28" s="162"/>
      <c r="E28" s="17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9" t="s">
        <v>244</v>
      </c>
      <c r="B41" s="160"/>
      <c r="C41" s="160"/>
      <c r="D41" s="160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9" t="s">
        <v>247</v>
      </c>
      <c r="B54" s="160"/>
      <c r="C54" s="160"/>
      <c r="D54" s="160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1" t="s">
        <v>248</v>
      </c>
      <c r="B55" s="162"/>
      <c r="C55" s="162"/>
      <c r="D55" s="162"/>
      <c r="E55" s="17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9" t="s">
        <v>244</v>
      </c>
      <c r="B68" s="160"/>
      <c r="C68" s="160"/>
      <c r="D68" s="160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9" t="s">
        <v>247</v>
      </c>
      <c r="B81" s="160"/>
      <c r="C81" s="160"/>
      <c r="D81" s="160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1" t="s">
        <v>248</v>
      </c>
      <c r="B82" s="162"/>
      <c r="C82" s="162"/>
      <c r="D82" s="162"/>
      <c r="E82" s="17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9" t="s">
        <v>244</v>
      </c>
      <c r="B95" s="160"/>
      <c r="C95" s="160"/>
      <c r="D95" s="160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9" t="s">
        <v>247</v>
      </c>
      <c r="B108" s="160"/>
      <c r="C108" s="160"/>
      <c r="D108" s="160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1" t="s">
        <v>248</v>
      </c>
      <c r="B109" s="162"/>
      <c r="C109" s="162"/>
      <c r="D109" s="162"/>
      <c r="E109" s="17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9" t="s">
        <v>244</v>
      </c>
      <c r="B122" s="160"/>
      <c r="C122" s="160"/>
      <c r="D122" s="160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9" t="s">
        <v>247</v>
      </c>
      <c r="B135" s="160"/>
      <c r="C135" s="160"/>
      <c r="D135" s="160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1" t="s">
        <v>248</v>
      </c>
      <c r="B136" s="162"/>
      <c r="C136" s="162"/>
      <c r="D136" s="162"/>
      <c r="E136" s="17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9" t="s">
        <v>244</v>
      </c>
      <c r="B149" s="160"/>
      <c r="C149" s="160"/>
      <c r="D149" s="160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9" t="s">
        <v>247</v>
      </c>
      <c r="B162" s="160"/>
      <c r="C162" s="160"/>
      <c r="D162" s="160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1" t="s">
        <v>248</v>
      </c>
      <c r="B163" s="162"/>
      <c r="C163" s="162"/>
      <c r="D163" s="162"/>
      <c r="E163" s="17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9" t="s">
        <v>244</v>
      </c>
      <c r="B176" s="160"/>
      <c r="C176" s="160"/>
      <c r="D176" s="160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9" t="s">
        <v>247</v>
      </c>
      <c r="B189" s="160"/>
      <c r="C189" s="160"/>
      <c r="D189" s="160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1" t="s">
        <v>248</v>
      </c>
      <c r="B190" s="162"/>
      <c r="C190" s="162"/>
      <c r="D190" s="162"/>
      <c r="E190" s="17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9" t="s">
        <v>244</v>
      </c>
      <c r="B203" s="160"/>
      <c r="C203" s="160"/>
      <c r="D203" s="160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9" t="s">
        <v>247</v>
      </c>
      <c r="B216" s="160"/>
      <c r="C216" s="160"/>
      <c r="D216" s="160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1" t="s">
        <v>248</v>
      </c>
      <c r="B217" s="162"/>
      <c r="C217" s="162"/>
      <c r="D217" s="162"/>
      <c r="E217" s="173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3" t="s">
        <v>244</v>
      </c>
      <c r="B230" s="164"/>
      <c r="C230" s="164"/>
      <c r="D230" s="164"/>
      <c r="E230" s="17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9" t="s">
        <v>247</v>
      </c>
      <c r="B243" s="160"/>
      <c r="C243" s="160"/>
      <c r="D243" s="160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1" t="s">
        <v>248</v>
      </c>
      <c r="B244" s="162"/>
      <c r="C244" s="162"/>
      <c r="D244" s="162"/>
      <c r="E244" s="173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9" t="s">
        <v>244</v>
      </c>
      <c r="B257" s="160"/>
      <c r="C257" s="160"/>
      <c r="D257" s="160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9" t="s">
        <v>247</v>
      </c>
      <c r="B270" s="160"/>
      <c r="C270" s="160"/>
      <c r="D270" s="160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1" t="s">
        <v>248</v>
      </c>
      <c r="B271" s="162"/>
      <c r="C271" s="162"/>
      <c r="D271" s="162"/>
      <c r="E271" s="173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9" t="s">
        <v>244</v>
      </c>
      <c r="B284" s="160"/>
      <c r="C284" s="160"/>
      <c r="D284" s="160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9" t="s">
        <v>247</v>
      </c>
      <c r="B297" s="160"/>
      <c r="C297" s="160"/>
      <c r="D297" s="160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1" t="s">
        <v>248</v>
      </c>
      <c r="B298" s="162"/>
      <c r="C298" s="162"/>
      <c r="D298" s="162"/>
      <c r="E298" s="173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9" t="s">
        <v>244</v>
      </c>
      <c r="B311" s="160"/>
      <c r="C311" s="160"/>
      <c r="D311" s="160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9" t="s">
        <v>247</v>
      </c>
      <c r="B324" s="160"/>
      <c r="C324" s="160"/>
      <c r="D324" s="160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1" t="s">
        <v>248</v>
      </c>
      <c r="B325" s="162"/>
      <c r="C325" s="162"/>
      <c r="D325" s="162"/>
      <c r="E325" s="173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9" t="s">
        <v>244</v>
      </c>
      <c r="B338" s="160"/>
      <c r="C338" s="160"/>
      <c r="D338" s="160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9" t="s">
        <v>247</v>
      </c>
      <c r="B351" s="160"/>
      <c r="C351" s="160"/>
      <c r="D351" s="160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1" t="s">
        <v>248</v>
      </c>
      <c r="B352" s="162"/>
      <c r="C352" s="162"/>
      <c r="D352" s="162"/>
      <c r="E352" s="173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9" t="s">
        <v>244</v>
      </c>
      <c r="B365" s="160"/>
      <c r="C365" s="160"/>
      <c r="D365" s="160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9" t="s">
        <v>247</v>
      </c>
      <c r="B378" s="160"/>
      <c r="C378" s="160"/>
      <c r="D378" s="160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1" t="s">
        <v>248</v>
      </c>
      <c r="B379" s="162"/>
      <c r="C379" s="162"/>
      <c r="D379" s="162"/>
      <c r="E379" s="173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9" t="s">
        <v>244</v>
      </c>
      <c r="B392" s="160"/>
      <c r="C392" s="160"/>
      <c r="D392" s="160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9" t="s">
        <v>247</v>
      </c>
      <c r="B405" s="160"/>
      <c r="C405" s="160"/>
      <c r="D405" s="160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1" t="s">
        <v>248</v>
      </c>
      <c r="B406" s="162"/>
      <c r="C406" s="162"/>
      <c r="D406" s="162"/>
      <c r="E406" s="173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9" t="s">
        <v>244</v>
      </c>
      <c r="B419" s="160"/>
      <c r="C419" s="160"/>
      <c r="D419" s="160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9" t="s">
        <v>247</v>
      </c>
      <c r="B432" s="160"/>
      <c r="C432" s="160"/>
      <c r="D432" s="160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>
        <v>2266710</v>
      </c>
    </row>
    <row r="433" spans="1:15" ht="18" customHeight="1">
      <c r="A433" s="161" t="s">
        <v>248</v>
      </c>
      <c r="B433" s="162"/>
      <c r="C433" s="162"/>
      <c r="D433" s="162"/>
      <c r="E433" s="173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243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164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243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243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243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243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243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243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243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243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243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243</v>
      </c>
      <c r="F444" s="27"/>
      <c r="G444" s="28" t="str">
        <f t="shared" si="91"/>
        <v/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243</v>
      </c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9" t="s">
        <v>244</v>
      </c>
      <c r="B446" s="160"/>
      <c r="C446" s="160"/>
      <c r="D446" s="160"/>
      <c r="E446" s="172">
        <f>SUM(E434:E445)</f>
        <v>0</v>
      </c>
      <c r="F446" s="36">
        <f>SUM(F434:F445)</f>
        <v>128</v>
      </c>
      <c r="G446" s="81">
        <f>SUM(G434:G445)</f>
        <v>640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9" t="s">
        <v>247</v>
      </c>
      <c r="B459" s="160"/>
      <c r="C459" s="160"/>
      <c r="D459" s="160"/>
      <c r="E459" s="17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1" t="s">
        <v>248</v>
      </c>
      <c r="B460" s="162"/>
      <c r="C460" s="162"/>
      <c r="D460" s="162"/>
      <c r="E460" s="173">
        <f>E446+E459</f>
        <v>0</v>
      </c>
      <c r="F460" s="40">
        <f>F446+F459</f>
        <v>128</v>
      </c>
      <c r="G460" s="40">
        <f>G446+G459</f>
        <v>640</v>
      </c>
      <c r="H460" s="41"/>
      <c r="I460" s="41"/>
      <c r="J460" s="41"/>
      <c r="K460" s="41"/>
      <c r="L460" s="41"/>
      <c r="M460" s="42">
        <f ca="1">IFERROR(M446+M459,"")</f>
        <v>0.12847222222222232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9" t="s">
        <v>244</v>
      </c>
      <c r="B473" s="160"/>
      <c r="C473" s="160"/>
      <c r="D473" s="160"/>
      <c r="E473" s="17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9" t="s">
        <v>247</v>
      </c>
      <c r="B486" s="160"/>
      <c r="C486" s="160"/>
      <c r="D486" s="160"/>
      <c r="E486" s="17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1" t="s">
        <v>248</v>
      </c>
      <c r="B487" s="162"/>
      <c r="C487" s="162"/>
      <c r="D487" s="162"/>
      <c r="E487" s="17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9" t="s">
        <v>244</v>
      </c>
      <c r="B500" s="160"/>
      <c r="C500" s="160"/>
      <c r="D500" s="160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9" t="s">
        <v>247</v>
      </c>
      <c r="B513" s="160"/>
      <c r="C513" s="160"/>
      <c r="D513" s="160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1" t="s">
        <v>248</v>
      </c>
      <c r="B514" s="162"/>
      <c r="C514" s="162"/>
      <c r="D514" s="162"/>
      <c r="E514" s="17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9" t="s">
        <v>244</v>
      </c>
      <c r="B527" s="160"/>
      <c r="C527" s="160"/>
      <c r="D527" s="160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9" t="s">
        <v>247</v>
      </c>
      <c r="B540" s="160"/>
      <c r="C540" s="160"/>
      <c r="D540" s="160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1" t="s">
        <v>248</v>
      </c>
      <c r="B541" s="162"/>
      <c r="C541" s="162"/>
      <c r="D541" s="162"/>
      <c r="E541" s="17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9" t="s">
        <v>244</v>
      </c>
      <c r="B554" s="160"/>
      <c r="C554" s="160"/>
      <c r="D554" s="160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9" t="s">
        <v>247</v>
      </c>
      <c r="B567" s="160"/>
      <c r="C567" s="160"/>
      <c r="D567" s="160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1" t="s">
        <v>248</v>
      </c>
      <c r="B568" s="162"/>
      <c r="C568" s="162"/>
      <c r="D568" s="162"/>
      <c r="E568" s="17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9" t="s">
        <v>244</v>
      </c>
      <c r="B581" s="160"/>
      <c r="C581" s="160"/>
      <c r="D581" s="160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9" t="s">
        <v>247</v>
      </c>
      <c r="B594" s="160"/>
      <c r="C594" s="160"/>
      <c r="D594" s="160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1" t="s">
        <v>248</v>
      </c>
      <c r="B595" s="162"/>
      <c r="C595" s="162"/>
      <c r="D595" s="162"/>
      <c r="E595" s="17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9" t="s">
        <v>244</v>
      </c>
      <c r="B608" s="160"/>
      <c r="C608" s="160"/>
      <c r="D608" s="160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9" t="s">
        <v>247</v>
      </c>
      <c r="B621" s="160"/>
      <c r="C621" s="160"/>
      <c r="D621" s="160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1" t="s">
        <v>248</v>
      </c>
      <c r="B622" s="162"/>
      <c r="C622" s="162"/>
      <c r="D622" s="162"/>
      <c r="E622" s="17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9" t="s">
        <v>244</v>
      </c>
      <c r="B635" s="160"/>
      <c r="C635" s="160"/>
      <c r="D635" s="160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9" t="s">
        <v>247</v>
      </c>
      <c r="B648" s="160"/>
      <c r="C648" s="160"/>
      <c r="D648" s="160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1" t="s">
        <v>248</v>
      </c>
      <c r="B649" s="162"/>
      <c r="C649" s="162"/>
      <c r="D649" s="162"/>
      <c r="E649" s="17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9" t="s">
        <v>244</v>
      </c>
      <c r="B662" s="160"/>
      <c r="C662" s="160"/>
      <c r="D662" s="160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9" t="s">
        <v>247</v>
      </c>
      <c r="B675" s="160"/>
      <c r="C675" s="160"/>
      <c r="D675" s="160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1" t="s">
        <v>248</v>
      </c>
      <c r="B676" s="162"/>
      <c r="C676" s="162"/>
      <c r="D676" s="162"/>
      <c r="E676" s="17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9" t="s">
        <v>244</v>
      </c>
      <c r="B689" s="160"/>
      <c r="C689" s="160"/>
      <c r="D689" s="160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9" t="s">
        <v>247</v>
      </c>
      <c r="B702" s="160"/>
      <c r="C702" s="160"/>
      <c r="D702" s="160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1" t="s">
        <v>248</v>
      </c>
      <c r="B703" s="162"/>
      <c r="C703" s="162"/>
      <c r="D703" s="162"/>
      <c r="E703" s="17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9" t="s">
        <v>244</v>
      </c>
      <c r="B716" s="160"/>
      <c r="C716" s="160"/>
      <c r="D716" s="160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9" t="s">
        <v>247</v>
      </c>
      <c r="B729" s="160"/>
      <c r="C729" s="160"/>
      <c r="D729" s="160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1" t="s">
        <v>248</v>
      </c>
      <c r="B730" s="162"/>
      <c r="C730" s="162"/>
      <c r="D730" s="162"/>
      <c r="E730" s="17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9" t="s">
        <v>244</v>
      </c>
      <c r="B743" s="160"/>
      <c r="C743" s="160"/>
      <c r="D743" s="160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9" t="s">
        <v>247</v>
      </c>
      <c r="B756" s="160"/>
      <c r="C756" s="160"/>
      <c r="D756" s="160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1" t="s">
        <v>248</v>
      </c>
      <c r="B757" s="162"/>
      <c r="C757" s="162"/>
      <c r="D757" s="162"/>
      <c r="E757" s="17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9" t="s">
        <v>244</v>
      </c>
      <c r="B770" s="160"/>
      <c r="C770" s="160"/>
      <c r="D770" s="160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9" t="s">
        <v>247</v>
      </c>
      <c r="B783" s="160"/>
      <c r="C783" s="160"/>
      <c r="D783" s="160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1" t="s">
        <v>248</v>
      </c>
      <c r="B784" s="162"/>
      <c r="C784" s="162"/>
      <c r="D784" s="162"/>
      <c r="E784" s="17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9" t="s">
        <v>244</v>
      </c>
      <c r="B797" s="160"/>
      <c r="C797" s="160"/>
      <c r="D797" s="160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9" t="s">
        <v>247</v>
      </c>
      <c r="B810" s="160"/>
      <c r="C810" s="160"/>
      <c r="D810" s="160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5" t="s">
        <v>248</v>
      </c>
      <c r="B811" s="176"/>
      <c r="C811" s="176"/>
      <c r="D811" s="176"/>
      <c r="E811" s="17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9" t="s">
        <v>244</v>
      </c>
      <c r="B824" s="160"/>
      <c r="C824" s="160"/>
      <c r="D824" s="160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9" t="s">
        <v>247</v>
      </c>
      <c r="B837" s="160"/>
      <c r="C837" s="160"/>
      <c r="D837" s="160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1" t="s">
        <v>248</v>
      </c>
      <c r="B838" s="162"/>
      <c r="C838" s="162"/>
      <c r="D838" s="162"/>
      <c r="E838" s="17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454:E838 E29:E229 E231:E310 E312:E381 E383:E452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11" activePane="bottomLeft" state="frozen"/>
      <selection pane="bottomLeft" activeCell="P437" sqref="P437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9" t="s">
        <v>244</v>
      </c>
      <c r="B14" s="160"/>
      <c r="C14" s="160"/>
      <c r="D14" s="160"/>
      <c r="E14" s="160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9" t="s">
        <v>247</v>
      </c>
      <c r="B27" s="160"/>
      <c r="C27" s="160"/>
      <c r="D27" s="160"/>
      <c r="E27" s="160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1" t="s">
        <v>248</v>
      </c>
      <c r="B28" s="162"/>
      <c r="C28" s="162"/>
      <c r="D28" s="162"/>
      <c r="E28" s="162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9" t="s">
        <v>244</v>
      </c>
      <c r="B41" s="160"/>
      <c r="C41" s="160"/>
      <c r="D41" s="160"/>
      <c r="E41" s="160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0.61738159722153796</v>
      </c>
      <c r="R53" s="46" t="s">
        <v>281</v>
      </c>
      <c r="S53" s="31"/>
    </row>
    <row r="54" spans="1:20" ht="15.75" customHeight="1" thickBot="1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0.7562704861104268</v>
      </c>
      <c r="R54" s="36" t="s">
        <v>245</v>
      </c>
      <c r="S54" s="75">
        <v>352430</v>
      </c>
      <c r="T54" s="117"/>
    </row>
    <row r="55" spans="1:20" ht="18" customHeight="1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0.84099270833264916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283</v>
      </c>
      <c r="Q96" s="30" t="str">
        <f t="shared" ref="Q96:Q107" ca="1" si="22">IFERROR(IF(O96="","",IF(P96="",MOD(NOW()-O96,1),IF(P96&gt;=O96,P96-O96,P96+1-O96))),"")</f>
        <v/>
      </c>
      <c r="R96" s="46" t="s">
        <v>284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9" t="s">
        <v>244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3" t="s">
        <v>244</v>
      </c>
      <c r="B230" s="164"/>
      <c r="C230" s="164"/>
      <c r="D230" s="164"/>
      <c r="E230" s="164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9" t="s">
        <v>244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1" t="s">
        <v>248</v>
      </c>
      <c r="B298" s="162"/>
      <c r="C298" s="162"/>
      <c r="D298" s="162"/>
      <c r="E298" s="162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9" t="s">
        <v>244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9" t="s">
        <v>244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307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6"/>
        <v>0</v>
      </c>
      <c r="K435" s="28">
        <f t="shared" si="107"/>
        <v>8.4</v>
      </c>
      <c r="L435" s="33" t="s">
        <v>27</v>
      </c>
      <c r="M435" s="33" t="s">
        <v>145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6"/>
        <v>0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6"/>
        <v>0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/>
      <c r="Q437" s="35">
        <f t="shared" ca="1" si="108"/>
        <v>1.2520486110588536E-2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6"/>
        <v>0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6"/>
        <v>0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308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0</v>
      </c>
      <c r="I440" s="135">
        <f>IFERROR(IF($D440="","",VLOOKUP($D440,Cadastro!$C$4:$G$7,5,FALSE)),"")</f>
        <v>0.6</v>
      </c>
      <c r="J440" s="136">
        <f t="shared" si="106"/>
        <v>0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0</v>
      </c>
      <c r="I441" s="135">
        <f>IFERROR(IF($D441="","",VLOOKUP($D441,Cadastro!$C$4:$G$7,5,FALSE)),"")</f>
        <v>0.6</v>
      </c>
      <c r="J441" s="136">
        <f t="shared" si="106"/>
        <v>0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0</v>
      </c>
      <c r="I442" s="135">
        <f>IFERROR(IF($D442="","",VLOOKUP($D442,Cadastro!$C$4:$G$7,5,FALSE)),"")</f>
        <v>0.6</v>
      </c>
      <c r="J442" s="136">
        <f t="shared" si="106"/>
        <v>0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0</v>
      </c>
      <c r="I443" s="135">
        <f>IFERROR(IF($D443="","",VLOOKUP($D443,Cadastro!$C$4:$G$7,5,FALSE)),"")</f>
        <v>0.6</v>
      </c>
      <c r="J443" s="136">
        <f t="shared" si="106"/>
        <v>0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>IF(G445="","",IF(#REF!="PC 17",G445*4.2,IF(#REF!="PC 19",G445*5,IF(#REF!="CB",G445*24,""))))</f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95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399.00000000000006</v>
      </c>
      <c r="L446" s="37"/>
      <c r="M446" s="37"/>
      <c r="N446" s="37"/>
      <c r="O446" s="37"/>
      <c r="P446" s="37"/>
      <c r="Q446" s="38">
        <f ca="1">IFERROR(SUM(Q434:Q445),"")</f>
        <v>6.1826041666144138E-2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95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399.00000000000006</v>
      </c>
      <c r="L460" s="41"/>
      <c r="M460" s="41"/>
      <c r="N460" s="41"/>
      <c r="O460" s="41"/>
      <c r="P460" s="41"/>
      <c r="Q460" s="42">
        <f ca="1">IFERROR(Q446+Q459,"")</f>
        <v>6.1826041666144138E-2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D2:D439 D441:D838 D440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404" activePane="bottomLeft" state="frozen"/>
      <selection pane="bottomLeft" activeCell="P436" sqref="P43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9" t="s">
        <v>244</v>
      </c>
      <c r="B14" s="160"/>
      <c r="C14" s="160"/>
      <c r="D14" s="160"/>
      <c r="E14" s="160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309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310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9" t="s">
        <v>247</v>
      </c>
      <c r="B27" s="160"/>
      <c r="C27" s="160"/>
      <c r="D27" s="160"/>
      <c r="E27" s="160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1" t="s">
        <v>248</v>
      </c>
      <c r="B28" s="162"/>
      <c r="C28" s="162"/>
      <c r="D28" s="162"/>
      <c r="E28" s="162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9" t="s">
        <v>244</v>
      </c>
      <c r="B41" s="160"/>
      <c r="C41" s="160"/>
      <c r="D41" s="160"/>
      <c r="E41" s="160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309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309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311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312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313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314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316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317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9" t="s">
        <v>244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318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319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320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321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322</v>
      </c>
      <c r="Q222" s="30" t="str">
        <f t="shared" ca="1" si="49"/>
        <v/>
      </c>
      <c r="R222" s="27" t="s">
        <v>323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9" t="s">
        <v>244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324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9" t="s">
        <v>244</v>
      </c>
      <c r="B257" s="160"/>
      <c r="C257" s="160"/>
      <c r="D257" s="160"/>
      <c r="E257" s="160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1" t="s">
        <v>248</v>
      </c>
      <c r="B298" s="162"/>
      <c r="C298" s="162"/>
      <c r="D298" s="162"/>
      <c r="E298" s="162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325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9" t="s">
        <v>244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9" t="s">
        <v>244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326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327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328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9" t="s">
        <v>247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245</v>
      </c>
      <c r="S432" s="39">
        <v>180150</v>
      </c>
      <c r="T432" s="119">
        <f>IFERROR(J432,"")</f>
        <v>25.941599999999998</v>
      </c>
    </row>
    <row r="433" spans="1:20" ht="18" customHeight="1">
      <c r="A433" s="161" t="s">
        <v>248</v>
      </c>
      <c r="B433" s="162"/>
      <c r="C433" s="162"/>
      <c r="D433" s="162"/>
      <c r="E433" s="162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249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0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329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4"/>
        <v>0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4"/>
        <v>0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/>
      <c r="Q436" s="30">
        <f t="shared" ca="1" si="106"/>
        <v>6.9649305587518029E-3</v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4"/>
        <v>0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4"/>
        <v>0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0</v>
      </c>
      <c r="I440" s="135">
        <f>IFERROR(IF($D440="","",VLOOKUP($D440,Cadastro!$C$4:$G$7,5,FALSE)),"")</f>
        <v>0.6</v>
      </c>
      <c r="J440" s="136">
        <f t="shared" si="104"/>
        <v>0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0</v>
      </c>
      <c r="I441" s="135">
        <f>IFERROR(IF($D441="","",VLOOKUP($D441,Cadastro!$C$4:$G$7,5,FALSE)),"")</f>
        <v>0.6</v>
      </c>
      <c r="J441" s="136">
        <f t="shared" si="104"/>
        <v>0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0</v>
      </c>
      <c r="I442" s="135">
        <f>IFERROR(IF($D442="","",VLOOKUP($D442,Cadastro!$C$4:$G$7,5,FALSE)),"")</f>
        <v>0.6</v>
      </c>
      <c r="J442" s="136">
        <f t="shared" si="104"/>
        <v>0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0</v>
      </c>
      <c r="I443" s="135">
        <f>IFERROR(IF($D443="","",VLOOKUP($D443,Cadastro!$C$4:$G$7,5,FALSE)),"")</f>
        <v>0.6</v>
      </c>
      <c r="J443" s="136">
        <f t="shared" si="104"/>
        <v>0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77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323.40000000000003</v>
      </c>
      <c r="L446" s="37"/>
      <c r="M446" s="37"/>
      <c r="N446" s="37"/>
      <c r="O446" s="37"/>
      <c r="P446" s="37"/>
      <c r="Q446" s="38">
        <f ca="1">IFERROR(SUM(Q434:Q445),"")</f>
        <v>3.4048263892085096E-2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77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323.40000000000003</v>
      </c>
      <c r="L460" s="41"/>
      <c r="M460" s="41"/>
      <c r="N460" s="41"/>
      <c r="O460" s="41"/>
      <c r="P460" s="41"/>
      <c r="Q460" s="42">
        <f ca="1">IFERROR(Q446+Q459,"")</f>
        <v>3.4048263892085096E-2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9" t="s">
        <v>247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1" t="s">
        <v>248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13" activePane="bottomLeft" state="frozen"/>
      <selection pane="bottomLeft" activeCell="L436" sqref="L436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9" t="s">
        <v>244</v>
      </c>
      <c r="B14" s="160"/>
      <c r="C14" s="160"/>
      <c r="D14" s="160"/>
      <c r="E14" s="160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309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9" t="s">
        <v>247</v>
      </c>
      <c r="B27" s="160"/>
      <c r="C27" s="160"/>
      <c r="D27" s="160"/>
      <c r="E27" s="160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1" t="s">
        <v>248</v>
      </c>
      <c r="B28" s="162"/>
      <c r="C28" s="162"/>
      <c r="D28" s="162"/>
      <c r="E28" s="162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9" t="s">
        <v>244</v>
      </c>
      <c r="B41" s="160"/>
      <c r="C41" s="160"/>
      <c r="D41" s="160"/>
      <c r="E41" s="160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309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309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309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9" t="s">
        <v>244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9" t="s">
        <v>244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1" t="s">
        <v>248</v>
      </c>
      <c r="B298" s="162"/>
      <c r="C298" s="162"/>
      <c r="D298" s="162"/>
      <c r="E298" s="162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9" t="s">
        <v>244</v>
      </c>
      <c r="B338" s="160"/>
      <c r="C338" s="160"/>
      <c r="D338" s="160"/>
      <c r="E338" s="160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9" t="s">
        <v>247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245</v>
      </c>
      <c r="S432" s="39">
        <v>766030</v>
      </c>
      <c r="T432" s="119">
        <f>IFERROR(J432,"")</f>
        <v>110.30832000000001</v>
      </c>
    </row>
    <row r="433" spans="1:21" ht="18" customHeight="1">
      <c r="A433" s="161" t="s">
        <v>248</v>
      </c>
      <c r="B433" s="162"/>
      <c r="C433" s="162"/>
      <c r="D433" s="162"/>
      <c r="E433" s="162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249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259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170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6"/>
        <v>0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164</v>
      </c>
      <c r="O435" s="29">
        <v>0.67986111111111114</v>
      </c>
      <c r="P435" s="29"/>
      <c r="Q435" s="35">
        <f t="shared" ca="1" si="108"/>
        <v>5.9048263894510455E-2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6"/>
        <v>0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6"/>
        <v>0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6"/>
        <v>0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6"/>
        <v>0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0</v>
      </c>
      <c r="I440" s="135">
        <f>IFERROR(IF($D440="","",VLOOKUP($D440,Cadastro!$C$4:$G$7,5,FALSE)),"")</f>
        <v>0.6</v>
      </c>
      <c r="J440" s="136">
        <f t="shared" si="106"/>
        <v>0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0</v>
      </c>
      <c r="I441" s="135">
        <f>IFERROR(IF($D441="","",VLOOKUP($D441,Cadastro!$C$4:$G$7,5,FALSE)),"")</f>
        <v>0.6</v>
      </c>
      <c r="J441" s="136">
        <f t="shared" si="106"/>
        <v>0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0</v>
      </c>
      <c r="I442" s="135">
        <f>IFERROR(IF($D442="","",VLOOKUP($D442,Cadastro!$C$4:$G$7,5,FALSE)),"")</f>
        <v>0.6</v>
      </c>
      <c r="J442" s="136">
        <f t="shared" si="106"/>
        <v>0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0</v>
      </c>
      <c r="I443" s="135">
        <f>IFERROR(IF($D443="","",VLOOKUP($D443,Cadastro!$C$4:$G$7,5,FALSE)),"")</f>
        <v>0.6</v>
      </c>
      <c r="J443" s="136">
        <f t="shared" si="106"/>
        <v>0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169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709.80000000000007</v>
      </c>
      <c r="L446" s="37"/>
      <c r="M446" s="37"/>
      <c r="N446" s="37"/>
      <c r="O446" s="61"/>
      <c r="P446" s="61"/>
      <c r="Q446" s="38">
        <f ca="1">IFERROR(SUM(Q434:Q445),"")</f>
        <v>7.2242708338954964E-2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169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709.80000000000007</v>
      </c>
      <c r="L460" s="41"/>
      <c r="M460" s="41"/>
      <c r="N460" s="41"/>
      <c r="O460" s="63"/>
      <c r="P460" s="63"/>
      <c r="Q460" s="42">
        <f ca="1">IFERROR(Q446+Q459,"")</f>
        <v>7.2242708338954964E-2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9" t="s">
        <v>247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1" t="s">
        <v>248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2026-08-17T21:44:45Z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