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23" documentId="8_{AF585B22-221D-4780-BB9C-493D365A6A02}" xr6:coauthVersionLast="47" xr6:coauthVersionMax="47" xr10:uidLastSave="{A997F55A-0C8A-43AA-9764-E6405F884430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<sst xmlns="http://schemas.openxmlformats.org/spreadsheetml/2006/main" count="10324" uniqueCount="394">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</sst>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G683" sqref="G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N679" sqref="N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0.13265243055502651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0.2902913194439154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0.40001354166613756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0.11112465277983574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0.28195798611316913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0.42709687500205801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0.64098576389369555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0.77362465278258452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0.88543020833814023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18</v>
      </c>
      <c r="G689" s="36">
        <f>SUM(G677:G688)</f>
        <v>75.600000000000009</v>
      </c>
      <c r="H689" s="37"/>
      <c r="I689" s="37"/>
      <c r="J689" s="37"/>
      <c r="K689" s="37"/>
      <c r="L689" s="37"/>
      <c r="M689" s="38">
        <f ca="1">IFERROR(SUM(M677:M688),"")</f>
        <v>4.6527777777777779E-2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</v>
      </c>
      <c r="G703" s="40">
        <f>G689+G702</f>
        <v>75.600000000000009</v>
      </c>
      <c r="H703" s="41"/>
      <c r="I703" s="41"/>
      <c r="J703" s="41"/>
      <c r="K703" s="41"/>
      <c r="L703" s="41"/>
      <c r="M703" s="42">
        <f ca="1">IFERROR(M689+M702,"")</f>
        <v>4.6527777777777779E-2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55" zoomScale="50" zoomScaleNormal="50" workbookViewId="0">
      <selection activeCell="J677" sqref="J6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324</v>
      </c>
      <c r="N166" s="27" t="s">
        <v>325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/>
      <c r="M677" s="35">
        <f t="shared" ref="M677:M688" ca="1" si="151">IFERROR(IF(K677="","",IF(L677="",MOD(NOW()-K677,1),IF(L677&gt;=K677,L677-K677,L677+1-K677))),"")</f>
        <v>7.0798610977362841E-4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14</v>
      </c>
      <c r="G689" s="36">
        <f>SUM(G677:G688)</f>
        <v>58.800000000000004</v>
      </c>
      <c r="H689" s="37"/>
      <c r="I689" s="37"/>
      <c r="J689" s="37"/>
      <c r="K689" s="37"/>
      <c r="L689" s="37"/>
      <c r="M689" s="38">
        <f ca="1">IFERROR(SUM(M677:M688),"")</f>
        <v>7.0798610977362841E-4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</v>
      </c>
      <c r="G703" s="40">
        <f>G689+G702</f>
        <v>58.800000000000004</v>
      </c>
      <c r="H703" s="41"/>
      <c r="I703" s="41"/>
      <c r="J703" s="41"/>
      <c r="K703" s="41"/>
      <c r="L703" s="41"/>
      <c r="M703" s="42">
        <f ca="1">IFERROR(M689+M702,"")</f>
        <v>7.0798610977362841E-4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78" sqref="F6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0.12293020833749324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0.32223576389304887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0.68959687500415989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</v>
      </c>
      <c r="G689" s="36">
        <f>SUM(G677:G688)</f>
        <v>92.4</v>
      </c>
      <c r="H689" s="37"/>
      <c r="I689" s="37"/>
      <c r="J689" s="37"/>
      <c r="K689" s="61"/>
      <c r="L689" s="61"/>
      <c r="M689" s="38">
        <f ca="1">IFERROR(SUM(M677:M688),"")</f>
        <v>2.0833333333333259E-3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</v>
      </c>
      <c r="G703" s="40">
        <f>G689+G702</f>
        <v>92.4</v>
      </c>
      <c r="H703" s="41"/>
      <c r="I703" s="41"/>
      <c r="J703" s="41"/>
      <c r="K703" s="63"/>
      <c r="L703" s="63"/>
      <c r="M703" s="42">
        <f ca="1">IFERROR(M689+M702,"")</f>
        <v>2.0833333333333259E-3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2026-07-26T12:56:16Z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