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2105" documentId="13_ncr:1_{0A10D8D4-8450-4366-8075-B53B08E6B7EA}" xr6:coauthVersionLast="47" xr6:coauthVersionMax="47" xr10:uidLastSave="{864F3161-F1A9-4EBF-8386-CCFA521827E4}"/>
  <bookViews>
    <workbookView xWindow="-28920" yWindow="-60" windowWidth="29040" windowHeight="1572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03" i="6" l="1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<sst xmlns="http://schemas.openxmlformats.org/spreadsheetml/2006/main" count="7098" uniqueCount="354">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</sst>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3" sqref="F23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56392520</v>
      </c>
      <c r="D35" s="13">
        <f t="shared" si="2"/>
        <v>18248020</v>
      </c>
      <c r="E35" s="13">
        <f t="shared" si="2"/>
        <v>9434670</v>
      </c>
      <c r="F35" s="13">
        <f t="shared" si="2"/>
        <v>23508930</v>
      </c>
      <c r="G35" s="13">
        <f t="shared" si="2"/>
        <v>51191620</v>
      </c>
      <c r="H35" s="97">
        <f t="shared" si="2"/>
        <v>3210.2952927907322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>
      <selection activeCell="P76" sqref="P7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92" activePane="bottomLeft" state="frozen"/>
      <selection pane="bottomLeft" activeCell="F408" sqref="F40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40</v>
      </c>
      <c r="G419" s="36">
        <f>SUM(G407:G418)</f>
        <v>200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40</v>
      </c>
      <c r="G433" s="40">
        <f>G419+G432</f>
        <v>200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0.21238726851879619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0.35127615740768509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0.4359983796299074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2" activePane="bottomLeft" state="frozen"/>
      <selection pane="bottomLeft" activeCell="G407" sqref="G40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0.70613726852025138</v>
      </c>
      <c r="R385" s="27" t="s">
        <v>352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0.7707206018535846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0.83044282407580683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29</v>
      </c>
      <c r="E407" s="109" t="s">
        <v>259</v>
      </c>
      <c r="F407" s="140">
        <f>IFERROR(IF($D407="","",VLOOKUP($D407,Cadastro!$C$4:$E$7,3,FALSE)),"")</f>
        <v>0.35</v>
      </c>
      <c r="G407" s="105"/>
      <c r="H407" s="140" t="str">
        <f>IFERROR(IF($G407="","",$G407*$S$419/$G$419/Cadastro!$E$33),"")</f>
        <v/>
      </c>
      <c r="I407" s="141">
        <f>IFERROR(IF($D407="","",VLOOKUP($D407,Cadastro!$C$4:$G$7,5,FALSE)),"")</f>
        <v>0.6</v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 t="s">
        <v>25</v>
      </c>
      <c r="M407" s="33"/>
      <c r="N407" s="33" t="s">
        <v>232</v>
      </c>
      <c r="O407" s="29">
        <v>0.32777777777777778</v>
      </c>
      <c r="P407" s="29"/>
      <c r="Q407" s="35">
        <f t="shared" ref="Q407:Q418" ca="1" si="100">IFERROR(IF(O407="","",IF(P407="",MOD(NOW()-O407,1),IF(P407&gt;=O407,P407-O407,P407+1-O407))),"")</f>
        <v>6.1372685231617652E-3</v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29</v>
      </c>
      <c r="E408" s="109" t="s">
        <v>259</v>
      </c>
      <c r="F408" s="134">
        <f>IFERROR(IF($D408="","",VLOOKUP($D408,Cadastro!$C$4:$E$7,3,FALSE)),"")</f>
        <v>0.35</v>
      </c>
      <c r="G408" s="105"/>
      <c r="H408" s="134" t="str">
        <f>IFERROR(IF($G408="","",$G408*$S$419/$G$419/Cadastro!$E$33),"")</f>
        <v/>
      </c>
      <c r="I408" s="135">
        <f>IFERROR(IF($D408="","",VLOOKUP($D408,Cadastro!$C$4:$G$7,5,FALSE)),"")</f>
        <v>0.6</v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29</v>
      </c>
      <c r="E409" s="109" t="s">
        <v>259</v>
      </c>
      <c r="F409" s="134">
        <f>IFERROR(IF($D409="","",VLOOKUP($D409,Cadastro!$C$4:$E$7,3,FALSE)),"")</f>
        <v>0.35</v>
      </c>
      <c r="G409" s="105"/>
      <c r="H409" s="134" t="str">
        <f>IFERROR(IF($G409="","",$G409*$S$419/$G$419/Cadastro!$E$33),"")</f>
        <v/>
      </c>
      <c r="I409" s="135">
        <f>IFERROR(IF($D409="","",VLOOKUP($D409,Cadastro!$C$4:$G$7,5,FALSE)),"")</f>
        <v>0.6</v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29</v>
      </c>
      <c r="E410" s="109" t="s">
        <v>259</v>
      </c>
      <c r="F410" s="134">
        <f>IFERROR(IF($D410="","",VLOOKUP($D410,Cadastro!$C$4:$E$7,3,FALSE)),"")</f>
        <v>0.35</v>
      </c>
      <c r="G410" s="105"/>
      <c r="H410" s="134" t="str">
        <f>IFERROR(IF($G410="","",$G410*$S$419/$G$419/Cadastro!$E$33),"")</f>
        <v/>
      </c>
      <c r="I410" s="135">
        <f>IFERROR(IF($D410="","",VLOOKUP($D410,Cadastro!$C$4:$G$7,5,FALSE)),"")</f>
        <v>0.6</v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29</v>
      </c>
      <c r="E411" s="109" t="s">
        <v>259</v>
      </c>
      <c r="F411" s="134">
        <f>IFERROR(IF($D411="","",VLOOKUP($D411,Cadastro!$C$4:$E$7,3,FALSE)),"")</f>
        <v>0.35</v>
      </c>
      <c r="G411" s="105"/>
      <c r="H411" s="134" t="str">
        <f>IFERROR(IF($G411="","",$G411*$S$419/$G$419/Cadastro!$E$33),"")</f>
        <v/>
      </c>
      <c r="I411" s="135">
        <f>IFERROR(IF($D411="","",VLOOKUP($D411,Cadastro!$C$4:$G$7,5,FALSE)),"")</f>
        <v>0.6</v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29</v>
      </c>
      <c r="E412" s="109" t="s">
        <v>259</v>
      </c>
      <c r="F412" s="134">
        <f>IFERROR(IF($D412="","",VLOOKUP($D412,Cadastro!$C$4:$E$7,3,FALSE)),"")</f>
        <v>0.35</v>
      </c>
      <c r="G412" s="105"/>
      <c r="H412" s="134" t="str">
        <f>IFERROR(IF($G412="","",$G412*$S$419/$G$419/Cadastro!$E$33),"")</f>
        <v/>
      </c>
      <c r="I412" s="135">
        <f>IFERROR(IF($D412="","",VLOOKUP($D412,Cadastro!$C$4:$G$7,5,FALSE)),"")</f>
        <v>0.6</v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29</v>
      </c>
      <c r="E413" s="109" t="s">
        <v>259</v>
      </c>
      <c r="F413" s="134">
        <f>IFERROR(IF($D413="","",VLOOKUP($D413,Cadastro!$C$4:$E$7,3,FALSE)),"")</f>
        <v>0.35</v>
      </c>
      <c r="G413" s="105"/>
      <c r="H413" s="134" t="str">
        <f>IFERROR(IF($G413="","",$G413*$S$419/$G$419/Cadastro!$E$33),"")</f>
        <v/>
      </c>
      <c r="I413" s="135">
        <f>IFERROR(IF($D413="","",VLOOKUP($D413,Cadastro!$C$4:$G$7,5,FALSE)),"")</f>
        <v>0.6</v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29</v>
      </c>
      <c r="E414" s="109" t="s">
        <v>259</v>
      </c>
      <c r="F414" s="134">
        <f>IFERROR(IF($D414="","",VLOOKUP($D414,Cadastro!$C$4:$E$7,3,FALSE)),"")</f>
        <v>0.35</v>
      </c>
      <c r="G414" s="105"/>
      <c r="H414" s="134" t="str">
        <f>IFERROR(IF($G414="","",$G414*$S$419/$G$419/Cadastro!$E$33),"")</f>
        <v/>
      </c>
      <c r="I414" s="135">
        <f>IFERROR(IF($D414="","",VLOOKUP($D414,Cadastro!$C$4:$G$7,5,FALSE)),"")</f>
        <v>0.6</v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29</v>
      </c>
      <c r="E415" s="109" t="s">
        <v>259</v>
      </c>
      <c r="F415" s="134">
        <f>IFERROR(IF($D415="","",VLOOKUP($D415,Cadastro!$C$4:$E$7,3,FALSE)),"")</f>
        <v>0.35</v>
      </c>
      <c r="G415" s="105"/>
      <c r="H415" s="134" t="str">
        <f>IFERROR(IF($G415="","",$G415*$S$419/$G$419/Cadastro!$E$33),"")</f>
        <v/>
      </c>
      <c r="I415" s="135">
        <f>IFERROR(IF($D415="","",VLOOKUP($D415,Cadastro!$C$4:$G$7,5,FALSE)),"")</f>
        <v>0.6</v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29</v>
      </c>
      <c r="E416" s="109" t="s">
        <v>259</v>
      </c>
      <c r="F416" s="134">
        <f>IFERROR(IF($D416="","",VLOOKUP($D416,Cadastro!$C$4:$E$7,3,FALSE)),"")</f>
        <v>0.35</v>
      </c>
      <c r="G416" s="105"/>
      <c r="H416" s="134" t="str">
        <f>IFERROR(IF($G416="","",$G416*$S$419/$G$419/Cadastro!$E$33),"")</f>
        <v/>
      </c>
      <c r="I416" s="135">
        <f>IFERROR(IF($D416="","",VLOOKUP($D416,Cadastro!$C$4:$G$7,5,FALSE)),"")</f>
        <v>0.6</v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29</v>
      </c>
      <c r="E417" s="109" t="s">
        <v>259</v>
      </c>
      <c r="F417" s="134">
        <f>IFERROR(IF($D417="","",VLOOKUP($D417,Cadastro!$C$4:$E$7,3,FALSE)),"")</f>
        <v>0.35</v>
      </c>
      <c r="G417" s="105"/>
      <c r="H417" s="134" t="str">
        <f>IFERROR(IF($G417="","",$G417*$S$419/$G$419/Cadastro!$E$33),"")</f>
        <v/>
      </c>
      <c r="I417" s="135">
        <f>IFERROR(IF($D417="","",VLOOKUP($D417,Cadastro!$C$4:$G$7,5,FALSE)),"")</f>
        <v>0.6</v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29</v>
      </c>
      <c r="E418" s="109" t="s">
        <v>259</v>
      </c>
      <c r="F418" s="137">
        <f>IFERROR(IF($D418="","",VLOOKUP($D418,Cadastro!$C$4:$E$7,3,FALSE)),"")</f>
        <v>0.35</v>
      </c>
      <c r="G418" s="105"/>
      <c r="H418" s="137" t="str">
        <f>IFERROR(IF($G418="","",$G418*$S$419/$G$419/Cadastro!$E$33),"")</f>
        <v/>
      </c>
      <c r="I418" s="138">
        <f>IFERROR(IF($D418="","",VLOOKUP($D418,Cadastro!$C$4:$G$7,5,FALSE)),"")</f>
        <v>0.6</v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6.1372685231617652E-3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6.1372685231617652E-3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2026-08-16T12:01:21Z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