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930" documentId="13_ncr:1_{A6DBCFB4-28D9-4249-9038-216934055CA6}" xr6:coauthVersionLast="47" xr6:coauthVersionMax="47" xr10:uidLastSave="{8F2244A4-AD32-457A-A890-7546CDE7C009}"/>
  <bookViews>
    <workbookView xWindow="-110" yWindow="-110" windowWidth="25820" windowHeight="15500" tabRatio="500" firstSheet="6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61" i="6" l="1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<sst xmlns="http://schemas.openxmlformats.org/spreadsheetml/2006/main" count="9571" uniqueCount="419">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</sst>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4" sqref="G24:G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75100940</v>
      </c>
      <c r="D35" s="30">
        <f t="shared" si="2"/>
        <v>24659450</v>
      </c>
      <c r="E35" s="30">
        <f t="shared" si="2"/>
        <v>13495620</v>
      </c>
      <c r="F35" s="30">
        <f t="shared" si="2"/>
        <v>32668850</v>
      </c>
      <c r="G35" s="30">
        <f t="shared" si="2"/>
        <v>70823920</v>
      </c>
      <c r="H35" s="31">
        <f t="shared" si="2"/>
        <v>6458.4576326915121</v>
      </c>
      <c r="I35" s="31">
        <f t="shared" si="2"/>
        <v>4967.05</v>
      </c>
      <c r="J35" s="32">
        <f>I35/H35</f>
        <v>0.76907681098002656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553" activePane="bottomLeft" state="frozen"/>
      <selection pane="bottomLeft" activeCell="E580" sqref="E580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300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262</v>
      </c>
      <c r="O567" s="74">
        <v>1031030</v>
      </c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265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260</v>
      </c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260</v>
      </c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260</v>
      </c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260</v>
      </c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260</v>
      </c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260</v>
      </c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260</v>
      </c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260</v>
      </c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260</v>
      </c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260</v>
      </c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260</v>
      </c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260</v>
      </c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47" activePane="bottomLeft" state="frozen"/>
      <selection pane="bottomLeft" activeCell="P556" sqref="P556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303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304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305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306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307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308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309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310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0.18170601851306856</v>
      </c>
      <c r="R53" s="80" t="s">
        <v>311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0.32059490740195629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0.4053171296241791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303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312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313</v>
      </c>
      <c r="Q96" s="66" t="str">
        <f t="shared" ref="Q96:Q107" ca="1" si="22">IFERROR(IF(O96="","",IF(P96="",MOD(NOW()-O96,1),IF(P96&gt;=O96,P96-O96,P96+1-O96))),"")</f>
        <v/>
      </c>
      <c r="R96" s="80" t="s">
        <v>314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315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316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317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318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319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320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321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322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319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323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324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317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312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325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326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327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328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329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330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331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332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324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319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312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333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334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335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336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337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338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339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340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341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342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319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343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344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345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262</v>
      </c>
      <c r="S567" s="74">
        <v>0</v>
      </c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48" activePane="bottomLeft" state="frozen"/>
      <selection pane="bottomLeft" activeCell="S568" sqref="S568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346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306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312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346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346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348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349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350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351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353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354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320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312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355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356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323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357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359</v>
      </c>
      <c r="Q222" s="66" t="str">
        <f t="shared" ca="1" si="49"/>
        <v/>
      </c>
      <c r="R222" s="63" t="s">
        <v>360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361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330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362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331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312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363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334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364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365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366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366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367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312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368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353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369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370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371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312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372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373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312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374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346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262</v>
      </c>
      <c r="S567" s="74">
        <v>524080</v>
      </c>
      <c r="T567" s="99">
        <f>IFERROR(J567,"")</f>
        <v>75.467519999999979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265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43" activePane="bottomLeft" state="frozen"/>
      <selection pane="bottomLeft" activeCell="D569" sqref="D569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375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309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346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376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377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378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379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380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381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346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346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382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383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312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346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384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385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320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386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388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389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390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391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392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393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394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395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396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397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398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399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400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401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402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403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334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404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405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406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407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408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402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409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368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410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411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412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413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414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415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416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417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418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401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134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262</v>
      </c>
      <c r="S567" s="74">
        <v>486090</v>
      </c>
      <c r="T567" s="99">
        <f>IFERROR(J567,"")</f>
        <v>69.996959999999987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265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/>
      <c r="F569" s="101">
        <f>IFERROR(IF($D569="","",VLOOKUP($D569,Cadastro!$C$4:$E$7,3,FALSE())),"")</f>
        <v>0.35</v>
      </c>
      <c r="G569" s="89"/>
      <c r="H569" s="101" t="str">
        <f>IFERROR(IF($G569="","",$G569*$S$581/$G$581/Cadastro!$E$33),"")</f>
        <v/>
      </c>
      <c r="I569" s="102">
        <f>IFERROR(IF($D569="","",VLOOKUP($D569,Cadastro!$C$4:$G$7,5,FALSE())),"")</f>
        <v>0.6</v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 t="s">
        <v>29</v>
      </c>
      <c r="M569" s="70" t="s">
        <v>168</v>
      </c>
      <c r="N569" s="70" t="s">
        <v>83</v>
      </c>
      <c r="O569" s="65">
        <v>0.2986111111111111</v>
      </c>
      <c r="P569" s="65"/>
      <c r="Q569" s="71">
        <f t="shared" ref="Q569:Q574" ca="1" si="148">IFERROR(IF(O569="","",IF(P569="",MOD(NOW()-O569,1),IF(P569&gt;=O569,P569-O569,P569+1-O569))),"")</f>
        <v>4.622569445928093E-3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4.622569445928093E-3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4.622569445928093E-3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2026-08-22T11:17:43Z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