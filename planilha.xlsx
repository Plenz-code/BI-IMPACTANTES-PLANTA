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2026" documentId="8_{C51EB6CB-002B-4D6B-B68F-DDEBDB4460C0}" xr6:coauthVersionLast="47" xr6:coauthVersionMax="47" xr10:uidLastSave="{5F859188-3002-4574-B328-643EF3A288CF}"/>
  <bookViews>
    <workbookView xWindow="-108" yWindow="-108" windowWidth="23256" windowHeight="12456" tabRatio="500" firstSheet="4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6" i="1" l="1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57" i="5"/>
  <c r="F271" i="5" s="1"/>
  <c r="E257" i="5"/>
  <c r="E271" i="5" s="1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54" i="3" l="1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<sst xmlns="http://schemas.openxmlformats.org/spreadsheetml/2006/main" count="2626" uniqueCount="267">
  <si>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</si>
  <si>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</si>
  <si>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</si>
  <si>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</si>
  <si>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</si>
  <si>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</si>
  <si>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</si>
  <si>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</si>
  <si>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</si>
  <si>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</si>
  <si>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</si>
  <si>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</si>
  <si>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</si>
  <si>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</si>
  <si>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</si>
  <si>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</si>
  <si>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</si>
  <si>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</si>
  <si>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</si>
  <si>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</si>
  <si>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</si>
  <si>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</si>
  <si>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</si>
  <si>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</si>
  <si>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</si>
  <si>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</si>
  <si>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</si>
  <si>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</si>
  <si>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</si>
  <si>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</si>
  <si>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</si>
  <si>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</si>
  <si>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</si>
  <si>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</si>
  <si>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</si>
  <si>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</si>
  <si>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</si>
  <si>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</si>
  <si>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</si>
  <si>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</si>
  <si>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</si>
  <si>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</si>
  <si>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</si>
  <si>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</si>
  <si>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</si>
  <si>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</si>
  <si>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</si>
  <si>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</si>
  <si>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</si>
  <si>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</si>
  <si>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</si>
  <si>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</si>
  <si>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</si>
  <si>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</si>
  <si>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</si>
  <si>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</si>
  <si>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</si>
  <si>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</si>
  <si>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</si>
  <si>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</si>
  <si>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</si>
  <si>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</si>
  <si>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</si>
  <si>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</si>
  <si>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</si>
  <si>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</si>
  <si>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</si>
  <si>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</si>
  <si>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</si>
  <si>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</si>
  <si>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</si>
  <si>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</si>
  <si>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</si>
  <si>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</si>
  <si>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</si>
  <si>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</si>
  <si>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</si>
  <si>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</si>
  <si>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</si>
  <si>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</si>
  <si>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</si>
  <si>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</si>
  <si>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</si>
  <si>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</si>
  <si>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</si>
  <si>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</si>
  <si>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</si>
  <si>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</si>
  <si>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</si>
  <si>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</si>
  <si>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</si>
  <si>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</si>
  <si>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</si>
  <si>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</si>
  <si>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</si>
  <si>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</si>
  <si>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</si>
  <si>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</si>
  <si>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</si>
  <si>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</si>
  <si>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</si>
  <si>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</si>
  <si>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</si>
  <si>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</si>
  <si>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</si>
  <si>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</si>
  <si>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</si>
  <si>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</si>
  <si>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</si>
  <si>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</si>
  <si>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</si>
  <si>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</si>
  <si>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</si>
  <si>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</si>
  <si>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</si>
  <si>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</si>
  <si>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</si>
  <si>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</si>
  <si>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</si>
  <si>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</si>
  <si>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</si>
  <si>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</si>
  <si>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</si>
  <si>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</si>
  <si>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</si>
  <si>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</si>
  <si>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</si>
  <si>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</si>
  <si>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</si>
  <si>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</si>
  <si>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</si>
  <si>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</si>
  <si>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</si>
  <si>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</si>
  <si>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</si>
  <si>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</si>
  <si>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</si>
  <si>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</si>
  <si>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</si>
  <si>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</si>
  <si>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</si>
  <si>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</si>
  <si>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</si>
  <si>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</si>
  <si>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</si>
  <si>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</si>
  <si>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</si>
  <si>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</si>
  <si>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</si>
  <si>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</si>
  <si>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</si>
  <si>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</si>
  <si>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</si>
  <si>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</si>
  <si>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</si>
  <si>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</si>
  <si>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</si>
  <si>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</si>
  <si>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</si>
  <si>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</si>
  <si>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</si>
  <si>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</si>
  <si>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</si>
  <si>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</si>
  <si>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</si>
  <si>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</si>
  <si>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</si>
  <si>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</si>
  <si>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</si>
  <si>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</si>
  <si>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</si>
  <si>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</si>
  <si>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</si>
  <si>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</si>
  <si>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</si>
  <si>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</si>
  <si>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</si>
  <si>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</si>
  <si>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</si>
  <si>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</si>
  <si>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</si>
  <si>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</si>
  <si>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</si>
  <si>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</si>
  <si>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</si>
  <si>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</si>
  <si>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</si>
  <si>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</si>
  <si>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</si>
  <si>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</si>
  <si>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</si>
  <si>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</si>
  <si>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</si>
  <si>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</si>
  <si>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</si>
  <si>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</si>
  <si>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</si>
  <si>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</si>
  <si>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</si>
  <si>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</si>
  <si>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</si>
  <si>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</si>
  <si>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</si>
  <si>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</si>
  <si>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</si>
  <si>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</si>
  <si>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</si>
  <si>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</si>
  <si>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</si>
  <si>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</si>
  <si>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</si>
  <si>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</si>
  <si>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</si>
  <si>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</si>
  <si>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</si>
  <si>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</si>
  <si>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</si>
  <si>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</si>
  <si>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</si>
  <si>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</si>
  <si>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</si>
  <si>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</si>
  <si>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</si>
  <si>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</si>
  <si>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</si>
  <si>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</si>
  <si>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</si>
  <si>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</si>
  <si>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</si>
  <si>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</si>
  <si>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</si>
  <si>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</si>
  <si>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</si>
  <si>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</si>
  <si>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</si>
  <si>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</si>
  <si>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</si>
  <si>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</si>
  <si>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</si>
  <si>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PC 17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</si>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</sst>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7" sqref="G7:G34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6" t="s">
        <v>0</v>
      </c>
      <c r="B1" s="106"/>
      <c r="C1" s="106"/>
      <c r="D1" s="106"/>
      <c r="E1" s="106"/>
      <c r="F1" s="106"/>
      <c r="G1" s="106"/>
    </row>
    <row r="2" spans="1:7" ht="24.75" customHeight="1">
      <c r="A2" s="107"/>
      <c r="B2" s="107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2050</v>
      </c>
      <c r="D7" s="11">
        <f>IFERROR('Linha 1'!O109,"")</f>
        <v>449600</v>
      </c>
      <c r="E7" s="11">
        <f>IFERROR('Linha 2'!O109,"")</f>
        <v>204160</v>
      </c>
      <c r="F7" s="11">
        <f>IFERROR('Linha 3'!O109,"")</f>
        <v>786700</v>
      </c>
      <c r="G7" s="12">
        <f t="shared" si="0"/>
        <v>1440460</v>
      </c>
    </row>
    <row r="8" spans="1:7" ht="15.75" customHeight="1">
      <c r="A8" s="7">
        <v>5</v>
      </c>
      <c r="B8" s="72">
        <v>46239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3">
        <v>46240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2">
        <v>46241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8" t="s">
        <v>9</v>
      </c>
      <c r="B35" s="108"/>
      <c r="C35" s="13">
        <f>IFERROR(SUM(C4:C34),"")</f>
        <v>7781455</v>
      </c>
      <c r="D35" s="13">
        <f>IFERROR(SUM(D4:D34),"")</f>
        <v>3343680</v>
      </c>
      <c r="E35" s="13">
        <f>IFERROR(SUM(E4:E34),"")</f>
        <v>1813040</v>
      </c>
      <c r="F35" s="13">
        <f>IFERROR(SUM(F4:F34),"")</f>
        <v>4048370</v>
      </c>
      <c r="G35" s="13">
        <f>IFERROR(SUM(G4:G34),"")</f>
        <v>9205090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2" zoomScale="85" zoomScaleNormal="85" workbookViewId="0">
      <selection activeCell="M57" sqref="M57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9" t="s">
        <v>10</v>
      </c>
      <c r="B1" s="109"/>
      <c r="C1" s="109"/>
      <c r="D1" s="109"/>
      <c r="E1" s="109"/>
      <c r="F1" s="109"/>
      <c r="G1" s="109"/>
      <c r="H1" s="110"/>
      <c r="I1" s="111" t="s">
        <v>11</v>
      </c>
      <c r="J1" s="111"/>
      <c r="K1" s="111"/>
      <c r="L1" s="111"/>
      <c r="M1" s="111"/>
    </row>
    <row r="2" spans="1:13" ht="4.5" customHeight="1">
      <c r="H2" s="110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0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0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0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0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0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0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0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0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0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0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0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0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0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0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0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0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0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10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10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10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10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10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10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10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10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10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10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10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10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10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10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10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10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10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10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10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10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10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10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10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10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10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10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10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10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10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10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10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10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10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10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10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10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10"/>
      <c r="I56" s="16"/>
      <c r="J56" s="16"/>
      <c r="K56" s="16" t="s">
        <v>202</v>
      </c>
      <c r="L56" s="16"/>
      <c r="M56" s="16" t="s">
        <v>203</v>
      </c>
    </row>
    <row r="57" spans="1:13" ht="15" customHeight="1">
      <c r="H57" s="110"/>
      <c r="I57" s="17"/>
      <c r="J57" s="17"/>
      <c r="K57" s="17" t="s">
        <v>50</v>
      </c>
      <c r="L57" s="17"/>
      <c r="M57" s="17"/>
    </row>
    <row r="58" spans="1:13" ht="15" customHeight="1">
      <c r="H58" s="110"/>
      <c r="I58" s="16"/>
      <c r="J58" s="16"/>
      <c r="K58" s="16" t="s">
        <v>204</v>
      </c>
      <c r="L58" s="16"/>
      <c r="M58" s="16"/>
    </row>
    <row r="59" spans="1:13" ht="15" customHeight="1">
      <c r="H59" s="110"/>
      <c r="I59" s="17"/>
      <c r="J59" s="17"/>
      <c r="K59" s="17" t="s">
        <v>205</v>
      </c>
      <c r="L59" s="17"/>
      <c r="M59" s="17"/>
    </row>
    <row r="60" spans="1:13" ht="15" customHeight="1">
      <c r="H60" s="110"/>
      <c r="I60" s="16"/>
      <c r="J60" s="16"/>
      <c r="K60" s="86" t="s">
        <v>105</v>
      </c>
      <c r="L60" s="16"/>
      <c r="M60" s="16"/>
    </row>
    <row r="61" spans="1:13" ht="15" customHeight="1">
      <c r="H61" s="110"/>
      <c r="I61" s="17"/>
      <c r="J61" s="17"/>
      <c r="K61" s="17" t="s">
        <v>206</v>
      </c>
      <c r="L61" s="17"/>
      <c r="M61" s="17"/>
    </row>
    <row r="62" spans="1:13" ht="15" customHeight="1">
      <c r="H62" s="110"/>
      <c r="I62" s="16"/>
      <c r="J62" s="16"/>
      <c r="K62" s="16" t="s">
        <v>207</v>
      </c>
      <c r="L62" s="16"/>
      <c r="M62" s="16"/>
    </row>
    <row r="63" spans="1:13" ht="15" customHeight="1">
      <c r="H63" s="110"/>
      <c r="I63" s="17"/>
      <c r="J63" s="17"/>
      <c r="K63" s="17" t="s">
        <v>208</v>
      </c>
      <c r="L63" s="17"/>
      <c r="M63" s="17"/>
    </row>
    <row r="64" spans="1:13" ht="15" customHeight="1">
      <c r="H64" s="110"/>
      <c r="I64" s="16"/>
      <c r="J64" s="16"/>
      <c r="K64" s="16" t="s">
        <v>209</v>
      </c>
      <c r="L64" s="16"/>
      <c r="M64" s="16"/>
    </row>
    <row r="65" spans="8:13" ht="15" customHeight="1">
      <c r="H65" s="110"/>
      <c r="I65" s="17"/>
      <c r="J65" s="17"/>
      <c r="K65" s="17" t="s">
        <v>210</v>
      </c>
      <c r="L65" s="17"/>
      <c r="M65" s="17"/>
    </row>
    <row r="66" spans="8:13" ht="15" customHeight="1">
      <c r="H66" s="110"/>
      <c r="I66" s="16"/>
      <c r="J66" s="16"/>
      <c r="K66" s="16" t="s">
        <v>211</v>
      </c>
      <c r="L66" s="16"/>
      <c r="M66" s="16"/>
    </row>
    <row r="67" spans="8:13" ht="15" customHeight="1">
      <c r="H67" s="110"/>
      <c r="I67" s="17"/>
      <c r="J67" s="17"/>
      <c r="K67" s="17" t="s">
        <v>212</v>
      </c>
      <c r="L67" s="17"/>
      <c r="M67" s="17"/>
    </row>
    <row r="68" spans="8:13" ht="15" customHeight="1">
      <c r="H68" s="110"/>
      <c r="I68" s="16"/>
      <c r="J68" s="16"/>
      <c r="K68" s="16" t="s">
        <v>213</v>
      </c>
      <c r="L68" s="16"/>
      <c r="M68" s="16"/>
    </row>
    <row r="69" spans="8:13" ht="15" customHeight="1">
      <c r="H69" s="110"/>
      <c r="I69" s="17"/>
      <c r="J69" s="17"/>
      <c r="K69" s="17" t="s">
        <v>214</v>
      </c>
      <c r="L69" s="17"/>
      <c r="M69" s="17"/>
    </row>
    <row r="70" spans="8:13" ht="15" customHeight="1">
      <c r="H70" s="110"/>
      <c r="I70" s="16"/>
      <c r="J70" s="16"/>
      <c r="K70" s="16" t="s">
        <v>215</v>
      </c>
      <c r="L70" s="16"/>
      <c r="M70" s="16"/>
    </row>
    <row r="71" spans="8:13" ht="15" customHeight="1">
      <c r="H71" s="110"/>
      <c r="I71" s="17"/>
      <c r="J71" s="17"/>
      <c r="K71" s="17" t="s">
        <v>216</v>
      </c>
      <c r="L71" s="17"/>
      <c r="M71" s="17"/>
    </row>
    <row r="72" spans="8:13" ht="15" customHeight="1">
      <c r="H72" s="110"/>
      <c r="I72" s="16"/>
      <c r="J72" s="16"/>
      <c r="K72" s="16" t="s">
        <v>217</v>
      </c>
      <c r="L72" s="16"/>
      <c r="M72" s="16"/>
    </row>
    <row r="73" spans="8:13" ht="15" customHeight="1">
      <c r="H73" s="110"/>
      <c r="I73" s="17"/>
      <c r="J73" s="17"/>
      <c r="K73" s="17"/>
      <c r="L73" s="17"/>
      <c r="M73" s="17"/>
    </row>
    <row r="74" spans="8:13" ht="15" customHeight="1">
      <c r="H74" s="110"/>
      <c r="I74" s="16"/>
      <c r="J74" s="16"/>
      <c r="K74" s="16"/>
      <c r="L74" s="16"/>
      <c r="M74" s="16"/>
    </row>
    <row r="75" spans="8:13" ht="15" customHeight="1">
      <c r="H75" s="110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89" activePane="bottomLeft" state="frozen"/>
      <selection pane="bottomLeft" activeCell="F99" sqref="F99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64.42578125" style="20" customWidth="1"/>
    <col min="15" max="15" width="14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228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228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228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228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228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228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228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228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228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228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228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228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0" t="s">
        <v>229</v>
      </c>
      <c r="B14" s="101"/>
      <c r="C14" s="101"/>
      <c r="D14" s="101"/>
      <c r="E14" s="102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230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228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128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228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228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231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228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228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228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228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228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228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228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228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228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0" t="s">
        <v>232</v>
      </c>
      <c r="B27" s="101"/>
      <c r="C27" s="101"/>
      <c r="D27" s="101"/>
      <c r="E27" s="102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230</v>
      </c>
      <c r="O27" s="39">
        <v>997910</v>
      </c>
    </row>
    <row r="28" spans="1:15" ht="18" customHeight="1">
      <c r="A28" s="103" t="s">
        <v>233</v>
      </c>
      <c r="B28" s="104"/>
      <c r="C28" s="104"/>
      <c r="D28" s="104"/>
      <c r="E28" s="10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234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228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153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228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127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235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228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231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228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228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228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228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228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228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228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228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228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0" t="s">
        <v>229</v>
      </c>
      <c r="B41" s="101"/>
      <c r="C41" s="101"/>
      <c r="D41" s="101"/>
      <c r="E41" s="102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230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228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236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228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228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228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228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228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228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228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228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228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228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0" t="s">
        <v>232</v>
      </c>
      <c r="B54" s="101"/>
      <c r="C54" s="101"/>
      <c r="D54" s="101"/>
      <c r="E54" s="102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230</v>
      </c>
      <c r="O54" s="39">
        <v>981310</v>
      </c>
    </row>
    <row r="55" spans="1:15" ht="18" customHeight="1">
      <c r="A55" s="103" t="s">
        <v>233</v>
      </c>
      <c r="B55" s="104"/>
      <c r="C55" s="104"/>
      <c r="D55" s="104"/>
      <c r="E55" s="105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234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228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153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228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131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228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228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228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228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228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228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228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228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228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228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0" t="s">
        <v>229</v>
      </c>
      <c r="B68" s="101"/>
      <c r="C68" s="101"/>
      <c r="D68" s="101"/>
      <c r="E68" s="102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230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228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228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237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228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228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228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228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228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228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228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228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228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228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0" t="s">
        <v>232</v>
      </c>
      <c r="B81" s="101"/>
      <c r="C81" s="101"/>
      <c r="D81" s="101"/>
      <c r="E81" s="102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230</v>
      </c>
      <c r="O81" s="39">
        <v>1547910</v>
      </c>
    </row>
    <row r="82" spans="1:15" ht="18" customHeight="1">
      <c r="A82" s="103" t="s">
        <v>233</v>
      </c>
      <c r="B82" s="104"/>
      <c r="C82" s="104"/>
      <c r="D82" s="104"/>
      <c r="E82" s="105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234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228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228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131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228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142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238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228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228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228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228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228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228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228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228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228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0" t="s">
        <v>229</v>
      </c>
      <c r="B95" s="101"/>
      <c r="C95" s="101"/>
      <c r="D95" s="101"/>
      <c r="E95" s="102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230</v>
      </c>
      <c r="O95" s="39">
        <v>2050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228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228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228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228</v>
      </c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228</v>
      </c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0" t="s">
        <v>232</v>
      </c>
      <c r="B108" s="101"/>
      <c r="C108" s="101"/>
      <c r="D108" s="101"/>
      <c r="E108" s="102">
        <f>SUM(E96:E107)</f>
        <v>0</v>
      </c>
      <c r="F108" s="36">
        <f>SUM(F96:F107)</f>
        <v>104</v>
      </c>
      <c r="G108" s="36">
        <f>SUM(G96:G107)</f>
        <v>520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230</v>
      </c>
      <c r="O108" s="39"/>
    </row>
    <row r="109" spans="1:15" ht="18" customHeight="1">
      <c r="A109" s="103" t="s">
        <v>233</v>
      </c>
      <c r="B109" s="104"/>
      <c r="C109" s="104"/>
      <c r="D109" s="104"/>
      <c r="E109" s="105">
        <f>E95+E108</f>
        <v>0</v>
      </c>
      <c r="F109" s="40">
        <f>F95+F108</f>
        <v>413</v>
      </c>
      <c r="G109" s="40">
        <f>G95+G108</f>
        <v>2065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234</v>
      </c>
      <c r="O109" s="43">
        <f>IFERROR(O95+O108,"")</f>
        <v>2050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19",F110*5,IF(E110="CB",F110*35,""))))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0" t="s">
        <v>229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230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19",F123*5,IF(E123="CB",F123*35,""))))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0" t="s">
        <v>232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230</v>
      </c>
      <c r="O135" s="39"/>
    </row>
    <row r="136" spans="1:15" ht="18" customHeight="1">
      <c r="A136" s="103" t="s">
        <v>233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234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19",F137*5,IF(E137="CB",F137*35,""))))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229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230</v>
      </c>
      <c r="O149" s="4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19",F150*5,IF(E150="CB",F150*35,""))))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232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230</v>
      </c>
      <c r="O162" s="44"/>
    </row>
    <row r="163" spans="1:15" ht="18" customHeight="1">
      <c r="A163" s="103" t="s">
        <v>233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234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19",F164*5,IF(E164="CB",F164*35,""))))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229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230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19",F177*5,IF(E177="CB",F177*35,""))))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232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230</v>
      </c>
      <c r="O189" s="39"/>
    </row>
    <row r="190" spans="1:15" ht="18" customHeight="1">
      <c r="A190" s="103" t="s">
        <v>233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234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19",F191*5,IF(E191="CB",F191*35,""))))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229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230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0" t="s">
        <v>232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230</v>
      </c>
      <c r="O216" s="45"/>
    </row>
    <row r="217" spans="1:15" ht="18" customHeight="1">
      <c r="A217" s="103" t="s">
        <v>233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234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0" t="s">
        <v>229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230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0" t="s">
        <v>232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230</v>
      </c>
      <c r="O243" s="39"/>
    </row>
    <row r="244" spans="1:15" ht="18" customHeight="1">
      <c r="A244" s="103" t="s">
        <v>233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234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0" t="s">
        <v>229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230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0" t="s">
        <v>232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230</v>
      </c>
      <c r="O270" s="39"/>
    </row>
    <row r="271" spans="1:15" ht="18" customHeight="1">
      <c r="A271" s="103" t="s">
        <v>233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234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0" t="s">
        <v>229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230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0" t="s">
        <v>232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230</v>
      </c>
      <c r="O297" s="39"/>
    </row>
    <row r="298" spans="1:15" ht="18" customHeight="1">
      <c r="A298" s="103" t="s">
        <v>233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234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0" t="s">
        <v>229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230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0" t="s">
        <v>232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230</v>
      </c>
      <c r="O324" s="39"/>
    </row>
    <row r="325" spans="1:15" ht="18" customHeight="1">
      <c r="A325" s="103" t="s">
        <v>233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234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0" t="s">
        <v>229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230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0" t="s">
        <v>232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230</v>
      </c>
      <c r="O351" s="39"/>
    </row>
    <row r="352" spans="1:15" ht="18" customHeight="1">
      <c r="A352" s="103" t="s">
        <v>233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234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0" t="s">
        <v>229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230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0" t="s">
        <v>232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230</v>
      </c>
      <c r="O378" s="39"/>
    </row>
    <row r="379" spans="1:15" ht="18" customHeight="1">
      <c r="A379" s="103" t="s">
        <v>233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234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0" t="s">
        <v>229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230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0" t="s">
        <v>232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230</v>
      </c>
      <c r="O405" s="39"/>
    </row>
    <row r="406" spans="1:15" ht="18" customHeight="1">
      <c r="A406" s="103" t="s">
        <v>233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234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0" t="s">
        <v>229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230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0" t="s">
        <v>232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230</v>
      </c>
      <c r="O432" s="39"/>
    </row>
    <row r="433" spans="1:15" ht="18" customHeight="1">
      <c r="A433" s="103" t="s">
        <v>233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234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0" t="s">
        <v>229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230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0" t="s">
        <v>232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230</v>
      </c>
      <c r="O459" s="39"/>
    </row>
    <row r="460" spans="1:15" ht="18" customHeight="1">
      <c r="A460" s="103" t="s">
        <v>233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234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0" t="s">
        <v>229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230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0" t="s">
        <v>232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230</v>
      </c>
      <c r="O486" s="39"/>
    </row>
    <row r="487" spans="1:15" ht="18" customHeight="1">
      <c r="A487" s="103" t="s">
        <v>233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0" t="s">
        <v>229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230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0" t="s">
        <v>232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3" t="s">
        <v>233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234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0" t="s">
        <v>229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0" t="s">
        <v>232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3" t="s">
        <v>233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234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0" t="s">
        <v>229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0" t="s">
        <v>232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3" t="s">
        <v>233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0" t="s">
        <v>229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0" t="s">
        <v>232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3" t="s">
        <v>233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0" t="s">
        <v>229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0" t="s">
        <v>232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3" t="s">
        <v>233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0" t="s">
        <v>229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0" t="s">
        <v>232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3" t="s">
        <v>233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0" t="s">
        <v>229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0" t="s">
        <v>232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3" t="s">
        <v>233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0" t="s">
        <v>229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0" t="s">
        <v>232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3" t="s">
        <v>233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0" t="s">
        <v>229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0" t="s">
        <v>232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3" t="s">
        <v>233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0" t="s">
        <v>229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0" t="s">
        <v>232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3" t="s">
        <v>233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0" t="s">
        <v>229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0" t="s">
        <v>232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3" t="s">
        <v>233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0" t="s">
        <v>229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0" t="s">
        <v>232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12" t="s">
        <v>233</v>
      </c>
      <c r="B811" s="113"/>
      <c r="C811" s="113"/>
      <c r="D811" s="113"/>
      <c r="E811" s="114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0" t="s">
        <v>229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230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0" t="s">
        <v>232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230</v>
      </c>
      <c r="O837" s="39"/>
    </row>
    <row r="838" spans="1:15" ht="18" customHeight="1">
      <c r="A838" s="103" t="s">
        <v>233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234</v>
      </c>
      <c r="O838" s="43">
        <f>IFERROR(O824+O837,"")</f>
        <v>0</v>
      </c>
    </row>
  </sheetData>
  <mergeCells count="93"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tabSelected="1" zoomScale="50" zoomScaleNormal="50" workbookViewId="0">
      <pane ySplit="1" topLeftCell="A92" activePane="bottomLeft" state="frozen"/>
      <selection pane="bottomLeft" activeCell="J96" sqref="J96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239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156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240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239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239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239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127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241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239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242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239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128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239</v>
      </c>
      <c r="F8" s="27">
        <v>10</v>
      </c>
      <c r="G8" s="28">
        <f t="shared" si="0"/>
        <v>42</v>
      </c>
      <c r="H8" s="26" t="s">
        <v>20</v>
      </c>
      <c r="I8" s="26"/>
      <c r="J8" s="26" t="s">
        <v>128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239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239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239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239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239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0" t="s">
        <v>229</v>
      </c>
      <c r="B14" s="101"/>
      <c r="C14" s="101"/>
      <c r="D14" s="101"/>
      <c r="E14" s="102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230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239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239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239</v>
      </c>
      <c r="F17" s="27">
        <v>26</v>
      </c>
      <c r="G17" s="34">
        <f t="shared" si="3"/>
        <v>109.2</v>
      </c>
      <c r="H17" s="33" t="s">
        <v>17</v>
      </c>
      <c r="I17" s="33" t="s">
        <v>132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239</v>
      </c>
      <c r="F18" s="27">
        <v>1</v>
      </c>
      <c r="G18" s="34">
        <f t="shared" si="3"/>
        <v>4.2</v>
      </c>
      <c r="H18" s="26" t="s">
        <v>20</v>
      </c>
      <c r="I18" s="26" t="s">
        <v>154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239</v>
      </c>
      <c r="F19" s="27">
        <v>1</v>
      </c>
      <c r="G19" s="34">
        <f t="shared" si="3"/>
        <v>4.2</v>
      </c>
      <c r="H19" s="33" t="s">
        <v>17</v>
      </c>
      <c r="I19" s="33" t="s">
        <v>132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243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239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244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239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239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239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239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239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239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0" t="s">
        <v>232</v>
      </c>
      <c r="B27" s="101"/>
      <c r="C27" s="101"/>
      <c r="D27" s="101"/>
      <c r="E27" s="102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230</v>
      </c>
      <c r="O27" s="77">
        <v>549860</v>
      </c>
    </row>
    <row r="28" spans="1:15" ht="18" customHeight="1">
      <c r="A28" s="103" t="s">
        <v>233</v>
      </c>
      <c r="B28" s="104"/>
      <c r="C28" s="104"/>
      <c r="D28" s="104"/>
      <c r="E28" s="105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234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239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154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239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239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239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239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239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239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239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239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239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239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239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0" t="s">
        <v>229</v>
      </c>
      <c r="B41" s="101"/>
      <c r="C41" s="101"/>
      <c r="D41" s="101"/>
      <c r="E41" s="102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230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239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239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239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239</v>
      </c>
      <c r="F45" s="27">
        <v>3</v>
      </c>
      <c r="G45" s="28">
        <f t="shared" si="9"/>
        <v>12.600000000000001</v>
      </c>
      <c r="H45" s="33" t="s">
        <v>20</v>
      </c>
      <c r="I45" s="33" t="s">
        <v>156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239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239</v>
      </c>
      <c r="F47" s="27">
        <v>0</v>
      </c>
      <c r="G47" s="28">
        <f t="shared" si="9"/>
        <v>0</v>
      </c>
      <c r="H47" s="33" t="s">
        <v>20</v>
      </c>
      <c r="I47" s="33" t="s">
        <v>156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239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245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239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246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239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239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239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127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247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239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127</v>
      </c>
      <c r="K53" s="29">
        <v>0.12152777777777778</v>
      </c>
      <c r="L53" s="29"/>
      <c r="M53" s="30">
        <f t="shared" ca="1" si="11"/>
        <v>0.83329791666619712</v>
      </c>
      <c r="N53" s="46" t="s">
        <v>248</v>
      </c>
      <c r="O53" s="31"/>
    </row>
    <row r="54" spans="1:15" ht="15.75" customHeight="1">
      <c r="A54" s="100" t="s">
        <v>232</v>
      </c>
      <c r="B54" s="101"/>
      <c r="C54" s="101"/>
      <c r="D54" s="101"/>
      <c r="E54" s="102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0.97218680555508596</v>
      </c>
      <c r="N54" s="36" t="s">
        <v>230</v>
      </c>
      <c r="O54" s="84">
        <v>352430</v>
      </c>
    </row>
    <row r="55" spans="1:15" ht="18" customHeight="1">
      <c r="A55" s="103" t="s">
        <v>233</v>
      </c>
      <c r="B55" s="104"/>
      <c r="C55" s="104"/>
      <c r="D55" s="104"/>
      <c r="E55" s="105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1.0569090277773083</v>
      </c>
      <c r="N55" s="40" t="s">
        <v>234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239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239</v>
      </c>
      <c r="F57" s="27">
        <v>17</v>
      </c>
      <c r="G57" s="34">
        <f t="shared" si="12"/>
        <v>71.400000000000006</v>
      </c>
      <c r="H57" s="33" t="s">
        <v>20</v>
      </c>
      <c r="I57" s="33" t="s">
        <v>120</v>
      </c>
      <c r="J57" s="81" t="s">
        <v>113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239</v>
      </c>
      <c r="F58" s="27">
        <v>10</v>
      </c>
      <c r="G58" s="28">
        <f t="shared" si="12"/>
        <v>42</v>
      </c>
      <c r="H58" s="26" t="s">
        <v>20</v>
      </c>
      <c r="I58" s="80" t="s">
        <v>120</v>
      </c>
      <c r="J58" s="26" t="s">
        <v>113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239</v>
      </c>
      <c r="F59" s="27">
        <v>10</v>
      </c>
      <c r="G59" s="34">
        <f t="shared" si="12"/>
        <v>42</v>
      </c>
      <c r="H59" s="33" t="s">
        <v>20</v>
      </c>
      <c r="I59" s="33" t="s">
        <v>120</v>
      </c>
      <c r="J59" s="33" t="s">
        <v>113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239</v>
      </c>
      <c r="F60" s="27">
        <v>6</v>
      </c>
      <c r="G60" s="28">
        <f t="shared" si="12"/>
        <v>25.200000000000003</v>
      </c>
      <c r="H60" s="26" t="s">
        <v>20</v>
      </c>
      <c r="I60" s="26" t="s">
        <v>120</v>
      </c>
      <c r="J60" s="26" t="s">
        <v>113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239</v>
      </c>
      <c r="F61" s="27">
        <v>14</v>
      </c>
      <c r="G61" s="34">
        <f t="shared" si="12"/>
        <v>58.800000000000004</v>
      </c>
      <c r="H61" s="33" t="s">
        <v>20</v>
      </c>
      <c r="I61" s="33" t="s">
        <v>120</v>
      </c>
      <c r="J61" s="33" t="s">
        <v>113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239</v>
      </c>
      <c r="F62" s="27">
        <v>19</v>
      </c>
      <c r="G62" s="28">
        <f t="shared" si="12"/>
        <v>79.8</v>
      </c>
      <c r="H62" s="26" t="s">
        <v>20</v>
      </c>
      <c r="I62" s="26" t="s">
        <v>120</v>
      </c>
      <c r="J62" s="26" t="s">
        <v>113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239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240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239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239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239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239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0" t="s">
        <v>229</v>
      </c>
      <c r="B68" s="101"/>
      <c r="C68" s="101"/>
      <c r="D68" s="101"/>
      <c r="E68" s="102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230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239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146</v>
      </c>
      <c r="J69" s="26" t="s">
        <v>182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239</v>
      </c>
      <c r="F70" s="27">
        <v>14</v>
      </c>
      <c r="G70" s="28">
        <f t="shared" si="15"/>
        <v>58.800000000000004</v>
      </c>
      <c r="H70" s="26" t="s">
        <v>17</v>
      </c>
      <c r="I70" s="26" t="s">
        <v>132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239</v>
      </c>
      <c r="F71" s="27">
        <v>1</v>
      </c>
      <c r="G71" s="34">
        <f t="shared" si="15"/>
        <v>4.2</v>
      </c>
      <c r="H71" s="33" t="s">
        <v>20</v>
      </c>
      <c r="I71" s="33" t="s">
        <v>154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239</v>
      </c>
      <c r="F72" s="27">
        <v>5</v>
      </c>
      <c r="G72" s="28">
        <f t="shared" si="15"/>
        <v>21</v>
      </c>
      <c r="H72" s="26" t="s">
        <v>20</v>
      </c>
      <c r="I72" s="26" t="s">
        <v>154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239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239</v>
      </c>
      <c r="F74" s="27">
        <v>19</v>
      </c>
      <c r="G74" s="28">
        <f t="shared" si="15"/>
        <v>79.8</v>
      </c>
      <c r="H74" s="26" t="s">
        <v>20</v>
      </c>
      <c r="I74" s="26" t="s">
        <v>154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239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239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197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249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239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239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239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239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0" t="s">
        <v>232</v>
      </c>
      <c r="B81" s="101"/>
      <c r="C81" s="101"/>
      <c r="D81" s="101"/>
      <c r="E81" s="102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230</v>
      </c>
      <c r="O81" s="54">
        <v>634210</v>
      </c>
    </row>
    <row r="82" spans="1:15" ht="18" customHeight="1">
      <c r="A82" s="103" t="s">
        <v>233</v>
      </c>
      <c r="B82" s="104"/>
      <c r="C82" s="104"/>
      <c r="D82" s="104"/>
      <c r="E82" s="105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234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250</v>
      </c>
      <c r="E83" s="59" t="s">
        <v>239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135</v>
      </c>
      <c r="J83" s="33" t="s">
        <v>206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239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239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239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239</v>
      </c>
      <c r="F87" s="27">
        <v>14</v>
      </c>
      <c r="G87" s="28">
        <f t="shared" si="18"/>
        <v>58.800000000000004</v>
      </c>
      <c r="H87" s="33" t="s">
        <v>18</v>
      </c>
      <c r="I87" s="33" t="s">
        <v>135</v>
      </c>
      <c r="J87" s="33" t="s">
        <v>115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239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239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239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239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239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0" t="s">
        <v>229</v>
      </c>
      <c r="B95" s="101"/>
      <c r="C95" s="101"/>
      <c r="D95" s="101"/>
      <c r="E95" s="102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230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239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138</v>
      </c>
      <c r="J96" s="26" t="s">
        <v>115</v>
      </c>
      <c r="K96" s="29">
        <v>0.79166666666666663</v>
      </c>
      <c r="L96" s="29" t="s">
        <v>251</v>
      </c>
      <c r="M96" s="30" t="str">
        <f t="shared" ref="M96:M107" ca="1" si="22">IFERROR(IF(K96="","",IF(L96="",MOD(NOW()-K96,1),IF(L96&gt;=K96,L96-K96,L96+1-K96))),"")</f>
        <v/>
      </c>
      <c r="N96" s="46" t="s">
        <v>252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239</v>
      </c>
      <c r="F97" s="27">
        <v>0</v>
      </c>
      <c r="G97" s="28">
        <f t="shared" si="21"/>
        <v>0</v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239</v>
      </c>
      <c r="F98" s="27">
        <v>0</v>
      </c>
      <c r="G98" s="34">
        <f t="shared" si="21"/>
        <v>0</v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239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239</v>
      </c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239</v>
      </c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239</v>
      </c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239</v>
      </c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239</v>
      </c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239</v>
      </c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239</v>
      </c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239</v>
      </c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0" t="s">
        <v>232</v>
      </c>
      <c r="B108" s="101"/>
      <c r="C108" s="101"/>
      <c r="D108" s="101"/>
      <c r="E108" s="102">
        <f>SUM(E96:E107)</f>
        <v>0</v>
      </c>
      <c r="F108" s="36">
        <f>SUM(F96:F107)</f>
        <v>3</v>
      </c>
      <c r="G108" s="36">
        <f>SUM(G96:G107)</f>
        <v>12.600000000000001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230</v>
      </c>
      <c r="O108" s="54"/>
    </row>
    <row r="109" spans="1:15" ht="18" customHeight="1">
      <c r="A109" s="103" t="s">
        <v>233</v>
      </c>
      <c r="B109" s="104"/>
      <c r="C109" s="104"/>
      <c r="D109" s="104"/>
      <c r="E109" s="105">
        <f>E95+E108</f>
        <v>0</v>
      </c>
      <c r="F109" s="40">
        <f>F95+F108</f>
        <v>99</v>
      </c>
      <c r="G109" s="40">
        <f>G95+G108</f>
        <v>415.8</v>
      </c>
      <c r="H109" s="41"/>
      <c r="I109" s="41"/>
      <c r="J109" s="41"/>
      <c r="K109" s="41"/>
      <c r="L109" s="41"/>
      <c r="M109" s="42">
        <f ca="1">IFERROR(M95+M108,"")</f>
        <v>0.21666666666666673</v>
      </c>
      <c r="N109" s="40" t="s">
        <v>234</v>
      </c>
      <c r="O109" s="82">
        <f>IFERROR(O95+O108,"")</f>
        <v>449600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0" t="s">
        <v>229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230</v>
      </c>
      <c r="O122" s="54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0" t="s">
        <v>232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230</v>
      </c>
      <c r="O135" s="54"/>
    </row>
    <row r="136" spans="1:15" ht="18" customHeight="1">
      <c r="A136" s="103" t="s">
        <v>233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234</v>
      </c>
      <c r="O136" s="82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0" t="s">
        <v>229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230</v>
      </c>
      <c r="O149" s="5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0" t="s">
        <v>232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230</v>
      </c>
      <c r="O162" s="54"/>
    </row>
    <row r="163" spans="1:15" ht="18" customHeight="1">
      <c r="A163" s="103" t="s">
        <v>233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234</v>
      </c>
      <c r="O163" s="82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0" t="s">
        <v>229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230</v>
      </c>
      <c r="O176" s="77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0" t="s">
        <v>232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230</v>
      </c>
      <c r="O189" s="77"/>
    </row>
    <row r="190" spans="1:15" ht="18" customHeight="1">
      <c r="A190" s="103" t="s">
        <v>233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234</v>
      </c>
      <c r="O190" s="82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0" t="s">
        <v>229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230</v>
      </c>
      <c r="O203" s="77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0" t="s">
        <v>232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230</v>
      </c>
      <c r="O216" s="77"/>
    </row>
    <row r="217" spans="1:15" ht="18" customHeight="1">
      <c r="A217" s="103" t="s">
        <v>233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234</v>
      </c>
      <c r="O217" s="83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5" t="s">
        <v>229</v>
      </c>
      <c r="B230" s="116"/>
      <c r="C230" s="116"/>
      <c r="D230" s="116"/>
      <c r="E230" s="117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230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0" t="s">
        <v>232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230</v>
      </c>
      <c r="O243" s="77"/>
    </row>
    <row r="244" spans="1:15" ht="18" customHeight="1">
      <c r="A244" s="103" t="s">
        <v>233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234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0" t="s">
        <v>229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230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0" t="s">
        <v>232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230</v>
      </c>
      <c r="O270" s="77"/>
    </row>
    <row r="271" spans="1:15" ht="18" customHeight="1">
      <c r="A271" s="103" t="s">
        <v>233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234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0" t="s">
        <v>229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230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0" t="s">
        <v>232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230</v>
      </c>
      <c r="O297" s="77"/>
    </row>
    <row r="298" spans="1:15" ht="18" customHeight="1">
      <c r="A298" s="103" t="s">
        <v>233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234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0" t="s">
        <v>229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230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0" t="s">
        <v>232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230</v>
      </c>
      <c r="O324" s="77"/>
    </row>
    <row r="325" spans="1:15" ht="18" customHeight="1">
      <c r="A325" s="103" t="s">
        <v>233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234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0" t="s">
        <v>229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230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0" t="s">
        <v>232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230</v>
      </c>
      <c r="O351" s="77"/>
    </row>
    <row r="352" spans="1:15" ht="18" customHeight="1">
      <c r="A352" s="103" t="s">
        <v>233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234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0" t="s">
        <v>229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230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0" t="s">
        <v>232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230</v>
      </c>
      <c r="O378" s="77"/>
    </row>
    <row r="379" spans="1:15" ht="18" customHeight="1">
      <c r="A379" s="103" t="s">
        <v>233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234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0" t="s">
        <v>229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230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0" t="s">
        <v>232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230</v>
      </c>
      <c r="O405" s="77"/>
    </row>
    <row r="406" spans="1:15" ht="18" customHeight="1">
      <c r="A406" s="103" t="s">
        <v>233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234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0" t="s">
        <v>229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230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232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230</v>
      </c>
      <c r="O432" s="77"/>
    </row>
    <row r="433" spans="1:15" ht="18" customHeight="1">
      <c r="A433" s="92" t="s">
        <v>233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234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0" t="s">
        <v>229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230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0" t="s">
        <v>232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230</v>
      </c>
      <c r="O459" s="77"/>
    </row>
    <row r="460" spans="1:15" ht="18" customHeight="1">
      <c r="A460" s="103" t="s">
        <v>233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234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0" t="s">
        <v>229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230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0" t="s">
        <v>232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230</v>
      </c>
      <c r="O486" s="77"/>
    </row>
    <row r="487" spans="1:15" ht="18" customHeight="1">
      <c r="A487" s="103" t="s">
        <v>233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0" t="s">
        <v>229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230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232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77"/>
    </row>
    <row r="514" spans="1:15" ht="18" customHeight="1">
      <c r="A514" s="92" t="s">
        <v>233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234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0" t="s">
        <v>229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0" t="s">
        <v>232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77"/>
    </row>
    <row r="541" spans="1:15" ht="18" customHeight="1">
      <c r="A541" s="103" t="s">
        <v>233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234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0" t="s">
        <v>229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0" t="s">
        <v>232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77"/>
    </row>
    <row r="568" spans="1:15" ht="18" customHeight="1">
      <c r="A568" s="103" t="s">
        <v>233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0" t="s">
        <v>229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0" t="s">
        <v>232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77"/>
    </row>
    <row r="595" spans="1:15" ht="18" customHeight="1">
      <c r="A595" s="103" t="s">
        <v>233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0" t="s">
        <v>229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0" t="s">
        <v>232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77"/>
    </row>
    <row r="622" spans="1:15" ht="18" customHeight="1">
      <c r="A622" s="103" t="s">
        <v>233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0" t="s">
        <v>229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0" t="s">
        <v>232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77"/>
    </row>
    <row r="649" spans="1:15" ht="18" customHeight="1">
      <c r="A649" s="103" t="s">
        <v>233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0" t="s">
        <v>229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0" t="s">
        <v>232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77"/>
    </row>
    <row r="676" spans="1:15" ht="18" customHeight="1">
      <c r="A676" s="103" t="s">
        <v>233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0" t="s">
        <v>229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0" t="s">
        <v>232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77"/>
    </row>
    <row r="703" spans="1:15" ht="18" customHeight="1">
      <c r="A703" s="103" t="s">
        <v>233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0" t="s">
        <v>229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0" t="s">
        <v>232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77"/>
    </row>
    <row r="730" spans="1:15" ht="18" customHeight="1">
      <c r="A730" s="103" t="s">
        <v>233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0" t="s">
        <v>229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0" t="s">
        <v>232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3" t="s">
        <v>233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0" t="s">
        <v>229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0" t="s">
        <v>232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3" t="s">
        <v>233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0" t="s">
        <v>229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0" t="s">
        <v>232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3" t="s">
        <v>233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0" t="s">
        <v>229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230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0" t="s">
        <v>232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230</v>
      </c>
      <c r="O837" s="84"/>
    </row>
    <row r="838" spans="1:15" ht="18" customHeight="1">
      <c r="A838" s="103" t="s">
        <v>233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234</v>
      </c>
      <c r="O838" s="82">
        <f>IFERROR(O824+O837,"")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78" zoomScale="50" zoomScaleNormal="50" workbookViewId="0">
      <selection activeCell="L98" sqref="L98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239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239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239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239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239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239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239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239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239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239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239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239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0" t="s">
        <v>229</v>
      </c>
      <c r="B14" s="101"/>
      <c r="C14" s="101"/>
      <c r="D14" s="101"/>
      <c r="E14" s="102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230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239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253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239</v>
      </c>
      <c r="F16" s="27">
        <v>9</v>
      </c>
      <c r="G16" s="28">
        <f t="shared" si="3"/>
        <v>37.800000000000004</v>
      </c>
      <c r="H16" s="26" t="s">
        <v>17</v>
      </c>
      <c r="I16" s="26" t="s">
        <v>132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239</v>
      </c>
      <c r="F17" s="27">
        <v>12</v>
      </c>
      <c r="G17" s="34">
        <f t="shared" si="3"/>
        <v>50.400000000000006</v>
      </c>
      <c r="H17" s="33" t="s">
        <v>20</v>
      </c>
      <c r="I17" s="33" t="s">
        <v>154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239</v>
      </c>
      <c r="F18" s="27">
        <v>0</v>
      </c>
      <c r="G18" s="28">
        <f t="shared" si="3"/>
        <v>0</v>
      </c>
      <c r="H18" s="26" t="s">
        <v>17</v>
      </c>
      <c r="I18" s="26" t="s">
        <v>132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243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239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158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254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239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239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239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239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239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239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239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0" t="s">
        <v>232</v>
      </c>
      <c r="B27" s="101"/>
      <c r="C27" s="101"/>
      <c r="D27" s="101"/>
      <c r="E27" s="102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230</v>
      </c>
      <c r="O27" s="39">
        <v>358000</v>
      </c>
    </row>
    <row r="28" spans="1:15" ht="18" customHeight="1">
      <c r="A28" s="103" t="s">
        <v>233</v>
      </c>
      <c r="B28" s="104"/>
      <c r="C28" s="104"/>
      <c r="D28" s="104"/>
      <c r="E28" s="105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234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239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239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239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239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239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239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239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239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239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239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239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239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0" t="s">
        <v>229</v>
      </c>
      <c r="B41" s="101"/>
      <c r="C41" s="101"/>
      <c r="D41" s="101"/>
      <c r="E41" s="102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230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239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164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249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239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253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239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239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239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239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239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239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239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253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239</v>
      </c>
      <c r="F51" s="27">
        <v>0</v>
      </c>
      <c r="G51" s="28">
        <f t="shared" si="9"/>
        <v>0</v>
      </c>
      <c r="H51" s="33" t="s">
        <v>20</v>
      </c>
      <c r="I51" s="33" t="s">
        <v>154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239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239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131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0" t="s">
        <v>232</v>
      </c>
      <c r="B54" s="101"/>
      <c r="C54" s="101"/>
      <c r="D54" s="101"/>
      <c r="E54" s="102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230</v>
      </c>
      <c r="O54" s="39">
        <v>279980</v>
      </c>
    </row>
    <row r="55" spans="1:15" ht="18" customHeight="1">
      <c r="A55" s="103" t="s">
        <v>233</v>
      </c>
      <c r="B55" s="104"/>
      <c r="C55" s="104"/>
      <c r="D55" s="104"/>
      <c r="E55" s="105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234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239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120</v>
      </c>
      <c r="J56" s="26" t="s">
        <v>113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239</v>
      </c>
      <c r="F57" s="27">
        <v>4</v>
      </c>
      <c r="G57" s="34">
        <f t="shared" si="12"/>
        <v>16.8</v>
      </c>
      <c r="H57" s="33" t="s">
        <v>20</v>
      </c>
      <c r="I57" s="33" t="s">
        <v>120</v>
      </c>
      <c r="J57" s="26" t="s">
        <v>113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239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239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239</v>
      </c>
      <c r="F60" s="27">
        <v>5</v>
      </c>
      <c r="G60" s="28">
        <f t="shared" si="12"/>
        <v>21</v>
      </c>
      <c r="H60" s="26" t="s">
        <v>20</v>
      </c>
      <c r="I60" s="26" t="s">
        <v>120</v>
      </c>
      <c r="J60" s="26" t="s">
        <v>113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239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239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127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255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239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239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239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239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239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0" t="s">
        <v>229</v>
      </c>
      <c r="B68" s="101"/>
      <c r="C68" s="101"/>
      <c r="D68" s="101"/>
      <c r="E68" s="102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230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239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256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239</v>
      </c>
      <c r="F70" s="27">
        <v>9</v>
      </c>
      <c r="G70" s="28">
        <f t="shared" si="15"/>
        <v>37.800000000000004</v>
      </c>
      <c r="H70" s="26" t="s">
        <v>20</v>
      </c>
      <c r="I70" s="26" t="s">
        <v>146</v>
      </c>
      <c r="J70" s="26" t="s">
        <v>182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239</v>
      </c>
      <c r="F71" s="27">
        <v>9</v>
      </c>
      <c r="G71" s="34">
        <f t="shared" si="15"/>
        <v>37.800000000000004</v>
      </c>
      <c r="H71" s="33" t="s">
        <v>20</v>
      </c>
      <c r="I71" s="33" t="s">
        <v>154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239</v>
      </c>
      <c r="F72" s="27">
        <v>0</v>
      </c>
      <c r="G72" s="28">
        <f t="shared" si="15"/>
        <v>0</v>
      </c>
      <c r="H72" s="26" t="s">
        <v>20</v>
      </c>
      <c r="I72" s="26" t="s">
        <v>154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239</v>
      </c>
      <c r="F73" s="27">
        <v>7</v>
      </c>
      <c r="G73" s="34">
        <f t="shared" si="15"/>
        <v>29.400000000000002</v>
      </c>
      <c r="H73" s="33" t="s">
        <v>20</v>
      </c>
      <c r="I73" s="33" t="s">
        <v>154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239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239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239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239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239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0" t="s">
        <v>232</v>
      </c>
      <c r="B81" s="101"/>
      <c r="C81" s="101"/>
      <c r="D81" s="101"/>
      <c r="E81" s="102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230</v>
      </c>
      <c r="O81" s="39">
        <v>185920</v>
      </c>
    </row>
    <row r="82" spans="1:15" ht="18" customHeight="1">
      <c r="A82" s="103" t="s">
        <v>233</v>
      </c>
      <c r="B82" s="104"/>
      <c r="C82" s="104"/>
      <c r="D82" s="104"/>
      <c r="E82" s="105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234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239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257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239</v>
      </c>
      <c r="F84" s="27">
        <v>0</v>
      </c>
      <c r="G84" s="34">
        <f t="shared" si="18"/>
        <v>0</v>
      </c>
      <c r="H84" s="26" t="s">
        <v>18</v>
      </c>
      <c r="I84" s="26" t="s">
        <v>135</v>
      </c>
      <c r="J84" s="26" t="s">
        <v>115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258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239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239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239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239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239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239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239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239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0" t="s">
        <v>229</v>
      </c>
      <c r="B95" s="101"/>
      <c r="C95" s="101"/>
      <c r="D95" s="101"/>
      <c r="E95" s="102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230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239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135</v>
      </c>
      <c r="J96" s="26"/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239</v>
      </c>
      <c r="F97" s="27"/>
      <c r="G97" s="28" t="str">
        <f t="shared" si="21"/>
        <v/>
      </c>
      <c r="H97" s="33" t="s">
        <v>18</v>
      </c>
      <c r="I97" s="33" t="s">
        <v>135</v>
      </c>
      <c r="J97" s="33"/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259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239</v>
      </c>
      <c r="F98" s="27">
        <v>5</v>
      </c>
      <c r="G98" s="34">
        <f t="shared" si="21"/>
        <v>21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239</v>
      </c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239</v>
      </c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0" t="s">
        <v>232</v>
      </c>
      <c r="B108" s="101"/>
      <c r="C108" s="101"/>
      <c r="D108" s="101"/>
      <c r="E108" s="102">
        <f>SUM(E96:E107)</f>
        <v>0</v>
      </c>
      <c r="F108" s="36">
        <f>SUM(F96:F107)</f>
        <v>10</v>
      </c>
      <c r="G108" s="36">
        <f>SUM(G96:G107)</f>
        <v>42</v>
      </c>
      <c r="H108" s="37"/>
      <c r="I108" s="37"/>
      <c r="J108" s="37"/>
      <c r="K108" s="37"/>
      <c r="L108" s="37"/>
      <c r="M108" s="38">
        <f ca="1">IFERROR(SUM(M96:M107),"")</f>
        <v>4.2361111111111072E-2</v>
      </c>
      <c r="N108" s="36" t="s">
        <v>230</v>
      </c>
      <c r="O108" s="39"/>
    </row>
    <row r="109" spans="1:15" ht="18" customHeight="1">
      <c r="A109" s="103" t="s">
        <v>233</v>
      </c>
      <c r="B109" s="104"/>
      <c r="C109" s="104"/>
      <c r="D109" s="104"/>
      <c r="E109" s="105">
        <f>E95+E108</f>
        <v>0</v>
      </c>
      <c r="F109" s="40">
        <f>F95+F108</f>
        <v>58</v>
      </c>
      <c r="G109" s="40">
        <f>G95+G108</f>
        <v>243.6</v>
      </c>
      <c r="H109" s="41"/>
      <c r="I109" s="41"/>
      <c r="J109" s="41"/>
      <c r="K109" s="41"/>
      <c r="L109" s="41"/>
      <c r="M109" s="42">
        <f ca="1">IFERROR(M95+M108,"")</f>
        <v>0.19861111111111107</v>
      </c>
      <c r="N109" s="40" t="s">
        <v>234</v>
      </c>
      <c r="O109" s="43">
        <f>IFERROR(O95+O108,"")</f>
        <v>204160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0" t="s">
        <v>229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230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0" t="s">
        <v>232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230</v>
      </c>
      <c r="O135" s="39"/>
    </row>
    <row r="136" spans="1:15" ht="18" customHeight="1">
      <c r="A136" s="103" t="s">
        <v>233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234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229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230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232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230</v>
      </c>
      <c r="O162" s="39"/>
    </row>
    <row r="163" spans="1:15" ht="18" customHeight="1">
      <c r="A163" s="103" t="s">
        <v>233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234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78" t="str">
        <f ca="1">IFERROR(IF(K166="","",IF(L166="",MOD(NOW()-K166,1),IF(L166&gt;=K166,L166-K166,L166+1-K166))),"")</f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229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230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>IF(F181="","",IF(E181="PC 17",F181*4.2,IF(E181="PC 19",F181*5,IF(E181="CB",F181*24,""))))</f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232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230</v>
      </c>
      <c r="O189" s="39"/>
    </row>
    <row r="190" spans="1:15" ht="18" customHeight="1">
      <c r="A190" s="103" t="s">
        <v>233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234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229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230</v>
      </c>
      <c r="O203" s="39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0" t="s">
        <v>232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230</v>
      </c>
      <c r="O216" s="39"/>
    </row>
    <row r="217" spans="1:15" ht="18" customHeight="1">
      <c r="A217" s="103" t="s">
        <v>233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234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0" t="s">
        <v>229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230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0" t="s">
        <v>232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230</v>
      </c>
      <c r="O243" s="39"/>
    </row>
    <row r="244" spans="1:15" ht="18" customHeight="1">
      <c r="A244" s="103" t="s">
        <v>233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234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0" t="s">
        <v>229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230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0" t="s">
        <v>232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230</v>
      </c>
      <c r="O270" s="39"/>
    </row>
    <row r="271" spans="1:15" ht="18" customHeight="1">
      <c r="A271" s="103" t="s">
        <v>233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234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0" t="s">
        <v>229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230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0" t="s">
        <v>232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230</v>
      </c>
      <c r="O297" s="39"/>
    </row>
    <row r="298" spans="1:15" ht="18" customHeight="1">
      <c r="A298" s="103" t="s">
        <v>233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234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0" t="s">
        <v>229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230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0" t="s">
        <v>232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230</v>
      </c>
      <c r="O324" s="39"/>
    </row>
    <row r="325" spans="1:15" ht="18" customHeight="1">
      <c r="A325" s="103" t="s">
        <v>233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234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0" t="s">
        <v>229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230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0" t="s">
        <v>232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230</v>
      </c>
      <c r="O351" s="39"/>
    </row>
    <row r="352" spans="1:15" ht="18" customHeight="1">
      <c r="A352" s="103" t="s">
        <v>233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234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0" t="s">
        <v>229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230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0" t="s">
        <v>232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230</v>
      </c>
      <c r="O378" s="39"/>
    </row>
    <row r="379" spans="1:15" ht="18" customHeight="1">
      <c r="A379" s="103" t="s">
        <v>233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234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0" t="s">
        <v>229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230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0" t="s">
        <v>232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230</v>
      </c>
      <c r="O405" s="39"/>
    </row>
    <row r="406" spans="1:15" ht="18" customHeight="1">
      <c r="A406" s="103" t="s">
        <v>233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234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0" t="s">
        <v>229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230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0" t="s">
        <v>232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230</v>
      </c>
      <c r="O432" s="39"/>
    </row>
    <row r="433" spans="1:15" ht="18" customHeight="1">
      <c r="A433" s="103" t="s">
        <v>233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234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0" t="s">
        <v>229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230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0" t="s">
        <v>232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230</v>
      </c>
      <c r="O459" s="39"/>
    </row>
    <row r="460" spans="1:15" ht="18" customHeight="1">
      <c r="A460" s="103" t="s">
        <v>233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234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0" t="s">
        <v>229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230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0" t="s">
        <v>232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230</v>
      </c>
      <c r="O486" s="39"/>
    </row>
    <row r="487" spans="1:15" ht="18" customHeight="1">
      <c r="A487" s="103" t="s">
        <v>233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0" t="s">
        <v>229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230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0" t="s">
        <v>232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3" t="s">
        <v>233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234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0" t="s">
        <v>229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0" t="s">
        <v>232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3" t="s">
        <v>233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234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0" t="s">
        <v>229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0" t="s">
        <v>232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3" t="s">
        <v>233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0" t="s">
        <v>229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0" t="s">
        <v>232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3" t="s">
        <v>233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0" t="s">
        <v>229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0" t="s">
        <v>232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3" t="s">
        <v>233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0" t="s">
        <v>229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0" t="s">
        <v>232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3" t="s">
        <v>233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0" t="s">
        <v>229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0" t="s">
        <v>232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3" t="s">
        <v>233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0" t="s">
        <v>229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0" t="s">
        <v>232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3" t="s">
        <v>233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0" t="s">
        <v>229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0" t="s">
        <v>232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3" t="s">
        <v>233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0" t="s">
        <v>229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0" t="s">
        <v>232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3" t="s">
        <v>233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0" t="s">
        <v>229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0" t="s">
        <v>232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3" t="s">
        <v>233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0" t="s">
        <v>229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0" t="s">
        <v>232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3" t="s">
        <v>233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0" t="s">
        <v>229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230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0" t="s">
        <v>232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230</v>
      </c>
      <c r="O837" s="39"/>
    </row>
    <row r="838" spans="1:15" ht="18" customHeight="1">
      <c r="A838" s="103" t="s">
        <v>233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234</v>
      </c>
      <c r="O838" s="43">
        <f>IFERROR(O824+O837,"")</f>
        <v>0</v>
      </c>
    </row>
  </sheetData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94" activePane="bottomLeft" state="frozen"/>
      <selection pane="bottomLeft" activeCell="F99" sqref="F99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7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239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239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239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239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239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239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239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239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239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239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239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239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0" t="s">
        <v>229</v>
      </c>
      <c r="B14" s="101"/>
      <c r="C14" s="101"/>
      <c r="D14" s="101"/>
      <c r="E14" s="102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230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239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239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260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239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246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239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127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253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239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127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261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239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239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239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158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262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239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239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239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239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0" t="s">
        <v>232</v>
      </c>
      <c r="B27" s="101"/>
      <c r="C27" s="101"/>
      <c r="D27" s="101"/>
      <c r="E27" s="102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230</v>
      </c>
      <c r="O27" s="39">
        <v>491520</v>
      </c>
    </row>
    <row r="28" spans="1:15" ht="18" customHeight="1">
      <c r="A28" s="103" t="s">
        <v>233</v>
      </c>
      <c r="B28" s="104"/>
      <c r="C28" s="104"/>
      <c r="D28" s="104"/>
      <c r="E28" s="105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234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239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239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239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239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239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239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239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239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239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239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239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239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0" t="s">
        <v>229</v>
      </c>
      <c r="B41" s="101"/>
      <c r="C41" s="101"/>
      <c r="D41" s="101"/>
      <c r="E41" s="102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230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239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239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239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239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263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239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239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239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239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239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239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239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239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0" t="s">
        <v>232</v>
      </c>
      <c r="B54" s="101"/>
      <c r="C54" s="101"/>
      <c r="D54" s="101"/>
      <c r="E54" s="102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230</v>
      </c>
      <c r="O54" s="39">
        <v>352430</v>
      </c>
    </row>
    <row r="55" spans="1:15" ht="18" customHeight="1">
      <c r="A55" s="103" t="s">
        <v>233</v>
      </c>
      <c r="B55" s="104"/>
      <c r="C55" s="104"/>
      <c r="D55" s="104"/>
      <c r="E55" s="105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234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239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239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239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203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239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264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239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127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265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239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239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239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239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239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239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239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0" t="s">
        <v>229</v>
      </c>
      <c r="B68" s="101"/>
      <c r="C68" s="101"/>
      <c r="D68" s="101"/>
      <c r="E68" s="102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230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239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213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266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239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239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239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127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253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239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239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203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239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239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239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239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239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0" t="s">
        <v>232</v>
      </c>
      <c r="B81" s="101"/>
      <c r="C81" s="101"/>
      <c r="D81" s="101"/>
      <c r="E81" s="102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230</v>
      </c>
      <c r="O81" s="39">
        <v>612410</v>
      </c>
    </row>
    <row r="82" spans="1:15" ht="18" customHeight="1">
      <c r="A82" s="103" t="s">
        <v>233</v>
      </c>
      <c r="B82" s="104"/>
      <c r="C82" s="104"/>
      <c r="D82" s="104"/>
      <c r="E82" s="105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234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239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159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239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239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239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239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239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239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239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239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239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239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239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0" t="s">
        <v>229</v>
      </c>
      <c r="B95" s="101"/>
      <c r="C95" s="101"/>
      <c r="D95" s="101"/>
      <c r="E95" s="102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230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239</v>
      </c>
      <c r="F96" s="27">
        <v>20</v>
      </c>
      <c r="G96" s="34">
        <f t="shared" ref="G96:G107" si="21">IF(F96="","",IF(E96="PC 17",F96*4.2,IF(E96="PC 19",F96*5,IF(E96="CB",F96*24,""))))</f>
        <v>84</v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239</v>
      </c>
      <c r="F97" s="27">
        <v>20</v>
      </c>
      <c r="G97" s="28">
        <f t="shared" si="21"/>
        <v>84</v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239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239</v>
      </c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239</v>
      </c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239</v>
      </c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239</v>
      </c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239</v>
      </c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239</v>
      </c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239</v>
      </c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239</v>
      </c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239</v>
      </c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0" t="s">
        <v>232</v>
      </c>
      <c r="B108" s="101"/>
      <c r="C108" s="101"/>
      <c r="D108" s="101"/>
      <c r="E108" s="102">
        <f>SUM(E96:E107)</f>
        <v>0</v>
      </c>
      <c r="F108" s="36">
        <f>SUM(F96:F107)</f>
        <v>55</v>
      </c>
      <c r="G108" s="36">
        <f>SUM(G96:G107)</f>
        <v>231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230</v>
      </c>
      <c r="O108" s="39"/>
    </row>
    <row r="109" spans="1:15" ht="18" customHeight="1">
      <c r="A109" s="103" t="s">
        <v>233</v>
      </c>
      <c r="B109" s="104"/>
      <c r="C109" s="104"/>
      <c r="D109" s="104"/>
      <c r="E109" s="105">
        <f>E95+E108</f>
        <v>0</v>
      </c>
      <c r="F109" s="40">
        <f>F95+F108</f>
        <v>238</v>
      </c>
      <c r="G109" s="40">
        <f>G95+G108</f>
        <v>999.6</v>
      </c>
      <c r="H109" s="41"/>
      <c r="I109" s="41"/>
      <c r="J109" s="41"/>
      <c r="K109" s="63"/>
      <c r="L109" s="63"/>
      <c r="M109" s="42">
        <f ca="1">IFERROR(M95+M108,"")</f>
        <v>4.0972222222222132E-2</v>
      </c>
      <c r="N109" s="40" t="s">
        <v>234</v>
      </c>
      <c r="O109" s="48">
        <f>IFERROR(O95+O108,"")</f>
        <v>786700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0" t="s">
        <v>229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230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0" t="s">
        <v>232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230</v>
      </c>
      <c r="O135" s="39"/>
    </row>
    <row r="136" spans="1:18" ht="18" customHeight="1">
      <c r="A136" s="103" t="s">
        <v>233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234</v>
      </c>
      <c r="O136" s="48">
        <f>IFERROR(O122+O135,"")</f>
        <v>0</v>
      </c>
    </row>
    <row r="137" spans="1:18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229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230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232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230</v>
      </c>
      <c r="O162" s="39"/>
    </row>
    <row r="163" spans="1:15" ht="18" customHeight="1">
      <c r="A163" s="103" t="s">
        <v>233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234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229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230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26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232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230</v>
      </c>
      <c r="O189" s="39"/>
    </row>
    <row r="190" spans="1:15" ht="18" customHeight="1">
      <c r="A190" s="103" t="s">
        <v>233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234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229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230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0" t="s">
        <v>232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230</v>
      </c>
      <c r="O216" s="45"/>
    </row>
    <row r="217" spans="1:15" ht="18" customHeight="1">
      <c r="A217" s="103" t="s">
        <v>233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234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0" t="s">
        <v>229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230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0" t="s">
        <v>232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230</v>
      </c>
      <c r="O243" s="39"/>
    </row>
    <row r="244" spans="1:15" ht="18" customHeight="1">
      <c r="A244" s="103" t="s">
        <v>233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234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0" t="s">
        <v>229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230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0" t="s">
        <v>232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230</v>
      </c>
      <c r="O270" s="39"/>
    </row>
    <row r="271" spans="1:15" ht="18" customHeight="1">
      <c r="A271" s="103" t="s">
        <v>233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234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0" t="s">
        <v>229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230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0" t="s">
        <v>232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230</v>
      </c>
      <c r="O297" s="39"/>
    </row>
    <row r="298" spans="1:15" ht="18" customHeight="1">
      <c r="A298" s="103" t="s">
        <v>233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234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0" t="s">
        <v>229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230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0" t="s">
        <v>232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230</v>
      </c>
      <c r="O324" s="39"/>
    </row>
    <row r="325" spans="1:15" ht="18" customHeight="1">
      <c r="A325" s="103" t="s">
        <v>233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234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0" t="s">
        <v>229</v>
      </c>
      <c r="B338" s="101"/>
      <c r="C338" s="101"/>
      <c r="D338" s="101"/>
      <c r="E338" s="102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230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0" t="s">
        <v>232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230</v>
      </c>
      <c r="O351" s="39"/>
    </row>
    <row r="352" spans="1:15" ht="18" customHeight="1">
      <c r="A352" s="103" t="s">
        <v>233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234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229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230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0" t="s">
        <v>232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230</v>
      </c>
      <c r="O378" s="39"/>
    </row>
    <row r="379" spans="1:15" ht="18" customHeight="1">
      <c r="A379" s="103" t="s">
        <v>233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234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0" t="s">
        <v>229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230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0" t="s">
        <v>232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230</v>
      </c>
      <c r="O405" s="39"/>
    </row>
    <row r="406" spans="1:15" ht="18" customHeight="1">
      <c r="A406" s="103" t="s">
        <v>233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234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0" t="s">
        <v>229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230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0" t="s">
        <v>232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230</v>
      </c>
      <c r="O432" s="39"/>
    </row>
    <row r="433" spans="1:17" ht="18" customHeight="1">
      <c r="A433" s="103" t="s">
        <v>233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234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0" t="s">
        <v>229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230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0" t="s">
        <v>232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230</v>
      </c>
      <c r="O459" s="39"/>
    </row>
    <row r="460" spans="1:15" ht="18" customHeight="1">
      <c r="A460" s="103" t="s">
        <v>233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234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0" t="s">
        <v>229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230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0" t="s">
        <v>232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230</v>
      </c>
      <c r="O486" s="39"/>
    </row>
    <row r="487" spans="1:15" ht="18" customHeight="1">
      <c r="A487" s="103" t="s">
        <v>233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234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0" t="s">
        <v>229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230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0" t="s">
        <v>232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3" t="s">
        <v>233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234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0" t="s">
        <v>229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0" t="s">
        <v>232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3" t="s">
        <v>233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234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0" t="s">
        <v>229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0" t="s">
        <v>232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3" t="s">
        <v>233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0" t="s">
        <v>229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0" t="s">
        <v>232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3" t="s">
        <v>233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0" t="s">
        <v>229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0" t="s">
        <v>232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3" t="s">
        <v>233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0" t="s">
        <v>229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0" t="s">
        <v>232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3" t="s">
        <v>233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0" t="s">
        <v>229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0" t="s">
        <v>232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3" t="s">
        <v>233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0" t="s">
        <v>229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0" t="s">
        <v>232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3" t="s">
        <v>233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0" t="s">
        <v>229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0" t="s">
        <v>232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3" t="s">
        <v>233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0" t="s">
        <v>229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0" t="s">
        <v>232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3" t="s">
        <v>233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0" t="s">
        <v>229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0" t="s">
        <v>232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3" t="s">
        <v>233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0" t="s">
        <v>229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0" t="s">
        <v>232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3" t="s">
        <v>233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0" t="s">
        <v>229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230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0" t="s">
        <v>232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230</v>
      </c>
      <c r="O837" s="39"/>
    </row>
    <row r="838" spans="1:15" ht="18" customHeight="1">
      <c r="A838" s="103" t="s">
        <v>233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234</v>
      </c>
      <c r="O838" s="48">
        <f>IFERROR(O824+O837,"")</f>
        <v>0</v>
      </c>
    </row>
  </sheetData>
  <mergeCells count="92"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92:E392"/>
    <mergeCell ref="A311:E311"/>
    <mergeCell ref="A324:E324"/>
    <mergeCell ref="A325:E325"/>
    <mergeCell ref="A338:E338"/>
    <mergeCell ref="A351:E351"/>
    <mergeCell ref="A297:E297"/>
    <mergeCell ref="A298:E298"/>
    <mergeCell ref="A352:E352"/>
    <mergeCell ref="A378:E378"/>
    <mergeCell ref="A379:E379"/>
    <mergeCell ref="A244:E244"/>
    <mergeCell ref="A257:E257"/>
    <mergeCell ref="A270:E270"/>
    <mergeCell ref="A271:E271"/>
    <mergeCell ref="A284:E284"/>
    <mergeCell ref="A824:E824"/>
    <mergeCell ref="A837:E837"/>
    <mergeCell ref="A838:E838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2026-08-05T02:55:27Z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