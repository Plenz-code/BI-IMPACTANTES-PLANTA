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48" documentId="13_ncr:1_{9DFDFEE8-78F7-4C04-B87C-99924EE6CC37}" xr6:coauthVersionLast="47" xr6:coauthVersionMax="47" xr10:uidLastSave="{FA22F6B9-5448-48A3-A364-AE3F1E2C7641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<sst xmlns="http://schemas.openxmlformats.org/spreadsheetml/2006/main" count="8891" uniqueCount="2873">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</sst>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3" sqref="F7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76</v>
      </c>
      <c r="G81" s="2">
        <f>SUM(G69:G80)</f>
        <v>380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465</v>
      </c>
      <c r="G82" s="1">
        <f>G68+G81</f>
        <v>2301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54" activePane="bottomLeft" state="frozen"/>
      <selection pane="bottomLeft" activeCell="N72" sqref="N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/>
      <c r="Q72" s="86">
        <f t="shared" ca="1" si="24"/>
        <v>1.2914930550323334E-2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61</v>
      </c>
      <c r="E74" s="119" t="s">
        <v>278</v>
      </c>
      <c r="F74" s="107">
        <f>IFERROR(IF($D74="","",VLOOKUP($D74,Cadastro!$C$4:$E$20,3,FALSE())),"")</f>
        <v>0.35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344.4</v>
      </c>
      <c r="L81" s="87"/>
      <c r="M81" s="87"/>
      <c r="N81" s="87"/>
      <c r="O81" s="87"/>
      <c r="P81" s="87"/>
      <c r="Q81" s="88">
        <f ca="1">IFERROR(SUM(Q69:Q80),"")</f>
        <v>4.0692708328101235E-2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1066.8</v>
      </c>
      <c r="L82" s="91"/>
      <c r="M82" s="91"/>
      <c r="N82" s="91"/>
      <c r="O82" s="91"/>
      <c r="P82" s="91"/>
      <c r="Q82" s="92">
        <f ca="1">IFERROR(Q68+Q81,"")</f>
        <v>0.10527604166143467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N69" sqref="N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27</v>
      </c>
      <c r="M69" s="85" t="s">
        <v>157</v>
      </c>
      <c r="N69" s="85" t="s">
        <v>98</v>
      </c>
      <c r="O69" s="80">
        <v>0.95486111111111116</v>
      </c>
      <c r="P69" s="80"/>
      <c r="Q69" s="86">
        <f t="shared" ref="Q69:Q80" ca="1" si="22">IFERROR(IF(O69="","",IF(P69="",MOD(NOW()-O69,1),IF(P69&gt;=O69,P69-O69,P69+1-O69))),"")</f>
        <v>2.3331597221840639E-2</v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2.3331597221840639E-2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5.2498263888507313E-2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G73" sqref="G7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64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268.8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261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1096.2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2026-09-04T03:28:45Z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