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8" documentId="8_{C51EB6CB-002B-4D6B-B68F-DDEBDB4460C0}" xr6:coauthVersionLast="47" xr6:coauthVersionMax="47" xr10:uidLastSave="{414C7B49-6AC2-49F1-AD6A-16EC5020ACB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<sst xmlns="http://schemas.openxmlformats.org/spreadsheetml/2006/main" count="3660" uniqueCount="290">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</sst>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N164" sqref="N1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L166" sqref="L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0.30463275462534511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0.44352164351423401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0.52824386573645632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</v>
      </c>
      <c r="G176" s="36">
        <f>SUM(G164:G175)</f>
        <v>42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</v>
      </c>
      <c r="G190" s="40">
        <f>G176+G189</f>
        <v>42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J166" sqref="J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/>
      <c r="M166" s="78">
        <f ca="1">IFERROR(IF(K166="","",IF(L166="",MOD(NOW()-K166,1),IF(L166&gt;=K166,L166-K166,L166+1-K166))),"")</f>
        <v>1.854976850154344E-3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75.600000000000009</v>
      </c>
      <c r="H176" s="37"/>
      <c r="I176" s="37"/>
      <c r="J176" s="37"/>
      <c r="K176" s="37"/>
      <c r="L176" s="37"/>
      <c r="M176" s="38">
        <f ca="1">IFERROR(SUM(M164:M175),"")</f>
        <v>1.0188310183487703E-2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75.600000000000009</v>
      </c>
      <c r="H190" s="41"/>
      <c r="I190" s="41"/>
      <c r="J190" s="41"/>
      <c r="K190" s="41"/>
      <c r="L190" s="41"/>
      <c r="M190" s="42">
        <f ca="1">IFERROR(M176+M189,"")</f>
        <v>1.0188310183487703E-2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22</v>
      </c>
      <c r="G176" s="36">
        <f>SUM(G164:G175)</f>
        <v>92.4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22</v>
      </c>
      <c r="G190" s="40">
        <f>G176+G189</f>
        <v>92.4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