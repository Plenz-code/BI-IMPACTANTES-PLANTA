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719" documentId="8_{AF585B22-221D-4780-BB9C-493D365A6A02}" xr6:coauthVersionLast="47" xr6:coauthVersionMax="47" xr10:uidLastSave="{041C69C4-7828-42FF-900D-0D52A5E35C66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<sst xmlns="http://schemas.openxmlformats.org/spreadsheetml/2006/main" count="12350" uniqueCount="439">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</sst>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F814" sqref="F81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>
        <v>1802980</v>
      </c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233</v>
      </c>
      <c r="F812" s="100">
        <v>18</v>
      </c>
      <c r="G812" s="104">
        <v>50</v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233</v>
      </c>
      <c r="F813" s="100">
        <v>8</v>
      </c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233</v>
      </c>
      <c r="F814" s="100"/>
      <c r="G814" s="104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233</v>
      </c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233</v>
      </c>
      <c r="F816" s="100"/>
      <c r="G816" s="104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233</v>
      </c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233</v>
      </c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233</v>
      </c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233</v>
      </c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233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233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233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26</v>
      </c>
      <c r="G824" s="37"/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26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1" activePane="bottomLeft" state="frozen"/>
      <selection pane="bottomLeft" activeCell="F814" sqref="F8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0.13935555555508472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0.2969944444439736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0.40671666666619577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0.11782777777989395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0.28866111111322734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0.43380000000211622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236</v>
      </c>
      <c r="O810" s="39">
        <v>819240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239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15</v>
      </c>
      <c r="G812" s="104">
        <f>IF(F812="","",IF(E812="PC 17",F812*4.2,IF(E812="PC 19",F812*5,"")))</f>
        <v>63</v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>
        <v>26</v>
      </c>
      <c r="G813" s="104">
        <f>IF(F813="","",IF(E813="PC 17",F813*4.2,IF(E813="PC 19",F813*5,"")))</f>
        <v>109.2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41</v>
      </c>
      <c r="G824" s="109">
        <f>SUM(G812:G823)</f>
        <v>172.2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41</v>
      </c>
      <c r="G838" s="111">
        <f>G824+G837</f>
        <v>172.2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788" zoomScale="50" zoomScaleNormal="50" workbookViewId="0">
      <selection activeCell="F814" sqref="F8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236</v>
      </c>
      <c r="O810" s="39">
        <v>291990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239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10</v>
      </c>
      <c r="G812" s="104">
        <f>IF(F812="","",IF(E812="PC 17",F812*4.2,IF(E812="PC 19",F812*5,"")))</f>
        <v>42</v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>
        <v>12</v>
      </c>
      <c r="G813" s="104">
        <f>IF(F813="","",IF(E813="PC 17",F813*4.2,IF(E813="PC 19",F813*5,"")))</f>
        <v>50.400000000000006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22</v>
      </c>
      <c r="G824" s="109">
        <f>SUM(G812:G823)</f>
        <v>92.4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22</v>
      </c>
      <c r="G838" s="111">
        <f>G824+G837</f>
        <v>92.4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14" sqref="F81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0.12963333333755145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0.32893888889310707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0.6963000000042181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236</v>
      </c>
      <c r="O810" s="39">
        <v>784390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239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/>
      <c r="M812" s="78">
        <f ca="1">IFERROR(IF(K812="","",IF(L812="",MOD(NOW()-K812,1),IF(L812&gt;=K812,L812-K812,L812+1-K812))),"")</f>
        <v>5.2550000000337604E-2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>
        <v>0</v>
      </c>
      <c r="G813" s="104">
        <f>IF(F813="","",IF(E813="PC 17",F813*4.2,IF(E813="PC 19",F813*5,"")))</f>
        <v>0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10</v>
      </c>
      <c r="G824" s="109">
        <f>SUM(G812:G823)</f>
        <v>42</v>
      </c>
      <c r="H824" s="37"/>
      <c r="I824" s="37"/>
      <c r="J824" s="37"/>
      <c r="K824" s="37"/>
      <c r="L824" s="37"/>
      <c r="M824" s="110">
        <f ca="1">IFERROR(SUM(M812:M823),"")</f>
        <v>5.2550000000337604E-2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10</v>
      </c>
      <c r="G838" s="111">
        <f>G824+G837</f>
        <v>42</v>
      </c>
      <c r="H838" s="41"/>
      <c r="I838" s="41"/>
      <c r="J838" s="41"/>
      <c r="K838" s="41"/>
      <c r="L838" s="41"/>
      <c r="M838" s="112">
        <f ca="1">IFERROR(M824+M837,"")</f>
        <v>5.2550000000337604E-2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2026-07-31T13:06:06Z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