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1" documentId="8_{AF585B22-221D-4780-BB9C-493D365A6A02}" xr6:coauthVersionLast="47" xr6:coauthVersionMax="47" xr10:uidLastSave="{E32E9B27-7506-41DE-91BE-030B304D1C2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<sst xmlns="http://schemas.openxmlformats.org/spreadsheetml/2006/main" count="1669" uniqueCount="210">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</sst>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6" sqref="F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38</v>
      </c>
      <c r="G54" s="36">
        <f>SUM(G42:G53)</f>
        <v>190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59</v>
      </c>
      <c r="G55" s="40">
        <f>G41+G54</f>
        <v>295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" activePane="bottomLeft" state="frozen"/>
      <selection pane="bottomLeft" activeCell="L42" sqref="L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/>
      <c r="M42" s="30">
        <f ca="1">IFERROR(IF(K42="","",IF(L42="",MOD(NOW()-K42,1),IF(L42&gt;=K42,L42-K42,L42+1-K42))),"")</f>
        <v>4.2253472216543742E-2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1"/>
        <v/>
      </c>
      <c r="N53" s="46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25</v>
      </c>
      <c r="G54" s="36">
        <f>SUM(G42:G53)</f>
        <v>105</v>
      </c>
      <c r="H54" s="37"/>
      <c r="I54" s="37"/>
      <c r="J54" s="37"/>
      <c r="K54" s="37"/>
      <c r="L54" s="37"/>
      <c r="M54" s="38">
        <f ca="1">IFERROR(SUM(M42:M53),"")</f>
        <v>4.2253472216543742E-2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113</v>
      </c>
      <c r="G55" s="40">
        <f>G41+G54</f>
        <v>474.6</v>
      </c>
      <c r="H55" s="41"/>
      <c r="I55" s="41"/>
      <c r="J55" s="41"/>
      <c r="K55" s="41"/>
      <c r="L55" s="41"/>
      <c r="M55" s="42">
        <f ca="1">IFERROR(M41+M54,"")</f>
        <v>0.12211458332765485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6" sqref="F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/>
      <c r="M42" s="30">
        <f t="shared" ref="M42:M53" ca="1" si="10">IFERROR(IF(K42="","",IF(L42="",MOD(NOW()-K42,1),IF(L42&gt;=K42,L42-K42,L42+1-K42))),"")</f>
        <v>8.739236110704951E-2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14</v>
      </c>
      <c r="G54" s="36">
        <f>SUM(G42:G53)</f>
        <v>58.800000000000004</v>
      </c>
      <c r="H54" s="37"/>
      <c r="I54" s="37"/>
      <c r="J54" s="37"/>
      <c r="K54" s="37"/>
      <c r="L54" s="37"/>
      <c r="M54" s="38">
        <f ca="1">IFERROR(SUM(M42:M53),"")</f>
        <v>8.739236110704951E-2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0.24225347221816057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6" sqref="F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55</v>
      </c>
      <c r="G54" s="36">
        <f>SUM(G42:G53)</f>
        <v>231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140</v>
      </c>
      <c r="G55" s="40">
        <f>G41+G54</f>
        <v>588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2026-07-03T03:15:54Z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