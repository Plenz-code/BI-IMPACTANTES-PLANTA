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5164" documentId="8_{C51EB6CB-002B-4D6B-B68F-DDEBDB4460C0}" xr6:coauthVersionLast="47" xr6:coauthVersionMax="47" xr10:uidLastSave="{F65AF9B9-9F1D-46B1-B6E2-66ED7EE1066F}"/>
  <bookViews>
    <workbookView xWindow="-108" yWindow="-108" windowWidth="23256" windowHeight="12456" tabRatio="500" firstSheet="4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57" i="5" l="1"/>
  <c r="F176" i="6"/>
  <c r="G137" i="4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M263" i="5"/>
  <c r="M262" i="5"/>
  <c r="G262" i="5"/>
  <c r="M261" i="5"/>
  <c r="G261" i="5"/>
  <c r="M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71" i="5"/>
  <c r="E271" i="5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<sst xmlns="http://schemas.openxmlformats.org/spreadsheetml/2006/main" count="5087" uniqueCount="326">
  <si>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</si>
  <si>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</si>
  <si>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</si>
  <si>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</si>
  <si>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</si>
  <si>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</si>
  <si>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</si>
  <si>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</si>
  <si>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</si>
  <si>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</si>
  <si>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</si>
  <si>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</si>
  <si>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</si>
  <si>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</si>
  <si>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</si>
  <si>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</si>
  <si>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</si>
  <si>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</si>
  <si>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</si>
  <si>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</si>
  <si>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</si>
  <si>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</si>
  <si>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</si>
  <si>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</si>
  <si>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</si>
  <si>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</si>
  <si>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</si>
  <si>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</si>
  <si>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</si>
  <si>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</si>
  <si>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</si>
  <si>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</si>
  <si>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</si>
  <si>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</si>
  <si>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</si>
  <si>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</si>
  <si>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</si>
  <si>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</si>
  <si>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</si>
  <si>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</si>
  <si>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</si>
  <si>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</si>
  <si>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</si>
  <si>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</si>
  <si>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</si>
  <si>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</si>
  <si>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</si>
  <si>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</si>
  <si>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</si>
  <si>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</si>
  <si>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</si>
  <si>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</si>
  <si>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</si>
  <si>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</si>
  <si>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</si>
  <si>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</si>
  <si>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</si>
  <si>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</si>
  <si>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</si>
  <si>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</si>
  <si>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</si>
  <si>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</si>
  <si>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</si>
  <si>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</si>
  <si>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</si>
  <si>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</si>
  <si>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</si>
  <si>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</si>
  <si>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</si>
  <si>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</si>
  <si>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</si>
  <si>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</si>
  <si>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</si>
  <si>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</si>
  <si>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</si>
  <si>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</si>
  <si>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</si>
  <si>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</si>
  <si>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</si>
  <si>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</si>
  <si>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</si>
  <si>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</si>
  <si>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</si>
  <si>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</si>
  <si>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</si>
  <si>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</si>
  <si>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</si>
  <si>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</si>
  <si>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</si>
  <si>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</si>
  <si>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</si>
  <si>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</si>
  <si>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</si>
  <si>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</si>
  <si>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</si>
  <si>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</si>
  <si>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</si>
  <si>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</si>
  <si>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</si>
  <si>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</si>
  <si>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</si>
  <si>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</si>
  <si>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</si>
  <si>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</si>
  <si>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</si>
  <si>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</si>
  <si>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</si>
  <si>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</si>
  <si>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</si>
  <si>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</si>
  <si>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</si>
  <si>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</si>
  <si>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</si>
  <si>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</si>
  <si>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</si>
  <si>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</si>
  <si>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</si>
  <si>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</si>
  <si>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</si>
  <si>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</si>
  <si>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</si>
  <si>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</si>
  <si>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</si>
  <si>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</si>
  <si>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</si>
  <si>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</si>
  <si>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</si>
  <si>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</si>
  <si>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</si>
  <si>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</si>
  <si>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</si>
  <si>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</si>
  <si>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</si>
  <si>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</si>
  <si>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</si>
  <si>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</si>
  <si>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</si>
  <si>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</si>
  <si>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</si>
  <si>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</si>
  <si>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</si>
  <si>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</si>
  <si>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</si>
  <si>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</si>
  <si>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</si>
  <si>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</si>
  <si>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</si>
  <si>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</si>
  <si>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</si>
  <si>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</si>
  <si>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</si>
  <si>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</si>
  <si>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</si>
  <si>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</si>
  <si>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</si>
  <si>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</si>
  <si>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</si>
  <si>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</si>
  <si>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</si>
  <si>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</si>
  <si>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</si>
  <si>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</si>
  <si>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</si>
  <si>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</si>
  <si>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</si>
  <si>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</si>
  <si>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</si>
  <si>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</si>
  <si>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</si>
  <si>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</si>
  <si>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</si>
  <si>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</si>
  <si>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</si>
  <si>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</si>
  <si>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</si>
  <si>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</si>
  <si>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</si>
  <si>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</si>
  <si>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</si>
  <si>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</si>
  <si>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</si>
  <si>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</si>
  <si>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</si>
  <si>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</si>
  <si>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</si>
  <si>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</si>
  <si>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</si>
  <si>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</si>
  <si>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</si>
  <si>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</si>
  <si>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</si>
  <si>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</si>
  <si>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</si>
  <si>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</si>
  <si>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</si>
  <si>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</si>
  <si>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</si>
  <si>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</si>
  <si>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</si>
  <si>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</si>
  <si>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</si>
  <si>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</si>
  <si>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</si>
  <si>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</si>
  <si>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</si>
  <si>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</si>
  <si>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</si>
  <si>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</si>
  <si>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</si>
  <si>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</si>
  <si>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</si>
  <si>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</si>
  <si>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</si>
  <si>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</si>
  <si>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</si>
  <si>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</si>
  <si>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</si>
  <si>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</si>
  <si>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</si>
  <si>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</si>
  <si>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</si>
  <si>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</si>
  <si>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</si>
  <si>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</si>
  <si>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</si>
  <si>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</si>
  <si>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</si>
  <si>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</si>
  <si>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</si>
  <si>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</si>
  <si>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</si>
  <si>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</si>
  <si>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</si>
  <si>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</si>
  <si>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</si>
  <si>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</si>
  <si>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</si>
  <si>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</si>
  <si>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</si>
  <si>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</si>
  <si>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</si>
  <si>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</si>
  <si>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</si>
  <si>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</si>
  <si>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</si>
  <si>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</si>
  <si>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</si>
  <si>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</si>
  <si>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</si>
  <si>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</si>
  <si>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</si>
  <si>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</si>
  <si>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</si>
  <si>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</si>
  <si>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facas quebrou</t>
  </si>
  <si>
    <t>12 viagens com caminhão</t>
  </si>
  <si>
    <t>troca de pino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</si>
  <si>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</si>
  <si>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</si>
  <si>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</si>
  <si>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</si>
  <si>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</si>
  <si>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</si>
  <si>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</si>
  <si>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</si>
  <si>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</si>
  <si>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</si>
  <si>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</si>
  <si>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</si>
  <si>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</si>
  <si>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</si>
  <si>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</si>
  <si>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</si>
  <si>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</si>
  <si>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</si>
  <si>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</si>
  <si>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</si>
  <si>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</si>
  <si>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</si>
  <si>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</si>
  <si>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</si>
  <si>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</si>
  <si>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</si>
  <si>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</si>
  <si>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</si>
  <si>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</si>
  <si>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</si>
  <si>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</si>
  <si>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</si>
  <si>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</si>
  <si>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</si>
  <si>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</si>
  <si>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</si>
  <si>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</si>
  <si>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</si>
  <si>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</si>
  <si>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</si>
  <si>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</si>
  <si>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</si>
  <si>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</si>
  <si>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</si>
  <si>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</si>
  <si>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</si>
  <si>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</si>
  <si>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</si>
  <si>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</si>
  <si>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</si>
  <si>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</si>
  <si>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</si>
  <si>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</si>
  <si>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</si>
  <si>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</si>
  <si>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</si>
  <si>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</si>
  <si>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</si>
  <si>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</si>
  <si>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</si>
  <si>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</si>
  <si>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</si>
  <si>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</si>
  <si>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</si>
  <si>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</si>
  <si>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</si>
  <si>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solda na grelha,ajuste no queixo</t>
  </si>
  <si>
    <t>foi feito um sevico de solda no moinho 4</t>
  </si>
  <si>
    <t xml:space="preserve">e troca de martelo 4/5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</si>
</sst>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2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24" fillId="3" borderId="2" xfId="0" applyFont="1" applyFill="1" applyBorder="1" applyAlignment="1">
      <alignment horizontal="center" vertical="center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3" sqref="G23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4836450</v>
      </c>
      <c r="D10" s="8">
        <f>IFERROR('Linha 1'!O190,"")</f>
        <v>728820</v>
      </c>
      <c r="E10" s="8">
        <f>IFERROR('Linha 2'!O190,"")</f>
        <v>343570</v>
      </c>
      <c r="F10" s="8">
        <f>IFERROR('Linha 3'!O190,"")</f>
        <v>1352150</v>
      </c>
      <c r="G10" s="9">
        <f t="shared" si="0"/>
        <v>2424540</v>
      </c>
    </row>
    <row r="11" spans="1:7" ht="15.75" customHeight="1">
      <c r="A11" s="10">
        <v>8</v>
      </c>
      <c r="B11" s="73">
        <v>46242</v>
      </c>
      <c r="C11" s="11">
        <f>IFERROR(Britador!O217,"")</f>
        <v>3244595</v>
      </c>
      <c r="D11" s="11">
        <f>IFERROR('Linha 1'!O217,"")</f>
        <v>1211130</v>
      </c>
      <c r="E11" s="11">
        <f>IFERROR('Linha 2'!O217,"")</f>
        <v>241230</v>
      </c>
      <c r="F11" s="11">
        <f>IFERROR('Linha 3'!O217,"")</f>
        <v>1397250</v>
      </c>
      <c r="G11" s="12">
        <f t="shared" si="0"/>
        <v>2849610</v>
      </c>
    </row>
    <row r="12" spans="1:7" ht="15.75" customHeight="1">
      <c r="A12" s="7">
        <v>9</v>
      </c>
      <c r="B12" s="72">
        <v>46243</v>
      </c>
      <c r="C12" s="8">
        <f>IFERROR(Britador!O244,"")</f>
        <v>3156630</v>
      </c>
      <c r="D12" s="8">
        <f>IFERROR('Linha 1'!O244,"")</f>
        <v>1329240</v>
      </c>
      <c r="E12" s="8">
        <f>IFERROR('Linha 2'!O244,"")</f>
        <v>682360</v>
      </c>
      <c r="F12" s="8">
        <f>IFERROR('Linha 3'!O244,"")</f>
        <v>1550470</v>
      </c>
      <c r="G12" s="9">
        <f t="shared" si="0"/>
        <v>3562070</v>
      </c>
    </row>
    <row r="13" spans="1:7" ht="15.75" customHeight="1">
      <c r="A13" s="10">
        <v>10</v>
      </c>
      <c r="B13" s="73">
        <v>46244</v>
      </c>
      <c r="C13" s="11">
        <f>IFERROR(Britador!O271,"")</f>
        <v>2149680</v>
      </c>
      <c r="D13" s="11">
        <f>IFERROR('Linha 1'!O271,"")</f>
        <v>898190</v>
      </c>
      <c r="E13" s="11">
        <f>IFERROR('Linha 2'!O271,"")</f>
        <v>549440</v>
      </c>
      <c r="F13" s="11">
        <f>IFERROR('Linha 3'!O271,"")</f>
        <v>803560</v>
      </c>
      <c r="G13" s="12">
        <f t="shared" si="0"/>
        <v>2251190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32587190</v>
      </c>
      <c r="D35" s="13">
        <f>IFERROR(SUM(D4:D34),"")</f>
        <v>10551290</v>
      </c>
      <c r="E35" s="13">
        <f>IFERROR(SUM(E4:E34),"")</f>
        <v>5109380</v>
      </c>
      <c r="F35" s="13">
        <f>IFERROR(SUM(F4:F34),"")</f>
        <v>13202780</v>
      </c>
      <c r="G35" s="13">
        <f>IFERROR(SUM(G4:G34),"")</f>
        <v>28863450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2" zoomScale="85" zoomScaleNormal="85" workbookViewId="0">
      <selection activeCell="M58" sqref="M58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3"/>
      <c r="I19" s="17" t="s">
        <v>116</v>
      </c>
      <c r="J19" s="17" t="s">
        <v>117</v>
      </c>
      <c r="K19" s="17" t="s">
        <v>118</v>
      </c>
      <c r="L19" s="17"/>
      <c r="M19" s="17" t="s">
        <v>119</v>
      </c>
    </row>
    <row r="20" spans="1:13" ht="15.75" customHeight="1">
      <c r="A20" s="16"/>
      <c r="C20" s="16"/>
      <c r="E20" s="16"/>
      <c r="G20" s="16" t="s">
        <v>120</v>
      </c>
      <c r="H20" s="113"/>
      <c r="I20" s="16"/>
      <c r="J20" s="16"/>
      <c r="K20" s="16" t="s">
        <v>121</v>
      </c>
      <c r="L20" s="16"/>
      <c r="M20" s="16" t="s">
        <v>122</v>
      </c>
    </row>
    <row r="21" spans="1:13" ht="15.75" customHeight="1">
      <c r="A21" s="17"/>
      <c r="C21" s="17"/>
      <c r="E21" s="17"/>
      <c r="G21" s="17" t="s">
        <v>123</v>
      </c>
      <c r="H21" s="113"/>
      <c r="I21" s="17"/>
      <c r="J21" s="17"/>
      <c r="K21" s="17" t="s">
        <v>124</v>
      </c>
      <c r="L21" s="17"/>
      <c r="M21" s="17" t="s">
        <v>125</v>
      </c>
    </row>
    <row r="22" spans="1:13" ht="15.75" customHeight="1">
      <c r="A22" s="16"/>
      <c r="C22" s="16"/>
      <c r="E22" s="16"/>
      <c r="G22" s="16" t="s">
        <v>126</v>
      </c>
      <c r="H22" s="113"/>
      <c r="I22" s="16"/>
      <c r="J22" s="16"/>
      <c r="K22" s="16" t="s">
        <v>127</v>
      </c>
      <c r="L22" s="16"/>
      <c r="M22" s="16" t="s">
        <v>128</v>
      </c>
    </row>
    <row r="23" spans="1:13" ht="15.75" customHeight="1">
      <c r="A23" s="17"/>
      <c r="C23" s="17"/>
      <c r="E23" s="17"/>
      <c r="G23" s="17" t="s">
        <v>129</v>
      </c>
      <c r="H23" s="113"/>
      <c r="I23" s="17"/>
      <c r="J23" s="17"/>
      <c r="K23" s="17" t="s">
        <v>130</v>
      </c>
      <c r="L23" s="17"/>
      <c r="M23" s="17" t="s">
        <v>131</v>
      </c>
    </row>
    <row r="24" spans="1:13" ht="15.75" customHeight="1">
      <c r="A24" s="16"/>
      <c r="C24" s="16"/>
      <c r="E24" s="16"/>
      <c r="G24" s="16" t="s">
        <v>132</v>
      </c>
      <c r="H24" s="113"/>
      <c r="I24" s="16"/>
      <c r="J24" s="16"/>
      <c r="K24" s="16" t="s">
        <v>133</v>
      </c>
      <c r="L24" s="16"/>
      <c r="M24" s="16" t="s">
        <v>134</v>
      </c>
    </row>
    <row r="25" spans="1:13" ht="15.75" customHeight="1">
      <c r="A25" s="17"/>
      <c r="C25" s="17"/>
      <c r="E25" s="17"/>
      <c r="G25" s="17" t="s">
        <v>135</v>
      </c>
      <c r="H25" s="113"/>
      <c r="I25" s="17"/>
      <c r="J25" s="17"/>
      <c r="K25" s="17" t="s">
        <v>136</v>
      </c>
      <c r="L25" s="17"/>
      <c r="M25" s="17" t="s">
        <v>137</v>
      </c>
    </row>
    <row r="26" spans="1:13" ht="15.75" customHeight="1">
      <c r="A26" s="16"/>
      <c r="C26" s="16"/>
      <c r="E26" s="16"/>
      <c r="G26" s="16" t="s">
        <v>138</v>
      </c>
      <c r="H26" s="113"/>
      <c r="I26" s="16"/>
      <c r="J26" s="16"/>
      <c r="K26" s="16" t="s">
        <v>139</v>
      </c>
      <c r="L26" s="16"/>
      <c r="M26" s="16"/>
    </row>
    <row r="27" spans="1:13" ht="15.75" customHeight="1">
      <c r="A27" s="17"/>
      <c r="C27" s="17"/>
      <c r="E27" s="17"/>
      <c r="G27" s="17" t="s">
        <v>140</v>
      </c>
      <c r="H27" s="113"/>
      <c r="I27" s="17"/>
      <c r="J27" s="17"/>
      <c r="K27" s="17" t="s">
        <v>131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141</v>
      </c>
      <c r="H28" s="113"/>
      <c r="I28" s="16"/>
      <c r="J28" s="16"/>
      <c r="K28" s="16" t="s">
        <v>134</v>
      </c>
      <c r="L28" s="16"/>
      <c r="M28" s="16" t="s">
        <v>142</v>
      </c>
    </row>
    <row r="29" spans="1:13" ht="15.75" customHeight="1">
      <c r="A29" s="17"/>
      <c r="C29" s="17"/>
      <c r="E29" s="17"/>
      <c r="G29" s="17" t="s">
        <v>143</v>
      </c>
      <c r="H29" s="113"/>
      <c r="I29" s="17"/>
      <c r="J29" s="17"/>
      <c r="K29" s="17" t="s">
        <v>144</v>
      </c>
      <c r="L29" s="17"/>
      <c r="M29" s="17" t="s">
        <v>145</v>
      </c>
    </row>
    <row r="30" spans="1:13" ht="15.75" customHeight="1">
      <c r="A30" s="16"/>
      <c r="C30" s="16"/>
      <c r="E30" s="16"/>
      <c r="G30" s="16" t="s">
        <v>146</v>
      </c>
      <c r="H30" s="113"/>
      <c r="I30" s="16"/>
      <c r="J30" s="16"/>
      <c r="K30" s="16" t="s">
        <v>147</v>
      </c>
      <c r="L30" s="16"/>
      <c r="M30" s="16" t="s">
        <v>148</v>
      </c>
    </row>
    <row r="31" spans="1:13" ht="15.75" customHeight="1">
      <c r="A31" s="17"/>
      <c r="C31" s="17"/>
      <c r="E31" s="17"/>
      <c r="G31" s="17" t="s">
        <v>149</v>
      </c>
      <c r="H31" s="113"/>
      <c r="I31" s="17"/>
      <c r="J31" s="17"/>
      <c r="K31" s="18" t="s">
        <v>150</v>
      </c>
      <c r="L31" s="17"/>
      <c r="M31" s="17" t="s">
        <v>151</v>
      </c>
    </row>
    <row r="32" spans="1:13" ht="15.75" customHeight="1">
      <c r="A32" s="16"/>
      <c r="C32" s="16"/>
      <c r="E32" s="16"/>
      <c r="G32" s="16" t="s">
        <v>152</v>
      </c>
      <c r="H32" s="113"/>
      <c r="I32" s="16"/>
      <c r="J32" s="16"/>
      <c r="K32" s="16" t="s">
        <v>153</v>
      </c>
      <c r="L32" s="16"/>
      <c r="M32" t="s">
        <v>154</v>
      </c>
    </row>
    <row r="33" spans="1:13" ht="15.75" customHeight="1">
      <c r="A33" s="17"/>
      <c r="C33" s="17"/>
      <c r="E33" s="17"/>
      <c r="G33" s="17" t="s">
        <v>155</v>
      </c>
      <c r="H33" s="113"/>
      <c r="I33" s="17"/>
      <c r="J33" s="17"/>
      <c r="K33" s="18" t="s">
        <v>156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157</v>
      </c>
      <c r="H34" s="113"/>
      <c r="I34" s="16"/>
      <c r="J34" s="16"/>
      <c r="K34" s="16" t="s">
        <v>79</v>
      </c>
      <c r="L34" s="16"/>
      <c r="M34" s="16" t="s">
        <v>158</v>
      </c>
    </row>
    <row r="35" spans="1:13" ht="15.75" customHeight="1">
      <c r="A35" s="17"/>
      <c r="C35" s="17"/>
      <c r="E35" s="17"/>
      <c r="G35" s="17" t="s">
        <v>159</v>
      </c>
      <c r="H35" s="113"/>
      <c r="I35" s="17"/>
      <c r="J35" s="17"/>
      <c r="K35" s="17" t="s">
        <v>160</v>
      </c>
      <c r="L35" s="17"/>
      <c r="M35" s="17" t="s">
        <v>161</v>
      </c>
    </row>
    <row r="36" spans="1:13" ht="15.75" customHeight="1">
      <c r="A36" s="16"/>
      <c r="C36" s="16"/>
      <c r="E36" s="16"/>
      <c r="G36" s="16" t="s">
        <v>162</v>
      </c>
      <c r="H36" s="113"/>
      <c r="I36" s="16"/>
      <c r="J36" s="16"/>
      <c r="K36" s="16" t="s">
        <v>163</v>
      </c>
      <c r="L36" s="16"/>
      <c r="M36" s="16" t="s">
        <v>164</v>
      </c>
    </row>
    <row r="37" spans="1:13" ht="15.75" customHeight="1">
      <c r="A37" s="17"/>
      <c r="C37" s="17"/>
      <c r="E37" s="17"/>
      <c r="G37" s="17" t="s">
        <v>165</v>
      </c>
      <c r="H37" s="113"/>
      <c r="I37" s="17"/>
      <c r="J37" s="17"/>
      <c r="K37" s="17" t="s">
        <v>166</v>
      </c>
      <c r="L37" s="17"/>
      <c r="M37" s="17" t="s">
        <v>167</v>
      </c>
    </row>
    <row r="38" spans="1:13" ht="15.75" customHeight="1">
      <c r="A38" s="16"/>
      <c r="C38" s="16"/>
      <c r="E38" s="16"/>
      <c r="G38" s="16" t="s">
        <v>168</v>
      </c>
      <c r="H38" s="113"/>
      <c r="I38" s="16"/>
      <c r="J38" s="16"/>
      <c r="K38" s="16" t="s">
        <v>169</v>
      </c>
      <c r="L38" s="16"/>
      <c r="M38" s="16" t="s">
        <v>170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171</v>
      </c>
      <c r="L39" s="17"/>
      <c r="M39" s="17" t="s">
        <v>172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173</v>
      </c>
      <c r="L40" s="16"/>
      <c r="M40" s="16" t="s">
        <v>174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175</v>
      </c>
      <c r="L41" s="17"/>
      <c r="M41" s="17" t="s">
        <v>176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177</v>
      </c>
      <c r="L42" s="16"/>
      <c r="M42" s="16" t="s">
        <v>178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179</v>
      </c>
      <c r="L43" s="17"/>
      <c r="M43" s="17" t="s">
        <v>180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181</v>
      </c>
      <c r="L44" s="16"/>
      <c r="M44" s="16" t="s">
        <v>182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183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184</v>
      </c>
      <c r="L46" s="16"/>
      <c r="M46" s="16" t="s">
        <v>185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186</v>
      </c>
      <c r="L47" s="17"/>
      <c r="M47" s="17" t="s">
        <v>187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188</v>
      </c>
      <c r="L48" s="16"/>
      <c r="M48" s="16" t="s">
        <v>189</v>
      </c>
    </row>
    <row r="49" spans="1:13" ht="18" customHeight="1">
      <c r="H49" s="113"/>
      <c r="I49" s="17"/>
      <c r="J49" s="17"/>
      <c r="K49" s="17" t="s">
        <v>190</v>
      </c>
      <c r="L49" s="17"/>
      <c r="M49" s="17" t="s">
        <v>191</v>
      </c>
    </row>
    <row r="50" spans="1:13" ht="21" customHeight="1">
      <c r="A50" s="19" t="s">
        <v>192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193</v>
      </c>
      <c r="L50" s="16"/>
      <c r="M50" s="16" t="s">
        <v>194</v>
      </c>
    </row>
    <row r="51" spans="1:13" ht="24" customHeight="1">
      <c r="H51" s="113"/>
      <c r="I51" s="17"/>
      <c r="J51" s="17"/>
      <c r="K51" s="17" t="s">
        <v>195</v>
      </c>
      <c r="L51" s="17"/>
      <c r="M51" s="17" t="s">
        <v>196</v>
      </c>
    </row>
    <row r="52" spans="1:13" ht="24" customHeight="1">
      <c r="H52" s="113"/>
      <c r="I52" s="16"/>
      <c r="J52" s="16"/>
      <c r="K52" s="16" t="s">
        <v>197</v>
      </c>
      <c r="L52" s="16"/>
      <c r="M52" s="16" t="s">
        <v>198</v>
      </c>
    </row>
    <row r="53" spans="1:13" ht="36" customHeight="1">
      <c r="H53" s="113"/>
      <c r="I53" s="17"/>
      <c r="J53" s="17"/>
      <c r="K53" s="17" t="s">
        <v>199</v>
      </c>
      <c r="L53" s="17"/>
      <c r="M53" s="17" t="s">
        <v>200</v>
      </c>
    </row>
    <row r="54" spans="1:13" ht="15" customHeight="1">
      <c r="H54" s="113"/>
      <c r="I54" s="16"/>
      <c r="J54" s="16"/>
      <c r="K54" s="16" t="s">
        <v>201</v>
      </c>
      <c r="L54" s="16"/>
      <c r="M54" s="16" t="s">
        <v>202</v>
      </c>
    </row>
    <row r="55" spans="1:13" ht="15" customHeight="1">
      <c r="H55" s="113"/>
      <c r="I55" s="17"/>
      <c r="J55" s="17"/>
      <c r="K55" s="17" t="s">
        <v>203</v>
      </c>
      <c r="L55" s="17"/>
      <c r="M55" s="17" t="s">
        <v>204</v>
      </c>
    </row>
    <row r="56" spans="1:13" ht="15" customHeight="1">
      <c r="H56" s="113"/>
      <c r="I56" s="16"/>
      <c r="J56" s="16"/>
      <c r="K56" s="16" t="s">
        <v>205</v>
      </c>
      <c r="L56" s="16"/>
      <c r="M56" s="16" t="s">
        <v>206</v>
      </c>
    </row>
    <row r="57" spans="1:13" ht="15" customHeight="1">
      <c r="H57" s="113"/>
      <c r="I57" s="17"/>
      <c r="J57" s="17"/>
      <c r="K57" s="17" t="s">
        <v>50</v>
      </c>
      <c r="L57" s="17"/>
      <c r="M57" s="17" t="s">
        <v>207</v>
      </c>
    </row>
    <row r="58" spans="1:13" ht="15" customHeight="1">
      <c r="H58" s="113"/>
      <c r="I58" s="16"/>
      <c r="J58" s="16"/>
      <c r="K58" s="16" t="s">
        <v>208</v>
      </c>
      <c r="L58" s="16"/>
      <c r="M58" s="16"/>
    </row>
    <row r="59" spans="1:13" ht="15" customHeight="1">
      <c r="H59" s="113"/>
      <c r="I59" s="17"/>
      <c r="J59" s="17"/>
      <c r="K59" s="17" t="s">
        <v>209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210</v>
      </c>
      <c r="L61" s="17"/>
      <c r="M61" s="17"/>
    </row>
    <row r="62" spans="1:13" ht="15" customHeight="1">
      <c r="H62" s="113"/>
      <c r="I62" s="16"/>
      <c r="J62" s="16"/>
      <c r="K62" s="16" t="s">
        <v>211</v>
      </c>
      <c r="L62" s="16"/>
      <c r="M62" s="16"/>
    </row>
    <row r="63" spans="1:13" ht="15" customHeight="1">
      <c r="H63" s="113"/>
      <c r="I63" s="17"/>
      <c r="J63" s="17"/>
      <c r="K63" s="17" t="s">
        <v>212</v>
      </c>
      <c r="L63" s="17"/>
      <c r="M63" s="17"/>
    </row>
    <row r="64" spans="1:13" ht="15" customHeight="1">
      <c r="H64" s="113"/>
      <c r="I64" s="16"/>
      <c r="J64" s="16"/>
      <c r="K64" s="16" t="s">
        <v>213</v>
      </c>
      <c r="L64" s="16"/>
      <c r="M64" s="16"/>
    </row>
    <row r="65" spans="8:13" ht="15" customHeight="1">
      <c r="H65" s="113"/>
      <c r="I65" s="17"/>
      <c r="J65" s="17"/>
      <c r="K65" s="17" t="s">
        <v>214</v>
      </c>
      <c r="L65" s="17"/>
      <c r="M65" s="17"/>
    </row>
    <row r="66" spans="8:13" ht="15" customHeight="1">
      <c r="H66" s="113"/>
      <c r="I66" s="16"/>
      <c r="J66" s="16"/>
      <c r="K66" s="16" t="s">
        <v>215</v>
      </c>
      <c r="L66" s="16"/>
      <c r="M66" s="16"/>
    </row>
    <row r="67" spans="8:13" ht="15" customHeight="1">
      <c r="H67" s="113"/>
      <c r="I67" s="17"/>
      <c r="J67" s="17"/>
      <c r="K67" s="17" t="s">
        <v>216</v>
      </c>
      <c r="L67" s="17"/>
      <c r="M67" s="17"/>
    </row>
    <row r="68" spans="8:13" ht="15" customHeight="1">
      <c r="H68" s="113"/>
      <c r="I68" s="16"/>
      <c r="J68" s="16"/>
      <c r="K68" s="16" t="s">
        <v>217</v>
      </c>
      <c r="L68" s="16"/>
      <c r="M68" s="16"/>
    </row>
    <row r="69" spans="8:13" ht="15" customHeight="1">
      <c r="H69" s="113"/>
      <c r="I69" s="17"/>
      <c r="J69" s="17"/>
      <c r="K69" s="17" t="s">
        <v>218</v>
      </c>
      <c r="L69" s="17"/>
      <c r="M69" s="17"/>
    </row>
    <row r="70" spans="8:13" ht="15" customHeight="1">
      <c r="H70" s="113"/>
      <c r="I70" s="16"/>
      <c r="J70" s="16"/>
      <c r="K70" s="16" t="s">
        <v>219</v>
      </c>
      <c r="L70" s="16"/>
      <c r="M70" s="16"/>
    </row>
    <row r="71" spans="8:13" ht="15" customHeight="1">
      <c r="H71" s="113"/>
      <c r="I71" s="17"/>
      <c r="J71" s="17"/>
      <c r="K71" s="17" t="s">
        <v>220</v>
      </c>
      <c r="L71" s="17"/>
      <c r="M71" s="17"/>
    </row>
    <row r="72" spans="8:13" ht="15" customHeight="1">
      <c r="H72" s="113"/>
      <c r="I72" s="16"/>
      <c r="J72" s="16"/>
      <c r="K72" s="16" t="s">
        <v>221</v>
      </c>
      <c r="L72" s="16"/>
      <c r="M72" s="16"/>
    </row>
    <row r="73" spans="8:13" ht="15" customHeight="1">
      <c r="H73" s="113"/>
      <c r="I73" s="17"/>
      <c r="J73" s="17"/>
      <c r="K73" s="17" t="s">
        <v>222</v>
      </c>
      <c r="L73" s="17"/>
      <c r="M73" s="17"/>
    </row>
    <row r="74" spans="8:13" ht="15" customHeight="1">
      <c r="H74" s="113"/>
      <c r="I74" s="16"/>
      <c r="J74" s="16"/>
      <c r="K74" s="16" t="s">
        <v>223</v>
      </c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60" zoomScaleNormal="60" workbookViewId="0">
      <pane ySplit="1" topLeftCell="A234" activePane="bottomLeft" state="frozen"/>
      <selection pane="bottomLeft" activeCell="F265" sqref="F265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234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234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234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234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234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234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234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234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234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234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234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234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6" t="s">
        <v>235</v>
      </c>
      <c r="B14" s="107"/>
      <c r="C14" s="107"/>
      <c r="D14" s="107"/>
      <c r="E14" s="108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236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234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131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234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234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237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234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234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234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234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234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234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234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234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234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6" t="s">
        <v>238</v>
      </c>
      <c r="B27" s="107"/>
      <c r="C27" s="107"/>
      <c r="D27" s="107"/>
      <c r="E27" s="108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236</v>
      </c>
      <c r="O27" s="39">
        <v>997910</v>
      </c>
    </row>
    <row r="28" spans="1:15" ht="18" customHeight="1">
      <c r="A28" s="103" t="s">
        <v>239</v>
      </c>
      <c r="B28" s="104"/>
      <c r="C28" s="104"/>
      <c r="D28" s="104"/>
      <c r="E28" s="10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240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234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156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234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130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241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234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237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234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234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234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234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234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234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234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6" t="s">
        <v>235</v>
      </c>
      <c r="B41" s="107"/>
      <c r="C41" s="107"/>
      <c r="D41" s="107"/>
      <c r="E41" s="108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236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234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242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234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234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234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234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234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234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234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234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6" t="s">
        <v>238</v>
      </c>
      <c r="B54" s="107"/>
      <c r="C54" s="107"/>
      <c r="D54" s="107"/>
      <c r="E54" s="108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236</v>
      </c>
      <c r="O54" s="39">
        <v>981310</v>
      </c>
    </row>
    <row r="55" spans="1:15" ht="18" customHeight="1">
      <c r="A55" s="103" t="s">
        <v>239</v>
      </c>
      <c r="B55" s="104"/>
      <c r="C55" s="104"/>
      <c r="D55" s="104"/>
      <c r="E55" s="10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240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234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156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234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134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234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234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234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234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234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234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234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234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234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234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6" t="s">
        <v>235</v>
      </c>
      <c r="B68" s="107"/>
      <c r="C68" s="107"/>
      <c r="D68" s="107"/>
      <c r="E68" s="108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236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234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234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243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234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234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234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234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234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234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234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234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234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6" t="s">
        <v>238</v>
      </c>
      <c r="B81" s="107"/>
      <c r="C81" s="107"/>
      <c r="D81" s="107"/>
      <c r="E81" s="108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236</v>
      </c>
      <c r="O81" s="39">
        <v>1547910</v>
      </c>
    </row>
    <row r="82" spans="1:15" ht="18" customHeight="1">
      <c r="A82" s="103" t="s">
        <v>239</v>
      </c>
      <c r="B82" s="104"/>
      <c r="C82" s="104"/>
      <c r="D82" s="104"/>
      <c r="E82" s="10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240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234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234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134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234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145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244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234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234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234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234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234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234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234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234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6" t="s">
        <v>235</v>
      </c>
      <c r="B95" s="107"/>
      <c r="C95" s="107"/>
      <c r="D95" s="107"/>
      <c r="E95" s="108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236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234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234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234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234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234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234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245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234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234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234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234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234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6" t="s">
        <v>238</v>
      </c>
      <c r="B108" s="107"/>
      <c r="C108" s="107"/>
      <c r="D108" s="107"/>
      <c r="E108" s="108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236</v>
      </c>
      <c r="O108" s="39">
        <v>3156240</v>
      </c>
    </row>
    <row r="109" spans="1:15" ht="18" customHeight="1">
      <c r="A109" s="103" t="s">
        <v>239</v>
      </c>
      <c r="B109" s="104"/>
      <c r="C109" s="104"/>
      <c r="D109" s="104"/>
      <c r="E109" s="105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240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234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234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234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234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234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234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6" t="s">
        <v>235</v>
      </c>
      <c r="B122" s="107"/>
      <c r="C122" s="107"/>
      <c r="D122" s="107"/>
      <c r="E122" s="108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236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234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234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234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234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234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234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234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234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234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234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234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234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6" t="s">
        <v>238</v>
      </c>
      <c r="B135" s="107"/>
      <c r="C135" s="107"/>
      <c r="D135" s="107"/>
      <c r="E135" s="108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236</v>
      </c>
      <c r="O135" s="39">
        <v>2875180</v>
      </c>
    </row>
    <row r="136" spans="1:15" ht="18" customHeight="1">
      <c r="A136" s="103" t="s">
        <v>239</v>
      </c>
      <c r="B136" s="104"/>
      <c r="C136" s="104"/>
      <c r="D136" s="104"/>
      <c r="E136" s="105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240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234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246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234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234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234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234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234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234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234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234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234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234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6" t="s">
        <v>235</v>
      </c>
      <c r="B149" s="107"/>
      <c r="C149" s="107"/>
      <c r="D149" s="107"/>
      <c r="E149" s="108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236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234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134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234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247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234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134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234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234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145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234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234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234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234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234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234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238</v>
      </c>
      <c r="B162" s="107"/>
      <c r="C162" s="107"/>
      <c r="D162" s="107"/>
      <c r="E162" s="108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236</v>
      </c>
      <c r="O162" s="44">
        <v>842000</v>
      </c>
    </row>
    <row r="163" spans="1:15" ht="18" customHeight="1">
      <c r="A163" s="103" t="s">
        <v>239</v>
      </c>
      <c r="B163" s="104"/>
      <c r="C163" s="104"/>
      <c r="D163" s="104"/>
      <c r="E163" s="105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240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234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223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248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234</v>
      </c>
      <c r="F165" s="27">
        <v>35</v>
      </c>
      <c r="G165" s="34">
        <f t="shared" si="36"/>
        <v>175</v>
      </c>
      <c r="H165" s="33" t="s">
        <v>16</v>
      </c>
      <c r="I165" s="33" t="s">
        <v>23</v>
      </c>
      <c r="J165" s="33" t="s">
        <v>116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234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234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234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234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234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234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234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234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234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234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235</v>
      </c>
      <c r="B176" s="107"/>
      <c r="C176" s="107"/>
      <c r="D176" s="107"/>
      <c r="E176" s="108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236</v>
      </c>
      <c r="O176" s="39">
        <v>2934820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234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17</v>
      </c>
      <c r="I177" s="33" t="s">
        <v>23</v>
      </c>
      <c r="J177" s="33" t="s">
        <v>87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249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234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234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234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234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234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234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234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234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234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234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238</v>
      </c>
      <c r="B189" s="107"/>
      <c r="C189" s="107"/>
      <c r="D189" s="107"/>
      <c r="E189" s="108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236</v>
      </c>
      <c r="O189" s="39">
        <v>1901630</v>
      </c>
    </row>
    <row r="190" spans="1:15" ht="18" customHeight="1">
      <c r="A190" s="103" t="s">
        <v>239</v>
      </c>
      <c r="B190" s="104"/>
      <c r="C190" s="104"/>
      <c r="D190" s="104"/>
      <c r="E190" s="105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240</v>
      </c>
      <c r="O190" s="43">
        <f>IFERROR(O176+O189,"")</f>
        <v>4836450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234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20</v>
      </c>
      <c r="I191" s="33" t="s">
        <v>23</v>
      </c>
      <c r="J191" s="33" t="s">
        <v>36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234</v>
      </c>
      <c r="F192" s="27">
        <v>15</v>
      </c>
      <c r="G192" s="28">
        <f t="shared" si="42"/>
        <v>75</v>
      </c>
      <c r="H192" s="26" t="s">
        <v>20</v>
      </c>
      <c r="I192" s="26" t="s">
        <v>23</v>
      </c>
      <c r="J192" s="26" t="s">
        <v>36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234</v>
      </c>
      <c r="F193" s="27">
        <v>20</v>
      </c>
      <c r="G193" s="34">
        <f t="shared" si="42"/>
        <v>100</v>
      </c>
      <c r="H193" s="33" t="s">
        <v>20</v>
      </c>
      <c r="I193" s="33" t="s">
        <v>23</v>
      </c>
      <c r="J193" s="33" t="s">
        <v>36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251</v>
      </c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234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234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234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234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234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234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234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234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234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235</v>
      </c>
      <c r="B203" s="107"/>
      <c r="C203" s="107"/>
      <c r="D203" s="107"/>
      <c r="E203" s="108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236</v>
      </c>
      <c r="O203" s="45">
        <v>1392300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234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234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234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234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234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234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234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234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234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234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234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234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6" t="s">
        <v>238</v>
      </c>
      <c r="B216" s="107"/>
      <c r="C216" s="107"/>
      <c r="D216" s="107"/>
      <c r="E216" s="108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236</v>
      </c>
      <c r="O216" s="45">
        <v>1852295</v>
      </c>
    </row>
    <row r="217" spans="1:15" ht="18" customHeight="1">
      <c r="A217" s="103" t="s">
        <v>239</v>
      </c>
      <c r="B217" s="104"/>
      <c r="C217" s="104"/>
      <c r="D217" s="104"/>
      <c r="E217" s="105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240</v>
      </c>
      <c r="O217" s="48">
        <f>IFERROR(O203+O216,"")</f>
        <v>3244595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234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18</v>
      </c>
      <c r="I218" s="26" t="s">
        <v>23</v>
      </c>
      <c r="J218" s="26" t="s">
        <v>166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234</v>
      </c>
      <c r="F219" s="27">
        <v>45</v>
      </c>
      <c r="G219" s="34">
        <f t="shared" si="48"/>
        <v>225</v>
      </c>
      <c r="H219" s="33" t="s">
        <v>20</v>
      </c>
      <c r="I219" s="33" t="s">
        <v>23</v>
      </c>
      <c r="J219" s="33" t="s">
        <v>44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234</v>
      </c>
      <c r="F220" s="27">
        <v>30</v>
      </c>
      <c r="G220" s="28">
        <f t="shared" si="48"/>
        <v>150</v>
      </c>
      <c r="H220" s="26" t="s">
        <v>20</v>
      </c>
      <c r="I220" s="26" t="s">
        <v>23</v>
      </c>
      <c r="J220" s="26" t="s">
        <v>202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252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234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234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234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234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234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234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15" t="s">
        <v>235</v>
      </c>
      <c r="B230" s="116"/>
      <c r="C230" s="116"/>
      <c r="D230" s="116"/>
      <c r="E230" s="117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236</v>
      </c>
      <c r="O230" s="39">
        <v>2165620</v>
      </c>
    </row>
    <row r="231" spans="1:21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234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20</v>
      </c>
      <c r="I231" s="33" t="s">
        <v>23</v>
      </c>
      <c r="J231" s="33" t="s">
        <v>202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37</v>
      </c>
      <c r="G232" s="28">
        <f t="shared" si="51"/>
        <v>185</v>
      </c>
      <c r="H232" s="26" t="s">
        <v>20</v>
      </c>
      <c r="I232" s="26" t="s">
        <v>23</v>
      </c>
      <c r="J232" s="26" t="s">
        <v>145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234</v>
      </c>
      <c r="F233" s="27">
        <v>16</v>
      </c>
      <c r="G233" s="34">
        <f t="shared" si="51"/>
        <v>80</v>
      </c>
      <c r="H233" s="33" t="s">
        <v>20</v>
      </c>
      <c r="I233" s="33" t="s">
        <v>23</v>
      </c>
      <c r="J233" s="33" t="s">
        <v>145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253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253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253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253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253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253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253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253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253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6" t="s">
        <v>238</v>
      </c>
      <c r="B243" s="107"/>
      <c r="C243" s="107"/>
      <c r="D243" s="107"/>
      <c r="E243" s="108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236</v>
      </c>
      <c r="O243" s="39">
        <v>991010</v>
      </c>
    </row>
    <row r="244" spans="1:15" ht="18" customHeight="1">
      <c r="A244" s="103" t="s">
        <v>239</v>
      </c>
      <c r="B244" s="104"/>
      <c r="C244" s="104"/>
      <c r="D244" s="104"/>
      <c r="E244" s="105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240</v>
      </c>
      <c r="O244" s="48">
        <f>IFERROR(O230+O243,"")</f>
        <v>3156630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1</v>
      </c>
      <c r="G245" s="28">
        <f t="shared" ref="G245:G256" si="54">IF(F245="","",IF(E245="PC 17",F245*4.2,IF(E245="PC 19",F245*5,IF(E245="CB",F245*35,""))))</f>
        <v>5</v>
      </c>
      <c r="H245" s="33" t="s">
        <v>20</v>
      </c>
      <c r="I245" s="33" t="s">
        <v>23</v>
      </c>
      <c r="J245" s="33" t="s">
        <v>207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2</v>
      </c>
      <c r="G246" s="34">
        <f t="shared" si="54"/>
        <v>10</v>
      </c>
      <c r="H246" s="33" t="s">
        <v>20</v>
      </c>
      <c r="I246" s="26" t="s">
        <v>23</v>
      </c>
      <c r="J246" s="33" t="s">
        <v>68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3</v>
      </c>
      <c r="G247" s="28">
        <f t="shared" si="54"/>
        <v>15</v>
      </c>
      <c r="H247" s="33" t="s">
        <v>19</v>
      </c>
      <c r="I247" s="33" t="s">
        <v>23</v>
      </c>
      <c r="J247" s="33" t="s">
        <v>67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 t="s">
        <v>254</v>
      </c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22</v>
      </c>
      <c r="E248" s="59" t="s">
        <v>234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22</v>
      </c>
      <c r="E249" s="59" t="s">
        <v>234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255</v>
      </c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234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234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234</v>
      </c>
      <c r="F252" s="27">
        <v>37</v>
      </c>
      <c r="G252" s="34">
        <f t="shared" si="54"/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234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234</v>
      </c>
      <c r="F254" s="27">
        <v>49</v>
      </c>
      <c r="G254" s="34">
        <f t="shared" si="54"/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234</v>
      </c>
      <c r="F255" s="27">
        <v>40</v>
      </c>
      <c r="G255" s="28">
        <f t="shared" si="54"/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234</v>
      </c>
      <c r="F256" s="27">
        <v>0</v>
      </c>
      <c r="G256" s="34">
        <f t="shared" si="54"/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6" t="s">
        <v>235</v>
      </c>
      <c r="B257" s="107"/>
      <c r="C257" s="107"/>
      <c r="D257" s="107"/>
      <c r="E257" s="108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236</v>
      </c>
      <c r="O257" s="39">
        <v>2149680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234</v>
      </c>
      <c r="F258" s="27">
        <v>0</v>
      </c>
      <c r="G258" s="34">
        <f t="shared" ref="G258:G269" si="57">IF(F258="","",IF(E258="PC 17",F258*4.2,IF(E258="PC 19",F258*5,IF(E258="CB",F258*35,""))))</f>
        <v>0</v>
      </c>
      <c r="H258" s="26" t="s">
        <v>19</v>
      </c>
      <c r="I258" s="26" t="s">
        <v>23</v>
      </c>
      <c r="J258" s="26" t="s">
        <v>89</v>
      </c>
      <c r="K258" s="29">
        <v>0.79652777777777772</v>
      </c>
      <c r="L258" s="29">
        <v>0.84652777777777777</v>
      </c>
      <c r="M258" s="30">
        <f t="shared" ref="M258:M269" ca="1" si="58">IFERROR(IF(K258="","",IF(L258="",MOD(NOW()-K258,1),IF(L258&gt;=K258,L258-K258,L258+1-K258))),"")</f>
        <v>5.0000000000000044E-2</v>
      </c>
      <c r="N258" s="46" t="s">
        <v>256</v>
      </c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234</v>
      </c>
      <c r="F259" s="27">
        <v>15</v>
      </c>
      <c r="G259" s="28">
        <f t="shared" si="57"/>
        <v>75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234</v>
      </c>
      <c r="F260" s="27">
        <v>10</v>
      </c>
      <c r="G260" s="34">
        <f t="shared" si="57"/>
        <v>50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234</v>
      </c>
      <c r="F261" s="27">
        <v>10</v>
      </c>
      <c r="G261" s="28">
        <f t="shared" si="57"/>
        <v>50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234</v>
      </c>
      <c r="F262" s="27">
        <v>20</v>
      </c>
      <c r="G262" s="34">
        <f t="shared" si="57"/>
        <v>100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234</v>
      </c>
      <c r="F263" s="27">
        <v>15</v>
      </c>
      <c r="G263" s="28">
        <f t="shared" si="57"/>
        <v>75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234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234</v>
      </c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234</v>
      </c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234</v>
      </c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234</v>
      </c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234</v>
      </c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6" t="s">
        <v>238</v>
      </c>
      <c r="B270" s="107"/>
      <c r="C270" s="107"/>
      <c r="D270" s="107"/>
      <c r="E270" s="108">
        <f>SUM(E258:E269)</f>
        <v>0</v>
      </c>
      <c r="F270" s="36">
        <f>SUM(F258:F269)</f>
        <v>93</v>
      </c>
      <c r="G270" s="36">
        <f>SUM(G258:G269)</f>
        <v>465</v>
      </c>
      <c r="H270" s="37"/>
      <c r="I270" s="37"/>
      <c r="J270" s="37"/>
      <c r="K270" s="37"/>
      <c r="L270" s="37"/>
      <c r="M270" s="38">
        <f ca="1">IFERROR(SUM(M258:M269),"")</f>
        <v>5.0000000000000044E-2</v>
      </c>
      <c r="N270" s="36" t="s">
        <v>236</v>
      </c>
      <c r="O270" s="39"/>
    </row>
    <row r="271" spans="1:15" ht="18" customHeight="1">
      <c r="A271" s="103" t="s">
        <v>239</v>
      </c>
      <c r="B271" s="104"/>
      <c r="C271" s="104"/>
      <c r="D271" s="104"/>
      <c r="E271" s="105">
        <f>E257+E270</f>
        <v>0</v>
      </c>
      <c r="F271" s="40">
        <f>F257+F270</f>
        <v>377</v>
      </c>
      <c r="G271" s="40">
        <f>G257+G270</f>
        <v>1885</v>
      </c>
      <c r="H271" s="41"/>
      <c r="I271" s="41"/>
      <c r="J271" s="41"/>
      <c r="K271" s="41"/>
      <c r="L271" s="41"/>
      <c r="M271" s="42">
        <f ca="1">IFERROR(M257+M270,"")</f>
        <v>0.10555555555555562</v>
      </c>
      <c r="N271" s="40" t="s">
        <v>240</v>
      </c>
      <c r="O271" s="48">
        <f>IFERROR(O257+O270,"")</f>
        <v>2149680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6" t="s">
        <v>235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236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6" t="s">
        <v>238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39"/>
    </row>
    <row r="298" spans="1:15" ht="18" customHeight="1">
      <c r="A298" s="103" t="s">
        <v>239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240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6" t="s">
        <v>235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6" t="s">
        <v>238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3" t="s">
        <v>239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6" t="s">
        <v>235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6" t="s">
        <v>238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3" t="s">
        <v>239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6" t="s">
        <v>235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6" t="s">
        <v>238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3" t="s">
        <v>239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6" t="s">
        <v>235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6" t="s">
        <v>238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3" t="s">
        <v>239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6" t="s">
        <v>235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6" t="s">
        <v>238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/>
    </row>
    <row r="433" spans="1:15" ht="18" customHeight="1">
      <c r="A433" s="103" t="s">
        <v>239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6" t="s">
        <v>235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6" t="s">
        <v>238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3" t="s">
        <v>239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6" t="s">
        <v>235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6" t="s">
        <v>238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3" t="s">
        <v>239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6" t="s">
        <v>235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6" t="s">
        <v>238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3" t="s">
        <v>239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6" t="s">
        <v>235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6" t="s">
        <v>238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3" t="s">
        <v>239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6" t="s">
        <v>235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6" t="s">
        <v>238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3" t="s">
        <v>239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6" t="s">
        <v>235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6" t="s">
        <v>238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3" t="s">
        <v>239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6" t="s">
        <v>235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6" t="s">
        <v>238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3" t="s">
        <v>239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6" t="s">
        <v>235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6" t="s">
        <v>238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3" t="s">
        <v>239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6" t="s">
        <v>235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6" t="s">
        <v>238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3" t="s">
        <v>239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6" t="s">
        <v>235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6" t="s">
        <v>238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3" t="s">
        <v>239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6" t="s">
        <v>235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6" t="s">
        <v>238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3" t="s">
        <v>239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6" t="s">
        <v>235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6" t="s">
        <v>238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3" t="s">
        <v>239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6" t="s">
        <v>235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6" t="s">
        <v>238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3" t="s">
        <v>239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6" t="s">
        <v>235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6" t="s">
        <v>238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18" t="s">
        <v>239</v>
      </c>
      <c r="B811" s="119"/>
      <c r="C811" s="119"/>
      <c r="D811" s="119"/>
      <c r="E811" s="120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6" t="s">
        <v>235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6" t="s">
        <v>238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3" t="s">
        <v>239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D57:D229 D231:D900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235" activePane="bottomLeft" state="frozen"/>
      <selection pane="bottomLeft" activeCell="F265" sqref="F265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48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159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257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130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258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259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131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131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6" t="s">
        <v>235</v>
      </c>
      <c r="B14" s="107"/>
      <c r="C14" s="107"/>
      <c r="D14" s="107"/>
      <c r="E14" s="108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236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250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250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250</v>
      </c>
      <c r="F17" s="27">
        <v>26</v>
      </c>
      <c r="G17" s="34">
        <f t="shared" si="3"/>
        <v>109.2</v>
      </c>
      <c r="H17" s="33" t="s">
        <v>17</v>
      </c>
      <c r="I17" s="33" t="s">
        <v>135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250</v>
      </c>
      <c r="F18" s="27">
        <v>1</v>
      </c>
      <c r="G18" s="34">
        <f t="shared" si="3"/>
        <v>4.2</v>
      </c>
      <c r="H18" s="26" t="s">
        <v>20</v>
      </c>
      <c r="I18" s="26" t="s">
        <v>157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250</v>
      </c>
      <c r="F19" s="27">
        <v>1</v>
      </c>
      <c r="G19" s="34">
        <f t="shared" si="3"/>
        <v>4.2</v>
      </c>
      <c r="H19" s="33" t="s">
        <v>17</v>
      </c>
      <c r="I19" s="33" t="s">
        <v>135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260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250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261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250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250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250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250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250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250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6" t="s">
        <v>238</v>
      </c>
      <c r="B27" s="107"/>
      <c r="C27" s="107"/>
      <c r="D27" s="107"/>
      <c r="E27" s="108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236</v>
      </c>
      <c r="O27" s="77">
        <v>549860</v>
      </c>
    </row>
    <row r="28" spans="1:15" ht="18" customHeight="1">
      <c r="A28" s="103" t="s">
        <v>239</v>
      </c>
      <c r="B28" s="104"/>
      <c r="C28" s="104"/>
      <c r="D28" s="104"/>
      <c r="E28" s="105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240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250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157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250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250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250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250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250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250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250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250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250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250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250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6" t="s">
        <v>235</v>
      </c>
      <c r="B41" s="107"/>
      <c r="C41" s="107"/>
      <c r="D41" s="107"/>
      <c r="E41" s="108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236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250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250</v>
      </c>
      <c r="F45" s="27">
        <v>3</v>
      </c>
      <c r="G45" s="28">
        <f t="shared" si="9"/>
        <v>12.600000000000001</v>
      </c>
      <c r="H45" s="33" t="s">
        <v>20</v>
      </c>
      <c r="I45" s="33" t="s">
        <v>159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250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250</v>
      </c>
      <c r="F47" s="27">
        <v>0</v>
      </c>
      <c r="G47" s="28">
        <f t="shared" si="9"/>
        <v>0</v>
      </c>
      <c r="H47" s="33" t="s">
        <v>20</v>
      </c>
      <c r="I47" s="33" t="s">
        <v>159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250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262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250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263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250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250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130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264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250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130</v>
      </c>
      <c r="K53" s="29">
        <v>0.12152777777777778</v>
      </c>
      <c r="L53" s="29"/>
      <c r="M53" s="30">
        <f t="shared" ca="1" si="11"/>
        <v>0.96949722222052515</v>
      </c>
      <c r="N53" s="46" t="s">
        <v>265</v>
      </c>
      <c r="O53" s="31"/>
    </row>
    <row r="54" spans="1:15" ht="15.75" customHeight="1">
      <c r="A54" s="106" t="s">
        <v>238</v>
      </c>
      <c r="B54" s="107"/>
      <c r="C54" s="107"/>
      <c r="D54" s="107"/>
      <c r="E54" s="108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1.108386111109414</v>
      </c>
      <c r="N54" s="36" t="s">
        <v>236</v>
      </c>
      <c r="O54" s="84">
        <v>352430</v>
      </c>
    </row>
    <row r="55" spans="1:15" ht="18" customHeight="1">
      <c r="A55" s="103" t="s">
        <v>239</v>
      </c>
      <c r="B55" s="104"/>
      <c r="C55" s="104"/>
      <c r="D55" s="104"/>
      <c r="E55" s="105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1.1931083333316364</v>
      </c>
      <c r="N55" s="40" t="s">
        <v>240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250</v>
      </c>
      <c r="F57" s="27">
        <v>17</v>
      </c>
      <c r="G57" s="34">
        <f t="shared" si="12"/>
        <v>71.400000000000006</v>
      </c>
      <c r="H57" s="33" t="s">
        <v>20</v>
      </c>
      <c r="I57" s="33" t="s">
        <v>123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10</v>
      </c>
      <c r="G58" s="28">
        <f t="shared" si="12"/>
        <v>42</v>
      </c>
      <c r="H58" s="26" t="s">
        <v>20</v>
      </c>
      <c r="I58" s="80" t="s">
        <v>123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250</v>
      </c>
      <c r="F59" s="27">
        <v>10</v>
      </c>
      <c r="G59" s="34">
        <f t="shared" si="12"/>
        <v>42</v>
      </c>
      <c r="H59" s="33" t="s">
        <v>20</v>
      </c>
      <c r="I59" s="33" t="s">
        <v>123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250</v>
      </c>
      <c r="F60" s="27">
        <v>6</v>
      </c>
      <c r="G60" s="28">
        <f t="shared" si="12"/>
        <v>25.200000000000003</v>
      </c>
      <c r="H60" s="26" t="s">
        <v>20</v>
      </c>
      <c r="I60" s="26" t="s">
        <v>123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250</v>
      </c>
      <c r="F61" s="27">
        <v>14</v>
      </c>
      <c r="G61" s="34">
        <f t="shared" si="12"/>
        <v>58.800000000000004</v>
      </c>
      <c r="H61" s="33" t="s">
        <v>20</v>
      </c>
      <c r="I61" s="33" t="s">
        <v>123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250</v>
      </c>
      <c r="F62" s="27">
        <v>19</v>
      </c>
      <c r="G62" s="28">
        <f t="shared" si="12"/>
        <v>79.8</v>
      </c>
      <c r="H62" s="26" t="s">
        <v>20</v>
      </c>
      <c r="I62" s="26" t="s">
        <v>123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250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257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250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250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250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250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6" t="s">
        <v>235</v>
      </c>
      <c r="B68" s="107"/>
      <c r="C68" s="107"/>
      <c r="D68" s="107"/>
      <c r="E68" s="108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236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149</v>
      </c>
      <c r="J69" s="26" t="s">
        <v>185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14</v>
      </c>
      <c r="G70" s="28">
        <f t="shared" si="15"/>
        <v>58.800000000000004</v>
      </c>
      <c r="H70" s="26" t="s">
        <v>17</v>
      </c>
      <c r="I70" s="26" t="s">
        <v>135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250</v>
      </c>
      <c r="F71" s="27">
        <v>1</v>
      </c>
      <c r="G71" s="34">
        <f t="shared" si="15"/>
        <v>4.2</v>
      </c>
      <c r="H71" s="33" t="s">
        <v>20</v>
      </c>
      <c r="I71" s="33" t="s">
        <v>157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250</v>
      </c>
      <c r="F72" s="27">
        <v>5</v>
      </c>
      <c r="G72" s="28">
        <f t="shared" si="15"/>
        <v>21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250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250</v>
      </c>
      <c r="F74" s="27">
        <v>19</v>
      </c>
      <c r="G74" s="28">
        <f t="shared" si="15"/>
        <v>79.8</v>
      </c>
      <c r="H74" s="26" t="s">
        <v>20</v>
      </c>
      <c r="I74" s="26" t="s">
        <v>157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250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250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200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266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250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250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250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250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6" t="s">
        <v>238</v>
      </c>
      <c r="B81" s="107"/>
      <c r="C81" s="107"/>
      <c r="D81" s="107"/>
      <c r="E81" s="108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236</v>
      </c>
      <c r="O81" s="54">
        <v>634210</v>
      </c>
    </row>
    <row r="82" spans="1:15" ht="18" customHeight="1">
      <c r="A82" s="103" t="s">
        <v>239</v>
      </c>
      <c r="B82" s="104"/>
      <c r="C82" s="104"/>
      <c r="D82" s="104"/>
      <c r="E82" s="105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240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267</v>
      </c>
      <c r="E83" s="59" t="s">
        <v>250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138</v>
      </c>
      <c r="J83" s="33" t="s">
        <v>210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14</v>
      </c>
      <c r="G87" s="28">
        <f t="shared" si="18"/>
        <v>58.800000000000004</v>
      </c>
      <c r="H87" s="33" t="s">
        <v>18</v>
      </c>
      <c r="I87" s="33" t="s">
        <v>138</v>
      </c>
      <c r="J87" s="33" t="s">
        <v>118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6" t="s">
        <v>235</v>
      </c>
      <c r="B95" s="107"/>
      <c r="C95" s="107"/>
      <c r="D95" s="107"/>
      <c r="E95" s="108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236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141</v>
      </c>
      <c r="J96" s="26" t="s">
        <v>118</v>
      </c>
      <c r="K96" s="29">
        <v>0.79166666666666663</v>
      </c>
      <c r="L96" s="29" t="s">
        <v>268</v>
      </c>
      <c r="M96" s="30" t="str">
        <f t="shared" ref="M96:M107" ca="1" si="22">IFERROR(IF(K96="","",IF(L96="",MOD(NOW()-K96,1),IF(L96&gt;=K96,L96-K96,L96+1-K96))),"")</f>
        <v/>
      </c>
      <c r="N96" s="46" t="s">
        <v>269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237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270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183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271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237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6" t="s">
        <v>238</v>
      </c>
      <c r="B108" s="107"/>
      <c r="C108" s="107"/>
      <c r="D108" s="107"/>
      <c r="E108" s="108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236</v>
      </c>
      <c r="O108" s="54">
        <v>456830</v>
      </c>
    </row>
    <row r="109" spans="1:15" ht="18" customHeight="1">
      <c r="A109" s="103" t="s">
        <v>239</v>
      </c>
      <c r="B109" s="104"/>
      <c r="C109" s="104"/>
      <c r="D109" s="104"/>
      <c r="E109" s="105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240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156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272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156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6" t="s">
        <v>235</v>
      </c>
      <c r="B122" s="107"/>
      <c r="C122" s="107"/>
      <c r="D122" s="107"/>
      <c r="E122" s="108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236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159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156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135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20</v>
      </c>
      <c r="G126" s="28">
        <f t="shared" si="27"/>
        <v>84</v>
      </c>
      <c r="H126" s="26" t="s">
        <v>17</v>
      </c>
      <c r="I126" s="26" t="s">
        <v>135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123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6" t="s">
        <v>238</v>
      </c>
      <c r="B135" s="107"/>
      <c r="C135" s="107"/>
      <c r="D135" s="107"/>
      <c r="E135" s="108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236</v>
      </c>
      <c r="O135" s="54">
        <v>756720</v>
      </c>
    </row>
    <row r="136" spans="1:15" ht="18" customHeight="1">
      <c r="A136" s="103" t="s">
        <v>239</v>
      </c>
      <c r="B136" s="104"/>
      <c r="C136" s="104"/>
      <c r="D136" s="104"/>
      <c r="E136" s="105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240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13</v>
      </c>
      <c r="G138" s="28">
        <f t="shared" ref="G137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250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273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250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250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274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250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118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250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250</v>
      </c>
      <c r="F144" s="27">
        <v>10</v>
      </c>
      <c r="G144" s="28">
        <f t="shared" si="32"/>
        <v>42</v>
      </c>
      <c r="H144" s="26" t="s">
        <v>16</v>
      </c>
      <c r="I144" s="26" t="s">
        <v>159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250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275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250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250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250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6" t="s">
        <v>235</v>
      </c>
      <c r="B149" s="107"/>
      <c r="C149" s="107"/>
      <c r="D149" s="107"/>
      <c r="E149" s="108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236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7</v>
      </c>
      <c r="G151" s="34">
        <f t="shared" si="33"/>
        <v>29.400000000000002</v>
      </c>
      <c r="H151" s="33" t="s">
        <v>17</v>
      </c>
      <c r="I151" s="33" t="s">
        <v>120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276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6" t="s">
        <v>238</v>
      </c>
      <c r="B162" s="107"/>
      <c r="C162" s="107"/>
      <c r="D162" s="107"/>
      <c r="E162" s="108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236</v>
      </c>
      <c r="O162" s="54">
        <v>501750</v>
      </c>
    </row>
    <row r="163" spans="1:15" ht="18" customHeight="1">
      <c r="A163" s="103" t="s">
        <v>239</v>
      </c>
      <c r="B163" s="104"/>
      <c r="C163" s="104"/>
      <c r="D163" s="104"/>
      <c r="E163" s="105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240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250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250</v>
      </c>
      <c r="F166" s="27">
        <v>2</v>
      </c>
      <c r="G166" s="28">
        <f t="shared" si="36"/>
        <v>8.4</v>
      </c>
      <c r="H166" s="26" t="s">
        <v>20</v>
      </c>
      <c r="I166" s="26" t="s">
        <v>31</v>
      </c>
      <c r="J166" s="26" t="s">
        <v>36</v>
      </c>
      <c r="K166" s="29">
        <v>0.53819444444444442</v>
      </c>
      <c r="L166" s="29">
        <v>0.54861111111111116</v>
      </c>
      <c r="M166" s="30">
        <f t="shared" ca="1" si="37"/>
        <v>1.0416666666666741E-2</v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250</v>
      </c>
      <c r="F167" s="27">
        <v>6</v>
      </c>
      <c r="G167" s="34">
        <f t="shared" si="36"/>
        <v>25.200000000000003</v>
      </c>
      <c r="H167" s="33" t="s">
        <v>20</v>
      </c>
      <c r="I167" s="33" t="s">
        <v>157</v>
      </c>
      <c r="J167" s="33" t="s">
        <v>74</v>
      </c>
      <c r="K167" s="29">
        <v>0.63194444444444442</v>
      </c>
      <c r="L167" s="29">
        <v>0.63611111111111107</v>
      </c>
      <c r="M167" s="35">
        <f t="shared" ca="1" si="37"/>
        <v>4.1666666666666519E-3</v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250</v>
      </c>
      <c r="F168" s="27">
        <v>8</v>
      </c>
      <c r="G168" s="28">
        <f t="shared" si="36"/>
        <v>33.6</v>
      </c>
      <c r="H168" s="26" t="s">
        <v>20</v>
      </c>
      <c r="I168" s="26" t="s">
        <v>157</v>
      </c>
      <c r="J168" s="26" t="s">
        <v>74</v>
      </c>
      <c r="K168" s="29">
        <v>0.72222222222222221</v>
      </c>
      <c r="L168" s="29">
        <v>0.73055555555555551</v>
      </c>
      <c r="M168" s="30">
        <f t="shared" ca="1" si="37"/>
        <v>8.3333333333333037E-3</v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250</v>
      </c>
      <c r="F169" s="27">
        <v>9</v>
      </c>
      <c r="G169" s="34">
        <f t="shared" si="36"/>
        <v>37.800000000000004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250</v>
      </c>
      <c r="F170" s="27">
        <v>6</v>
      </c>
      <c r="G170" s="28">
        <f t="shared" si="36"/>
        <v>25.200000000000003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250</v>
      </c>
      <c r="F171" s="27">
        <v>7</v>
      </c>
      <c r="G171" s="34">
        <f t="shared" si="36"/>
        <v>29.400000000000002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250</v>
      </c>
      <c r="F172" s="27">
        <v>6</v>
      </c>
      <c r="G172" s="28">
        <f t="shared" si="36"/>
        <v>25.200000000000003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250</v>
      </c>
      <c r="F173" s="27">
        <v>8</v>
      </c>
      <c r="G173" s="34">
        <f t="shared" si="36"/>
        <v>33.6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250</v>
      </c>
      <c r="F174" s="27">
        <v>5</v>
      </c>
      <c r="G174" s="28">
        <f t="shared" si="36"/>
        <v>21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250</v>
      </c>
      <c r="F175" s="27">
        <v>2</v>
      </c>
      <c r="G175" s="34">
        <f t="shared" si="36"/>
        <v>8.4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6" t="s">
        <v>235</v>
      </c>
      <c r="B176" s="107"/>
      <c r="C176" s="107"/>
      <c r="D176" s="107"/>
      <c r="E176" s="108">
        <f>SUM(E164:E175)</f>
        <v>0</v>
      </c>
      <c r="F176" s="36">
        <f>SUM(F164:F175)</f>
        <v>69</v>
      </c>
      <c r="G176" s="36">
        <f>SUM(G164:G175)</f>
        <v>289.8</v>
      </c>
      <c r="H176" s="37"/>
      <c r="I176" s="37"/>
      <c r="J176" s="37"/>
      <c r="K176" s="37"/>
      <c r="L176" s="37"/>
      <c r="M176" s="38">
        <f ca="1">IFERROR(SUM(M164:M175),"")</f>
        <v>8.2638888888888928E-2</v>
      </c>
      <c r="N176" s="36" t="s">
        <v>236</v>
      </c>
      <c r="O176" s="77">
        <v>366290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31</v>
      </c>
      <c r="J177" s="33" t="s">
        <v>27</v>
      </c>
      <c r="K177" s="29">
        <v>0.79166666666666663</v>
      </c>
      <c r="L177" s="29">
        <v>0.83680555555555558</v>
      </c>
      <c r="M177" s="35">
        <f t="shared" ref="M177:M188" ca="1" si="40">IFERROR(IF(K177="","",IF(L177="",MOD(NOW()-K177,1),IF(L177&gt;=K177,L177-K177,L177+1-K177))),"")</f>
        <v>4.5138888888888951E-2</v>
      </c>
      <c r="N177" s="46" t="s">
        <v>117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59" t="s">
        <v>250</v>
      </c>
      <c r="F178" s="27">
        <v>7</v>
      </c>
      <c r="G178" s="28">
        <f t="shared" si="39"/>
        <v>29.400000000000002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19</v>
      </c>
      <c r="G179" s="34">
        <f t="shared" si="39"/>
        <v>79.8</v>
      </c>
      <c r="H179" s="33" t="s">
        <v>20</v>
      </c>
      <c r="I179" s="33" t="s">
        <v>123</v>
      </c>
      <c r="J179" s="33" t="s">
        <v>114</v>
      </c>
      <c r="K179" s="29">
        <v>6.2500000000000003E-3</v>
      </c>
      <c r="L179" s="29">
        <v>2.5694444444444443E-2</v>
      </c>
      <c r="M179" s="35">
        <f t="shared" ca="1" si="40"/>
        <v>1.9444444444444445E-2</v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59" t="s">
        <v>250</v>
      </c>
      <c r="F180" s="27">
        <v>2</v>
      </c>
      <c r="G180" s="28">
        <f t="shared" si="39"/>
        <v>8.4</v>
      </c>
      <c r="H180" s="26" t="s">
        <v>20</v>
      </c>
      <c r="I180" s="26" t="s">
        <v>149</v>
      </c>
      <c r="J180" s="26" t="s">
        <v>134</v>
      </c>
      <c r="K180" s="29">
        <v>4.5138888888888888E-2</v>
      </c>
      <c r="L180" s="29">
        <v>7.013888888888889E-2</v>
      </c>
      <c r="M180" s="30">
        <f t="shared" ca="1" si="40"/>
        <v>2.5000000000000001E-2</v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22</v>
      </c>
      <c r="G181" s="34">
        <f t="shared" si="39"/>
        <v>92.4</v>
      </c>
      <c r="H181" s="33" t="s">
        <v>20</v>
      </c>
      <c r="I181" s="33"/>
      <c r="J181" s="33" t="s">
        <v>74</v>
      </c>
      <c r="K181" s="29">
        <v>8.3333333333333329E-2</v>
      </c>
      <c r="L181" s="29">
        <v>0.15486111111111112</v>
      </c>
      <c r="M181" s="35">
        <f t="shared" ca="1" si="40"/>
        <v>7.1527777777777787E-2</v>
      </c>
      <c r="N181" s="46" t="s">
        <v>277</v>
      </c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59" t="s">
        <v>250</v>
      </c>
      <c r="F182" s="27">
        <v>6</v>
      </c>
      <c r="G182" s="28">
        <f t="shared" si="39"/>
        <v>25.200000000000003</v>
      </c>
      <c r="H182" s="26" t="s">
        <v>20</v>
      </c>
      <c r="I182" s="26"/>
      <c r="J182" s="26" t="s">
        <v>74</v>
      </c>
      <c r="K182" s="29">
        <v>0.18958333333333333</v>
      </c>
      <c r="L182" s="29">
        <v>0.2326388888888889</v>
      </c>
      <c r="M182" s="30">
        <f t="shared" ca="1" si="40"/>
        <v>4.3055555555555569E-2</v>
      </c>
      <c r="N182" s="46" t="s">
        <v>274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13</v>
      </c>
      <c r="G183" s="34">
        <f t="shared" si="39"/>
        <v>54.6</v>
      </c>
      <c r="H183" s="33" t="s">
        <v>20</v>
      </c>
      <c r="I183" s="33"/>
      <c r="J183" s="33" t="s">
        <v>74</v>
      </c>
      <c r="K183" s="29">
        <v>0.23958333333333334</v>
      </c>
      <c r="L183" s="29">
        <v>0.28611111111111109</v>
      </c>
      <c r="M183" s="35">
        <f t="shared" ca="1" si="40"/>
        <v>4.6527777777777751E-2</v>
      </c>
      <c r="N183" s="46" t="s">
        <v>278</v>
      </c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59" t="s">
        <v>250</v>
      </c>
      <c r="F184" s="27">
        <v>0</v>
      </c>
      <c r="G184" s="28">
        <f t="shared" si="39"/>
        <v>0</v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3</v>
      </c>
      <c r="G185" s="34">
        <f t="shared" si="39"/>
        <v>12.600000000000001</v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59" t="s">
        <v>250</v>
      </c>
      <c r="F186" s="27">
        <v>10</v>
      </c>
      <c r="G186" s="28">
        <f t="shared" si="39"/>
        <v>42</v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0</v>
      </c>
      <c r="G187" s="34">
        <f t="shared" si="39"/>
        <v>0</v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59" t="s">
        <v>250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6" t="s">
        <v>238</v>
      </c>
      <c r="B189" s="107"/>
      <c r="C189" s="107"/>
      <c r="D189" s="107"/>
      <c r="E189" s="108">
        <f>SUM(E177:E188)</f>
        <v>0</v>
      </c>
      <c r="F189" s="36">
        <f>SUM(F177:F188)</f>
        <v>84</v>
      </c>
      <c r="G189" s="36">
        <f>SUM(G177:G188)</f>
        <v>352.80000000000007</v>
      </c>
      <c r="H189" s="37"/>
      <c r="I189" s="37"/>
      <c r="J189" s="37"/>
      <c r="K189" s="37"/>
      <c r="L189" s="37"/>
      <c r="M189" s="38">
        <f ca="1">IFERROR(SUM(M177:M188),"")</f>
        <v>0.28819444444444464</v>
      </c>
      <c r="N189" s="36" t="s">
        <v>236</v>
      </c>
      <c r="O189" s="77">
        <v>362530</v>
      </c>
    </row>
    <row r="190" spans="1:15" ht="18" customHeight="1">
      <c r="A190" s="103" t="s">
        <v>239</v>
      </c>
      <c r="B190" s="104"/>
      <c r="C190" s="104"/>
      <c r="D190" s="104"/>
      <c r="E190" s="105">
        <f>E176+E189</f>
        <v>0</v>
      </c>
      <c r="F190" s="40">
        <f>F176+F189</f>
        <v>153</v>
      </c>
      <c r="G190" s="40">
        <f>G176+G189</f>
        <v>642.60000000000014</v>
      </c>
      <c r="H190" s="41"/>
      <c r="I190" s="41"/>
      <c r="J190" s="41"/>
      <c r="K190" s="41"/>
      <c r="L190" s="41"/>
      <c r="M190" s="42">
        <f ca="1">IFERROR(M176+M189,"")</f>
        <v>0.37083333333333357</v>
      </c>
      <c r="N190" s="40" t="s">
        <v>240</v>
      </c>
      <c r="O190" s="82">
        <f>IFERROR(O176+O189,"")</f>
        <v>728820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2</v>
      </c>
      <c r="G191" s="34">
        <f t="shared" ref="G191:G202" si="42">IF(F191="","",IF(E191="PC 17",F191*4.2,IF(E191="PC 19",F191*5,IF(E191="CB",F191*24,""))))</f>
        <v>8.4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46" t="s">
        <v>279</v>
      </c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17</v>
      </c>
      <c r="G192" s="28">
        <f t="shared" si="42"/>
        <v>71.400000000000006</v>
      </c>
      <c r="H192" s="26" t="s">
        <v>20</v>
      </c>
      <c r="I192" s="26" t="s">
        <v>149</v>
      </c>
      <c r="J192" s="26" t="s">
        <v>182</v>
      </c>
      <c r="K192" s="29">
        <v>0.47499999999999998</v>
      </c>
      <c r="L192" s="29">
        <v>0.4861111111111111</v>
      </c>
      <c r="M192" s="30">
        <f t="shared" ca="1" si="43"/>
        <v>1.1111111111111127E-2</v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16</v>
      </c>
      <c r="G193" s="34">
        <f t="shared" si="42"/>
        <v>67.2</v>
      </c>
      <c r="H193" s="33" t="s">
        <v>20</v>
      </c>
      <c r="I193" s="33" t="s">
        <v>149</v>
      </c>
      <c r="J193" s="26" t="s">
        <v>182</v>
      </c>
      <c r="K193" s="29">
        <v>0.50694444444444442</v>
      </c>
      <c r="L193" s="29">
        <v>0.53333333333333333</v>
      </c>
      <c r="M193" s="35">
        <f t="shared" ca="1" si="43"/>
        <v>2.6388888888888906E-2</v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20</v>
      </c>
      <c r="G194" s="28">
        <f t="shared" si="42"/>
        <v>84</v>
      </c>
      <c r="H194" s="26" t="s">
        <v>20</v>
      </c>
      <c r="I194" s="26" t="s">
        <v>39</v>
      </c>
      <c r="J194" s="26" t="s">
        <v>36</v>
      </c>
      <c r="K194" s="29">
        <v>0.5625</v>
      </c>
      <c r="L194" s="29">
        <v>0.56944444444444442</v>
      </c>
      <c r="M194" s="30">
        <f t="shared" ca="1" si="43"/>
        <v>6.9444444444444198E-3</v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5</v>
      </c>
      <c r="G195" s="34">
        <f t="shared" si="42"/>
        <v>21</v>
      </c>
      <c r="H195" s="33" t="s">
        <v>20</v>
      </c>
      <c r="I195" s="33" t="s">
        <v>39</v>
      </c>
      <c r="J195" s="33" t="s">
        <v>36</v>
      </c>
      <c r="K195" s="29">
        <v>0.60416666666666663</v>
      </c>
      <c r="L195" s="29">
        <v>0.63472222222222219</v>
      </c>
      <c r="M195" s="35">
        <f t="shared" ca="1" si="43"/>
        <v>3.0555555555555558E-2</v>
      </c>
      <c r="N195" s="46" t="s">
        <v>272</v>
      </c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13</v>
      </c>
      <c r="G196" s="28">
        <f t="shared" si="42"/>
        <v>54.6</v>
      </c>
      <c r="H196" s="26" t="s">
        <v>18</v>
      </c>
      <c r="I196" s="26" t="s">
        <v>39</v>
      </c>
      <c r="J196" s="26" t="s">
        <v>166</v>
      </c>
      <c r="K196" s="29">
        <v>0.67361111111111116</v>
      </c>
      <c r="L196" s="29">
        <v>0.68125000000000002</v>
      </c>
      <c r="M196" s="30">
        <f t="shared" ca="1" si="43"/>
        <v>7.6388888888888618E-3</v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10</v>
      </c>
      <c r="G197" s="34">
        <f t="shared" si="42"/>
        <v>42</v>
      </c>
      <c r="H197" s="33" t="s">
        <v>20</v>
      </c>
      <c r="I197" s="33" t="s">
        <v>123</v>
      </c>
      <c r="J197" s="33" t="s">
        <v>114</v>
      </c>
      <c r="K197" s="29">
        <v>0.71666666666666667</v>
      </c>
      <c r="L197" s="29">
        <v>0.72499999999999998</v>
      </c>
      <c r="M197" s="35">
        <f t="shared" ca="1" si="43"/>
        <v>8.3333333333333037E-3</v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9</v>
      </c>
      <c r="G198" s="28">
        <f t="shared" si="42"/>
        <v>37.800000000000004</v>
      </c>
      <c r="H198" s="26" t="s">
        <v>20</v>
      </c>
      <c r="I198" s="26" t="s">
        <v>123</v>
      </c>
      <c r="J198" s="33" t="s">
        <v>114</v>
      </c>
      <c r="K198" s="29">
        <v>0.7368055555555556</v>
      </c>
      <c r="L198" s="29">
        <v>0.74444444444444446</v>
      </c>
      <c r="M198" s="30">
        <f t="shared" ca="1" si="43"/>
        <v>7.6388888888888618E-3</v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9</v>
      </c>
      <c r="G199" s="34">
        <f t="shared" si="42"/>
        <v>37.800000000000004</v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19</v>
      </c>
      <c r="G200" s="28">
        <f t="shared" si="42"/>
        <v>79.8</v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7</v>
      </c>
      <c r="G202" s="28">
        <f t="shared" si="42"/>
        <v>29.400000000000002</v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6" t="s">
        <v>235</v>
      </c>
      <c r="B203" s="107"/>
      <c r="C203" s="107"/>
      <c r="D203" s="107"/>
      <c r="E203" s="108">
        <f>SUM(E191:E202)</f>
        <v>0</v>
      </c>
      <c r="F203" s="36">
        <f>SUM(F191:F202)</f>
        <v>133</v>
      </c>
      <c r="G203" s="36">
        <f>SUM(G191:G202)</f>
        <v>558.6</v>
      </c>
      <c r="H203" s="37"/>
      <c r="I203" s="37"/>
      <c r="J203" s="37"/>
      <c r="K203" s="37"/>
      <c r="L203" s="37"/>
      <c r="M203" s="38">
        <f ca="1">IFERROR(SUM(M191:M202),"")</f>
        <v>0.14027777777777767</v>
      </c>
      <c r="N203" s="36" t="s">
        <v>236</v>
      </c>
      <c r="O203" s="77">
        <v>601390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16</v>
      </c>
      <c r="G204" s="28">
        <f t="shared" ref="G204:G215" si="45">IF(F204="","",IF(E204="PC 17",F204*4.2,IF(E204="PC 19",F204*5,IF(E204="CB",F204*24,""))))</f>
        <v>67.2</v>
      </c>
      <c r="H204" s="26" t="s">
        <v>20</v>
      </c>
      <c r="I204" s="26"/>
      <c r="J204" s="26" t="s">
        <v>74</v>
      </c>
      <c r="K204" s="29">
        <v>0.88680555555555551</v>
      </c>
      <c r="L204" s="29">
        <v>0.89930555555555558</v>
      </c>
      <c r="M204" s="30">
        <f t="shared" ref="M204:M215" ca="1" si="46">IFERROR(IF(K204="","",IF(L204="",MOD(NOW()-K204,1),IF(L204&gt;=K204,L204-K204,L204+1-K204))),"")</f>
        <v>1.2500000000000067E-2</v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11</v>
      </c>
      <c r="G205" s="34">
        <f t="shared" si="45"/>
        <v>46.2</v>
      </c>
      <c r="H205" s="33" t="s">
        <v>19</v>
      </c>
      <c r="I205" s="33" t="s">
        <v>159</v>
      </c>
      <c r="J205" s="33" t="s">
        <v>27</v>
      </c>
      <c r="K205" s="29">
        <v>0.93263888888888891</v>
      </c>
      <c r="L205" s="29">
        <v>0.96666666666666667</v>
      </c>
      <c r="M205" s="35">
        <f t="shared" ca="1" si="46"/>
        <v>3.4027777777777768E-2</v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10</v>
      </c>
      <c r="G206" s="28">
        <f t="shared" si="45"/>
        <v>42</v>
      </c>
      <c r="H206" s="26" t="s">
        <v>19</v>
      </c>
      <c r="I206" s="26" t="s">
        <v>159</v>
      </c>
      <c r="J206" s="26" t="s">
        <v>27</v>
      </c>
      <c r="K206" s="29">
        <v>0.22708333333333333</v>
      </c>
      <c r="L206" s="29">
        <v>0.25</v>
      </c>
      <c r="M206" s="30">
        <f t="shared" ca="1" si="46"/>
        <v>2.2916666666666669E-2</v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8</v>
      </c>
      <c r="G207" s="34">
        <f t="shared" si="45"/>
        <v>33.6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17</v>
      </c>
      <c r="G208" s="28">
        <f t="shared" si="45"/>
        <v>71.400000000000006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12</v>
      </c>
      <c r="G209" s="34">
        <f t="shared" si="45"/>
        <v>50.400000000000006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12</v>
      </c>
      <c r="G210" s="28">
        <f t="shared" si="45"/>
        <v>50.400000000000006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15</v>
      </c>
      <c r="G211" s="34">
        <f t="shared" si="45"/>
        <v>63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15</v>
      </c>
      <c r="G213" s="34">
        <f t="shared" si="45"/>
        <v>63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0</v>
      </c>
      <c r="G214" s="28">
        <f t="shared" si="45"/>
        <v>0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9</v>
      </c>
      <c r="G215" s="34">
        <f t="shared" si="45"/>
        <v>37.800000000000004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6" t="s">
        <v>238</v>
      </c>
      <c r="B216" s="107"/>
      <c r="C216" s="107"/>
      <c r="D216" s="107"/>
      <c r="E216" s="108">
        <f>SUM(E204:E215)</f>
        <v>0</v>
      </c>
      <c r="F216" s="36">
        <f>SUM(F204:F215)</f>
        <v>141</v>
      </c>
      <c r="G216" s="36">
        <f>SUM(G204:G215)</f>
        <v>592.19999999999982</v>
      </c>
      <c r="H216" s="37"/>
      <c r="I216" s="37"/>
      <c r="J216" s="37"/>
      <c r="K216" s="37"/>
      <c r="L216" s="37"/>
      <c r="M216" s="38">
        <f ca="1">IFERROR(SUM(M204:M215),"")</f>
        <v>6.9444444444444503E-2</v>
      </c>
      <c r="N216" s="36" t="s">
        <v>236</v>
      </c>
      <c r="O216" s="77">
        <v>609740</v>
      </c>
    </row>
    <row r="217" spans="1:15" ht="18" customHeight="1">
      <c r="A217" s="103" t="s">
        <v>239</v>
      </c>
      <c r="B217" s="104"/>
      <c r="C217" s="104"/>
      <c r="D217" s="104"/>
      <c r="E217" s="105">
        <f>E203+E216</f>
        <v>0</v>
      </c>
      <c r="F217" s="40">
        <f>F203+F216</f>
        <v>274</v>
      </c>
      <c r="G217" s="40">
        <f>G203+G216</f>
        <v>1150.7999999999997</v>
      </c>
      <c r="H217" s="41"/>
      <c r="I217" s="41"/>
      <c r="J217" s="41"/>
      <c r="K217" s="41"/>
      <c r="L217" s="41"/>
      <c r="M217" s="42">
        <f ca="1">IFERROR(M203+M216,"")</f>
        <v>0.20972222222222217</v>
      </c>
      <c r="N217" s="40" t="s">
        <v>240</v>
      </c>
      <c r="O217" s="83">
        <f>IFERROR(O203+O216,"")</f>
        <v>1211130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18</v>
      </c>
      <c r="G218" s="28">
        <f t="shared" ref="G218:G229" si="48">IF(F218="","",IF(E218="PC 17",F218*4.2,IF(E218="PC 19",F218*5,IF(E218="CB",F218*24,""))))</f>
        <v>75.600000000000009</v>
      </c>
      <c r="H218" s="26" t="s">
        <v>18</v>
      </c>
      <c r="I218" s="26" t="s">
        <v>31</v>
      </c>
      <c r="J218" s="33" t="s">
        <v>171</v>
      </c>
      <c r="K218" s="29">
        <v>0.29166666666666669</v>
      </c>
      <c r="L218" s="29">
        <v>0.32291666666666669</v>
      </c>
      <c r="M218" s="30">
        <f t="shared" ref="M218:M229" ca="1" si="49">IFERROR(IF(K218="","",IF(L218="",MOD(NOW()-K218,1),IF(L218&gt;=K218,L218-K218,L218+1-K218))),"")</f>
        <v>3.125E-2</v>
      </c>
      <c r="N218" s="46" t="s">
        <v>266</v>
      </c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8</v>
      </c>
      <c r="G219" s="34">
        <f t="shared" si="48"/>
        <v>33.6</v>
      </c>
      <c r="H219" s="33" t="s">
        <v>19</v>
      </c>
      <c r="I219" s="33" t="s">
        <v>31</v>
      </c>
      <c r="J219" s="33" t="s">
        <v>35</v>
      </c>
      <c r="K219" s="29">
        <v>0.32291666666666669</v>
      </c>
      <c r="L219" s="29">
        <v>0.3611111111111111</v>
      </c>
      <c r="M219" s="35">
        <f t="shared" ca="1" si="49"/>
        <v>3.819444444444442E-2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7</v>
      </c>
      <c r="G220" s="28">
        <f t="shared" si="48"/>
        <v>29.400000000000002</v>
      </c>
      <c r="H220" s="26" t="s">
        <v>19</v>
      </c>
      <c r="I220" s="26" t="s">
        <v>31</v>
      </c>
      <c r="J220" s="26" t="s">
        <v>50</v>
      </c>
      <c r="K220" s="29">
        <v>0.5083333333333333</v>
      </c>
      <c r="L220" s="29">
        <v>0.52083333333333337</v>
      </c>
      <c r="M220" s="30">
        <f t="shared" ca="1" si="49"/>
        <v>1.2500000000000067E-2</v>
      </c>
      <c r="N220" s="46" t="s">
        <v>237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17</v>
      </c>
      <c r="G221" s="34">
        <f t="shared" si="48"/>
        <v>71.400000000000006</v>
      </c>
      <c r="H221" s="33" t="s">
        <v>19</v>
      </c>
      <c r="I221" s="33" t="s">
        <v>31</v>
      </c>
      <c r="J221" s="33" t="s">
        <v>78</v>
      </c>
      <c r="K221" s="29">
        <v>0.52083333333333337</v>
      </c>
      <c r="L221" s="29">
        <v>0.55486111111111114</v>
      </c>
      <c r="M221" s="35">
        <f t="shared" ca="1" si="49"/>
        <v>3.4027777777777768E-2</v>
      </c>
      <c r="N221" s="46" t="s">
        <v>280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25</v>
      </c>
      <c r="H222" s="26" t="s">
        <v>19</v>
      </c>
      <c r="I222" s="26" t="s">
        <v>39</v>
      </c>
      <c r="J222" s="26" t="s">
        <v>27</v>
      </c>
      <c r="K222" s="29">
        <v>0.6381944444444444</v>
      </c>
      <c r="L222" s="29">
        <v>0.65277777777777779</v>
      </c>
      <c r="M222" s="30">
        <f t="shared" ca="1" si="49"/>
        <v>1.4583333333333393E-2</v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13</v>
      </c>
      <c r="G223" s="34">
        <f t="shared" si="48"/>
        <v>54.6</v>
      </c>
      <c r="H223" s="33" t="s">
        <v>18</v>
      </c>
      <c r="I223" s="33" t="s">
        <v>135</v>
      </c>
      <c r="J223" s="33"/>
      <c r="K223" s="29">
        <v>0.67777777777777781</v>
      </c>
      <c r="L223" s="29">
        <v>0.68472222222222223</v>
      </c>
      <c r="M223" s="35">
        <f t="shared" ca="1" si="49"/>
        <v>6.9444444444444198E-3</v>
      </c>
      <c r="N223" s="46" t="s">
        <v>281</v>
      </c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10</v>
      </c>
      <c r="G224" s="28">
        <f t="shared" si="48"/>
        <v>42</v>
      </c>
      <c r="H224" s="26" t="s">
        <v>18</v>
      </c>
      <c r="I224" s="26" t="s">
        <v>135</v>
      </c>
      <c r="J224" s="26" t="s">
        <v>61</v>
      </c>
      <c r="K224" s="29">
        <v>0.69930555555555551</v>
      </c>
      <c r="L224" s="29">
        <v>0.71111111111111114</v>
      </c>
      <c r="M224" s="30">
        <f t="shared" ca="1" si="49"/>
        <v>1.1805555555555625E-2</v>
      </c>
      <c r="N224" s="46" t="s">
        <v>282</v>
      </c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12</v>
      </c>
      <c r="G226" s="28">
        <f t="shared" si="48"/>
        <v>50.400000000000006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10</v>
      </c>
      <c r="G227" s="34">
        <f t="shared" si="48"/>
        <v>42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235</v>
      </c>
      <c r="B230" s="116"/>
      <c r="C230" s="116"/>
      <c r="D230" s="116"/>
      <c r="E230" s="117">
        <f>SUM(E218:E229)</f>
        <v>0</v>
      </c>
      <c r="F230" s="36">
        <f>SUM(F218:F229)</f>
        <v>134</v>
      </c>
      <c r="G230" s="36">
        <f>SUM(G218:G229)</f>
        <v>566.80000000000007</v>
      </c>
      <c r="H230" s="37"/>
      <c r="I230" s="37"/>
      <c r="J230" s="37"/>
      <c r="K230" s="37"/>
      <c r="L230" s="37"/>
      <c r="M230" s="38">
        <f ca="1">IFERROR(SUM(M218:M229),"")</f>
        <v>0.14930555555555569</v>
      </c>
      <c r="N230" s="36" t="s">
        <v>236</v>
      </c>
      <c r="O230" s="77">
        <v>503310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15</v>
      </c>
      <c r="G231" s="34">
        <f t="shared" ref="G231:G242" si="51">IF(F231="","",IF(E231="PC 17",F231*4.2,IF(E231="PC 19",F231*5,IF(E231="CB",F231*24,""))))</f>
        <v>63</v>
      </c>
      <c r="H231" s="33" t="s">
        <v>20</v>
      </c>
      <c r="I231" s="33" t="s">
        <v>39</v>
      </c>
      <c r="J231" s="33" t="s">
        <v>36</v>
      </c>
      <c r="K231" s="29">
        <v>0.81111111111111112</v>
      </c>
      <c r="L231" s="29">
        <v>0.83680555555555558</v>
      </c>
      <c r="M231" s="35">
        <f t="shared" ref="M231:M242" ca="1" si="52">IFERROR(IF(K231="","",IF(L231="",MOD(NOW()-K231,1),IF(L231&gt;=K231,L231-K231,L231+1-K231))),"")</f>
        <v>2.5694444444444464E-2</v>
      </c>
      <c r="N231" s="46" t="s">
        <v>237</v>
      </c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11</v>
      </c>
      <c r="G232" s="28">
        <f t="shared" si="51"/>
        <v>55</v>
      </c>
      <c r="H232" s="26" t="s">
        <v>19</v>
      </c>
      <c r="I232" s="26" t="s">
        <v>159</v>
      </c>
      <c r="J232" s="26" t="s">
        <v>27</v>
      </c>
      <c r="K232" s="29">
        <v>0.94722222222222219</v>
      </c>
      <c r="L232" s="29">
        <v>0.96805555555555556</v>
      </c>
      <c r="M232" s="30">
        <f t="shared" ca="1" si="52"/>
        <v>2.083333333333337E-2</v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13</v>
      </c>
      <c r="G233" s="34">
        <f t="shared" si="51"/>
        <v>54.6</v>
      </c>
      <c r="H233" s="33" t="s">
        <v>20</v>
      </c>
      <c r="I233" s="33" t="s">
        <v>39</v>
      </c>
      <c r="J233" s="33" t="s">
        <v>36</v>
      </c>
      <c r="K233" s="29">
        <v>0.16111111111111112</v>
      </c>
      <c r="L233" s="29">
        <v>0.1701388888888889</v>
      </c>
      <c r="M233" s="35">
        <f t="shared" ca="1" si="52"/>
        <v>9.0277777777777735E-3</v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8</v>
      </c>
      <c r="G234" s="28">
        <f t="shared" si="51"/>
        <v>40</v>
      </c>
      <c r="H234" s="26" t="s">
        <v>19</v>
      </c>
      <c r="I234" s="26" t="s">
        <v>159</v>
      </c>
      <c r="J234" s="26" t="s">
        <v>27</v>
      </c>
      <c r="K234" s="29">
        <v>0.22083333333333333</v>
      </c>
      <c r="L234" s="29">
        <v>0.2361111111111111</v>
      </c>
      <c r="M234" s="30">
        <f t="shared" ca="1" si="52"/>
        <v>1.5277777777777779E-2</v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10</v>
      </c>
      <c r="G235" s="34">
        <f t="shared" si="51"/>
        <v>50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16</v>
      </c>
      <c r="G237" s="34">
        <f t="shared" si="51"/>
        <v>80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18</v>
      </c>
      <c r="G238" s="28">
        <f t="shared" si="51"/>
        <v>90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14</v>
      </c>
      <c r="G239" s="34">
        <f t="shared" si="51"/>
        <v>70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6</v>
      </c>
      <c r="G241" s="34">
        <f t="shared" si="51"/>
        <v>30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3</v>
      </c>
      <c r="G242" s="28">
        <f t="shared" si="51"/>
        <v>15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6" t="s">
        <v>238</v>
      </c>
      <c r="B243" s="107"/>
      <c r="C243" s="107"/>
      <c r="D243" s="107"/>
      <c r="E243" s="108">
        <f>SUM(E231:E242)</f>
        <v>0</v>
      </c>
      <c r="F243" s="36">
        <f>SUM(F231:F242)</f>
        <v>137</v>
      </c>
      <c r="G243" s="36">
        <f>SUM(G231:G242)</f>
        <v>662.6</v>
      </c>
      <c r="H243" s="37"/>
      <c r="I243" s="37"/>
      <c r="J243" s="37"/>
      <c r="K243" s="37"/>
      <c r="L243" s="37"/>
      <c r="M243" s="38">
        <f ca="1">IFERROR(SUM(M231:M242),"")</f>
        <v>7.0833333333333387E-2</v>
      </c>
      <c r="N243" s="36" t="s">
        <v>236</v>
      </c>
      <c r="O243" s="77">
        <v>825930</v>
      </c>
    </row>
    <row r="244" spans="1:15" ht="18" customHeight="1">
      <c r="A244" s="103" t="s">
        <v>239</v>
      </c>
      <c r="B244" s="104"/>
      <c r="C244" s="104"/>
      <c r="D244" s="104"/>
      <c r="E244" s="105">
        <f>E230+E243</f>
        <v>0</v>
      </c>
      <c r="F244" s="40">
        <f>F230+F243</f>
        <v>271</v>
      </c>
      <c r="G244" s="40">
        <f>G230+G243</f>
        <v>1229.4000000000001</v>
      </c>
      <c r="H244" s="41"/>
      <c r="I244" s="41"/>
      <c r="J244" s="41"/>
      <c r="K244" s="41"/>
      <c r="L244" s="41"/>
      <c r="M244" s="42">
        <f ca="1">IFERROR(M230+M243,"")</f>
        <v>0.22013888888888908</v>
      </c>
      <c r="N244" s="40" t="s">
        <v>240</v>
      </c>
      <c r="O244" s="83">
        <f>IFERROR(O230+O243,"")</f>
        <v>1329240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23</v>
      </c>
      <c r="G245" s="28">
        <f t="shared" ref="G245:G256" si="54">IF(F245="","",IF(E245="PC 17",F245*4.2,IF(E245="PC 19",F245*5,IF(E245="CB",F245*24,""))))</f>
        <v>115</v>
      </c>
      <c r="H245" s="33" t="s">
        <v>18</v>
      </c>
      <c r="I245" s="33" t="s">
        <v>31</v>
      </c>
      <c r="J245" s="33" t="s">
        <v>166</v>
      </c>
      <c r="K245" s="29">
        <v>0.45624999999999999</v>
      </c>
      <c r="L245" s="29">
        <v>0.45833333333333331</v>
      </c>
      <c r="M245" s="35">
        <f t="shared" ref="M245:M256" ca="1" si="55">IFERROR(IF(K245="","",IF(L245="",MOD(NOW()-K245,1),IF(L245&gt;=K245,L245-K245,L245+1-K245))),"")</f>
        <v>2.0833333333333259E-3</v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18</v>
      </c>
      <c r="G246" s="34">
        <f t="shared" si="54"/>
        <v>90</v>
      </c>
      <c r="H246" s="33" t="s">
        <v>19</v>
      </c>
      <c r="I246" s="26" t="s">
        <v>39</v>
      </c>
      <c r="J246" s="33" t="s">
        <v>27</v>
      </c>
      <c r="K246" s="29">
        <v>0.45624999999999999</v>
      </c>
      <c r="L246" s="29">
        <v>0.46388888888888891</v>
      </c>
      <c r="M246" s="30">
        <f t="shared" ca="1" si="55"/>
        <v>7.6388888888889173E-3</v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16</v>
      </c>
      <c r="G247" s="28">
        <f t="shared" si="54"/>
        <v>80</v>
      </c>
      <c r="H247" s="33" t="s">
        <v>19</v>
      </c>
      <c r="I247" s="33" t="s">
        <v>39</v>
      </c>
      <c r="J247" s="33" t="s">
        <v>27</v>
      </c>
      <c r="K247" s="29">
        <v>0.56458333333333333</v>
      </c>
      <c r="L247" s="29">
        <v>0.5756944444444444</v>
      </c>
      <c r="M247" s="35">
        <f t="shared" ca="1" si="55"/>
        <v>1.1111111111111072E-2</v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27">
        <v>14</v>
      </c>
      <c r="G248" s="34">
        <f t="shared" si="54"/>
        <v>70</v>
      </c>
      <c r="H248" s="26" t="s">
        <v>19</v>
      </c>
      <c r="I248" s="26" t="s">
        <v>31</v>
      </c>
      <c r="J248" s="26" t="s">
        <v>27</v>
      </c>
      <c r="K248" s="29">
        <v>0.5756944444444444</v>
      </c>
      <c r="L248" s="29">
        <v>0.58194444444444449</v>
      </c>
      <c r="M248" s="30">
        <f t="shared" ca="1" si="55"/>
        <v>6.2500000000000888E-3</v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27">
        <v>12</v>
      </c>
      <c r="G249" s="28">
        <f t="shared" si="54"/>
        <v>50.400000000000006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250</v>
      </c>
      <c r="F250" s="27">
        <v>12</v>
      </c>
      <c r="G250" s="34">
        <f t="shared" si="54"/>
        <v>50.400000000000006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250</v>
      </c>
      <c r="F251" s="27">
        <v>7</v>
      </c>
      <c r="G251" s="28">
        <f t="shared" si="54"/>
        <v>29.400000000000002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27">
        <v>18</v>
      </c>
      <c r="G252" s="34">
        <f t="shared" si="54"/>
        <v>75.600000000000009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27">
        <v>15</v>
      </c>
      <c r="G253" s="28">
        <f t="shared" si="54"/>
        <v>63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250</v>
      </c>
      <c r="F255" s="27">
        <v>20</v>
      </c>
      <c r="G255" s="28">
        <f t="shared" si="54"/>
        <v>84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250</v>
      </c>
      <c r="F256" s="27">
        <v>13</v>
      </c>
      <c r="G256" s="34">
        <f t="shared" si="54"/>
        <v>54.6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6" t="s">
        <v>235</v>
      </c>
      <c r="B257" s="107"/>
      <c r="C257" s="107"/>
      <c r="D257" s="107"/>
      <c r="E257" s="108">
        <f>SUM(E245:E256)</f>
        <v>0</v>
      </c>
      <c r="F257" s="36">
        <f>SUM(F245:F256)</f>
        <v>183</v>
      </c>
      <c r="G257" s="36">
        <f>SUM(G245:G256)</f>
        <v>825.4</v>
      </c>
      <c r="H257" s="37"/>
      <c r="I257" s="37"/>
      <c r="J257" s="37"/>
      <c r="K257" s="37"/>
      <c r="L257" s="37"/>
      <c r="M257" s="38">
        <f ca="1">IFERROR(SUM(M245:M256),"")</f>
        <v>2.7083333333333404E-2</v>
      </c>
      <c r="N257" s="36" t="s">
        <v>236</v>
      </c>
      <c r="O257" s="77">
        <v>898190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250</v>
      </c>
      <c r="F258" s="27">
        <v>14</v>
      </c>
      <c r="G258" s="34">
        <f t="shared" ref="G258:G269" si="57">IF(F258="","",IF(E258="PC 17",F258*4.2,IF(E258="PC 19",F258*5,IF(E258="CB",F258*24,""))))</f>
        <v>58.800000000000004</v>
      </c>
      <c r="H258" s="26" t="s">
        <v>20</v>
      </c>
      <c r="I258" s="26"/>
      <c r="J258" s="26" t="s">
        <v>131</v>
      </c>
      <c r="K258" s="29">
        <v>0.82291666666666663</v>
      </c>
      <c r="L258" s="29">
        <v>0.82708333333333328</v>
      </c>
      <c r="M258" s="30">
        <f t="shared" ref="M258:M269" ca="1" si="58">IFERROR(IF(K258="","",IF(L258="",MOD(NOW()-K258,1),IF(L258&gt;=K258,L258-K258,L258+1-K258))),"")</f>
        <v>4.1666666666666519E-3</v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250</v>
      </c>
      <c r="F259" s="27">
        <v>15</v>
      </c>
      <c r="G259" s="28">
        <f t="shared" si="57"/>
        <v>63</v>
      </c>
      <c r="H259" s="50" t="s">
        <v>19</v>
      </c>
      <c r="I259" s="50" t="s">
        <v>159</v>
      </c>
      <c r="J259" s="50" t="s">
        <v>27</v>
      </c>
      <c r="K259" s="29">
        <v>0.90347222222222223</v>
      </c>
      <c r="L259" s="29">
        <v>0.92986111111111114</v>
      </c>
      <c r="M259" s="35">
        <f t="shared" ca="1" si="58"/>
        <v>2.6388888888888906E-2</v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27">
        <v>7</v>
      </c>
      <c r="G260" s="34">
        <f t="shared" si="57"/>
        <v>29.400000000000002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13</v>
      </c>
      <c r="G261" s="28">
        <f t="shared" si="57"/>
        <v>54.6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250</v>
      </c>
      <c r="F262" s="27">
        <v>24</v>
      </c>
      <c r="G262" s="34">
        <f t="shared" si="57"/>
        <v>100.80000000000001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12</v>
      </c>
      <c r="G263" s="28">
        <f t="shared" si="57"/>
        <v>50.400000000000006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22</v>
      </c>
      <c r="G264" s="34">
        <f t="shared" si="57"/>
        <v>92.4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6" t="s">
        <v>238</v>
      </c>
      <c r="B270" s="107"/>
      <c r="C270" s="107"/>
      <c r="D270" s="107"/>
      <c r="E270" s="108">
        <f>SUM(E258:E269)</f>
        <v>0</v>
      </c>
      <c r="F270" s="36">
        <f>SUM(F258:F269)</f>
        <v>107</v>
      </c>
      <c r="G270" s="36">
        <f>SUM(G258:G269)</f>
        <v>449.4</v>
      </c>
      <c r="H270" s="37"/>
      <c r="I270" s="37"/>
      <c r="J270" s="37"/>
      <c r="K270" s="37"/>
      <c r="L270" s="37"/>
      <c r="M270" s="38">
        <f ca="1">IFERROR(SUM(M258:M269),"")</f>
        <v>3.0555555555555558E-2</v>
      </c>
      <c r="N270" s="36" t="s">
        <v>236</v>
      </c>
      <c r="O270" s="77"/>
    </row>
    <row r="271" spans="1:15" ht="18" customHeight="1">
      <c r="A271" s="103" t="s">
        <v>239</v>
      </c>
      <c r="B271" s="104"/>
      <c r="C271" s="104"/>
      <c r="D271" s="104"/>
      <c r="E271" s="105">
        <f>E257+E270</f>
        <v>0</v>
      </c>
      <c r="F271" s="40">
        <f>F257+F270</f>
        <v>290</v>
      </c>
      <c r="G271" s="40">
        <f>G257+G270</f>
        <v>1274.8</v>
      </c>
      <c r="H271" s="41"/>
      <c r="I271" s="41"/>
      <c r="J271" s="41"/>
      <c r="K271" s="41"/>
      <c r="L271" s="41"/>
      <c r="M271" s="42">
        <f ca="1">IFERROR(M257+M270,"")</f>
        <v>5.7638888888888962E-2</v>
      </c>
      <c r="N271" s="40" t="s">
        <v>240</v>
      </c>
      <c r="O271" s="83">
        <f>IFERROR(O257+O270,"")</f>
        <v>898190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6" t="s">
        <v>235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236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6" t="s">
        <v>238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77"/>
    </row>
    <row r="298" spans="1:15" ht="18" customHeight="1">
      <c r="A298" s="103" t="s">
        <v>239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240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6" t="s">
        <v>235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236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6" t="s">
        <v>238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77"/>
    </row>
    <row r="325" spans="1:15" ht="18" customHeight="1">
      <c r="A325" s="103" t="s">
        <v>239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240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6" t="s">
        <v>235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6" t="s">
        <v>238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77"/>
    </row>
    <row r="352" spans="1:15" ht="18" customHeight="1">
      <c r="A352" s="103" t="s">
        <v>239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6" t="s">
        <v>235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6" t="s">
        <v>238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77"/>
    </row>
    <row r="379" spans="1:15" ht="18" customHeight="1">
      <c r="A379" s="103" t="s">
        <v>239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6" t="s">
        <v>235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6" t="s">
        <v>238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77"/>
    </row>
    <row r="406" spans="1:15" ht="18" customHeight="1">
      <c r="A406" s="103" t="s">
        <v>239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6" t="s">
        <v>235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238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77"/>
    </row>
    <row r="433" spans="1:15" ht="18" customHeight="1">
      <c r="A433" s="92" t="s">
        <v>239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6" t="s">
        <v>235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6" t="s">
        <v>238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77"/>
    </row>
    <row r="460" spans="1:15" ht="18" customHeight="1">
      <c r="A460" s="103" t="s">
        <v>239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6" t="s">
        <v>235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6" t="s">
        <v>238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77"/>
    </row>
    <row r="487" spans="1:15" ht="18" customHeight="1">
      <c r="A487" s="103" t="s">
        <v>239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6" t="s">
        <v>235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238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77"/>
    </row>
    <row r="514" spans="1:15" ht="18" customHeight="1">
      <c r="A514" s="92" t="s">
        <v>239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6" t="s">
        <v>235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6" t="s">
        <v>238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77"/>
    </row>
    <row r="541" spans="1:15" ht="18" customHeight="1">
      <c r="A541" s="103" t="s">
        <v>239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6" t="s">
        <v>235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6" t="s">
        <v>238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77"/>
    </row>
    <row r="568" spans="1:15" ht="18" customHeight="1">
      <c r="A568" s="103" t="s">
        <v>239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6" t="s">
        <v>235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6" t="s">
        <v>238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77"/>
    </row>
    <row r="595" spans="1:15" ht="18" customHeight="1">
      <c r="A595" s="103" t="s">
        <v>239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6" t="s">
        <v>235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6" t="s">
        <v>238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77"/>
    </row>
    <row r="622" spans="1:15" ht="18" customHeight="1">
      <c r="A622" s="103" t="s">
        <v>239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6" t="s">
        <v>235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6" t="s">
        <v>238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77"/>
    </row>
    <row r="649" spans="1:15" ht="18" customHeight="1">
      <c r="A649" s="103" t="s">
        <v>239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6" t="s">
        <v>235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6" t="s">
        <v>238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77"/>
    </row>
    <row r="676" spans="1:15" ht="18" customHeight="1">
      <c r="A676" s="103" t="s">
        <v>239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6" t="s">
        <v>235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6" t="s">
        <v>238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77"/>
    </row>
    <row r="703" spans="1:15" ht="18" customHeight="1">
      <c r="A703" s="103" t="s">
        <v>239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6" t="s">
        <v>235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6" t="s">
        <v>238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77"/>
    </row>
    <row r="730" spans="1:15" ht="18" customHeight="1">
      <c r="A730" s="103" t="s">
        <v>239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6" t="s">
        <v>235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6" t="s">
        <v>238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3" t="s">
        <v>239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6" t="s">
        <v>235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6" t="s">
        <v>238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3" t="s">
        <v>239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6" t="s">
        <v>235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6" t="s">
        <v>238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3" t="s">
        <v>239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6" t="s">
        <v>235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6" t="s">
        <v>238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84"/>
    </row>
    <row r="838" spans="1:15" ht="18" customHeight="1">
      <c r="A838" s="103" t="s">
        <v>239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228" zoomScale="50" zoomScaleNormal="50" workbookViewId="0">
      <selection activeCell="G265" sqref="G265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7.140625" style="20" customWidth="1"/>
    <col min="15" max="15" width="14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6" t="s">
        <v>235</v>
      </c>
      <c r="B14" s="107"/>
      <c r="C14" s="107"/>
      <c r="D14" s="107"/>
      <c r="E14" s="108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236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250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283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250</v>
      </c>
      <c r="F16" s="27">
        <v>9</v>
      </c>
      <c r="G16" s="28">
        <f t="shared" si="3"/>
        <v>37.800000000000004</v>
      </c>
      <c r="H16" s="26" t="s">
        <v>17</v>
      </c>
      <c r="I16" s="26" t="s">
        <v>135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250</v>
      </c>
      <c r="F17" s="27">
        <v>12</v>
      </c>
      <c r="G17" s="34">
        <f t="shared" si="3"/>
        <v>50.400000000000006</v>
      </c>
      <c r="H17" s="33" t="s">
        <v>20</v>
      </c>
      <c r="I17" s="33" t="s">
        <v>157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250</v>
      </c>
      <c r="F18" s="27">
        <v>0</v>
      </c>
      <c r="G18" s="28">
        <f t="shared" si="3"/>
        <v>0</v>
      </c>
      <c r="H18" s="26" t="s">
        <v>17</v>
      </c>
      <c r="I18" s="26" t="s">
        <v>135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260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250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161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284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250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250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250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250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250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250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250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6" t="s">
        <v>238</v>
      </c>
      <c r="B27" s="107"/>
      <c r="C27" s="107"/>
      <c r="D27" s="107"/>
      <c r="E27" s="108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236</v>
      </c>
      <c r="O27" s="39">
        <v>358000</v>
      </c>
    </row>
    <row r="28" spans="1:15" ht="18" customHeight="1">
      <c r="A28" s="103" t="s">
        <v>239</v>
      </c>
      <c r="B28" s="104"/>
      <c r="C28" s="104"/>
      <c r="D28" s="104"/>
      <c r="E28" s="105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240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250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250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250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250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250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250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250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250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250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250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250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250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6" t="s">
        <v>235</v>
      </c>
      <c r="B41" s="107"/>
      <c r="C41" s="107"/>
      <c r="D41" s="107"/>
      <c r="E41" s="108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236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167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266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283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250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250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250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250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250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250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250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283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 t="s">
        <v>20</v>
      </c>
      <c r="I51" s="33" t="s">
        <v>157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250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250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134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6" t="s">
        <v>238</v>
      </c>
      <c r="B54" s="107"/>
      <c r="C54" s="107"/>
      <c r="D54" s="107"/>
      <c r="E54" s="108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236</v>
      </c>
      <c r="O54" s="39">
        <v>279980</v>
      </c>
    </row>
    <row r="55" spans="1:15" ht="18" customHeight="1">
      <c r="A55" s="103" t="s">
        <v>239</v>
      </c>
      <c r="B55" s="104"/>
      <c r="C55" s="104"/>
      <c r="D55" s="104"/>
      <c r="E55" s="105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240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123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250</v>
      </c>
      <c r="F57" s="27">
        <v>4</v>
      </c>
      <c r="G57" s="34">
        <f t="shared" si="12"/>
        <v>16.8</v>
      </c>
      <c r="H57" s="33" t="s">
        <v>20</v>
      </c>
      <c r="I57" s="33" t="s">
        <v>123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250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250</v>
      </c>
      <c r="F60" s="27">
        <v>5</v>
      </c>
      <c r="G60" s="28">
        <f t="shared" si="12"/>
        <v>21</v>
      </c>
      <c r="H60" s="26" t="s">
        <v>20</v>
      </c>
      <c r="I60" s="26" t="s">
        <v>123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250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250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130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285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250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250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250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250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250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6" t="s">
        <v>235</v>
      </c>
      <c r="B68" s="107"/>
      <c r="C68" s="107"/>
      <c r="D68" s="107"/>
      <c r="E68" s="108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236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286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9</v>
      </c>
      <c r="G70" s="28">
        <f t="shared" si="15"/>
        <v>37.800000000000004</v>
      </c>
      <c r="H70" s="26" t="s">
        <v>20</v>
      </c>
      <c r="I70" s="26" t="s">
        <v>149</v>
      </c>
      <c r="J70" s="26" t="s">
        <v>185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250</v>
      </c>
      <c r="F71" s="27">
        <v>9</v>
      </c>
      <c r="G71" s="34">
        <f t="shared" si="15"/>
        <v>37.800000000000004</v>
      </c>
      <c r="H71" s="33" t="s">
        <v>20</v>
      </c>
      <c r="I71" s="33" t="s">
        <v>157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250</v>
      </c>
      <c r="F72" s="27">
        <v>0</v>
      </c>
      <c r="G72" s="28">
        <f t="shared" si="15"/>
        <v>0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250</v>
      </c>
      <c r="F73" s="27">
        <v>7</v>
      </c>
      <c r="G73" s="34">
        <f t="shared" si="15"/>
        <v>29.400000000000002</v>
      </c>
      <c r="H73" s="33" t="s">
        <v>20</v>
      </c>
      <c r="I73" s="33" t="s">
        <v>157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250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250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250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250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250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6" t="s">
        <v>238</v>
      </c>
      <c r="B81" s="107"/>
      <c r="C81" s="107"/>
      <c r="D81" s="107"/>
      <c r="E81" s="108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236</v>
      </c>
      <c r="O81" s="39">
        <v>185920</v>
      </c>
    </row>
    <row r="82" spans="1:15" ht="18" customHeight="1">
      <c r="A82" s="103" t="s">
        <v>239</v>
      </c>
      <c r="B82" s="104"/>
      <c r="C82" s="104"/>
      <c r="D82" s="104"/>
      <c r="E82" s="105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240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250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287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0</v>
      </c>
      <c r="G84" s="34">
        <f t="shared" si="18"/>
        <v>0</v>
      </c>
      <c r="H84" s="26" t="s">
        <v>18</v>
      </c>
      <c r="I84" s="26" t="s">
        <v>138</v>
      </c>
      <c r="J84" s="26" t="s">
        <v>118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288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6" t="s">
        <v>235</v>
      </c>
      <c r="B95" s="107"/>
      <c r="C95" s="107"/>
      <c r="D95" s="107"/>
      <c r="E95" s="108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236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138</v>
      </c>
      <c r="J96" s="26" t="s">
        <v>118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0</v>
      </c>
      <c r="G97" s="28">
        <f t="shared" si="21"/>
        <v>0</v>
      </c>
      <c r="H97" s="33" t="s">
        <v>18</v>
      </c>
      <c r="I97" s="33" t="s">
        <v>138</v>
      </c>
      <c r="J97" s="33" t="s">
        <v>118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289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7</v>
      </c>
      <c r="G99" s="28">
        <f t="shared" si="21"/>
        <v>29.400000000000002</v>
      </c>
      <c r="H99" s="33" t="s">
        <v>20</v>
      </c>
      <c r="I99" s="33" t="s">
        <v>157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6" t="s">
        <v>238</v>
      </c>
      <c r="B108" s="107"/>
      <c r="C108" s="107"/>
      <c r="D108" s="107"/>
      <c r="E108" s="108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236</v>
      </c>
      <c r="O108" s="39">
        <v>434370</v>
      </c>
    </row>
    <row r="109" spans="1:15" ht="18" customHeight="1">
      <c r="A109" s="103" t="s">
        <v>239</v>
      </c>
      <c r="B109" s="104"/>
      <c r="C109" s="104"/>
      <c r="D109" s="104"/>
      <c r="E109" s="105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240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6" t="s">
        <v>235</v>
      </c>
      <c r="B122" s="107"/>
      <c r="C122" s="107"/>
      <c r="D122" s="107"/>
      <c r="E122" s="108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236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157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9</v>
      </c>
      <c r="G124" s="28">
        <f t="shared" si="27"/>
        <v>37.800000000000004</v>
      </c>
      <c r="H124" s="26" t="s">
        <v>20</v>
      </c>
      <c r="I124" s="26" t="s">
        <v>157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290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135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131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198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6" t="s">
        <v>238</v>
      </c>
      <c r="B135" s="107"/>
      <c r="C135" s="107"/>
      <c r="D135" s="107"/>
      <c r="E135" s="108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236</v>
      </c>
      <c r="O135" s="39">
        <v>416350</v>
      </c>
    </row>
    <row r="136" spans="1:15" ht="18" customHeight="1">
      <c r="A136" s="103" t="s">
        <v>239</v>
      </c>
      <c r="B136" s="104"/>
      <c r="C136" s="104"/>
      <c r="D136" s="104"/>
      <c r="E136" s="105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240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291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250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204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250</v>
      </c>
      <c r="F140" s="27">
        <v>0</v>
      </c>
      <c r="G140" s="28">
        <f t="shared" si="30"/>
        <v>0</v>
      </c>
      <c r="H140" s="26" t="s">
        <v>20</v>
      </c>
      <c r="I140" s="26" t="s">
        <v>138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250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250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250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250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275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250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250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250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250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6" t="s">
        <v>235</v>
      </c>
      <c r="B149" s="107"/>
      <c r="C149" s="107"/>
      <c r="D149" s="107"/>
      <c r="E149" s="108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236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266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238</v>
      </c>
      <c r="B162" s="107"/>
      <c r="C162" s="107"/>
      <c r="D162" s="107"/>
      <c r="E162" s="108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236</v>
      </c>
      <c r="O162" s="39">
        <v>169760</v>
      </c>
    </row>
    <row r="163" spans="1:15" ht="18" customHeight="1">
      <c r="A163" s="103" t="s">
        <v>239</v>
      </c>
      <c r="B163" s="104"/>
      <c r="C163" s="104"/>
      <c r="D163" s="104"/>
      <c r="E163" s="105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240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250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250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>
        <v>0.44930555555555557</v>
      </c>
      <c r="M166" s="78">
        <f ca="1">IFERROR(IF(K166="","",IF(L166="",MOD(NOW()-K166,1),IF(L166&gt;=K166,L166-K166,L166+1-K166))),"")</f>
        <v>2.5000000000000022E-2</v>
      </c>
      <c r="N166" s="27" t="s">
        <v>292</v>
      </c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250</v>
      </c>
      <c r="F167" s="27">
        <v>0</v>
      </c>
      <c r="G167" s="34">
        <f t="shared" si="36"/>
        <v>0</v>
      </c>
      <c r="H167" s="33" t="s">
        <v>20</v>
      </c>
      <c r="I167" s="33" t="s">
        <v>47</v>
      </c>
      <c r="J167" s="33" t="s">
        <v>51</v>
      </c>
      <c r="K167" s="29">
        <v>0.45416666666666666</v>
      </c>
      <c r="L167" s="29">
        <v>0.47499999999999998</v>
      </c>
      <c r="M167" s="35">
        <f t="shared" ca="1" si="37"/>
        <v>2.0833333333333315E-2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250</v>
      </c>
      <c r="F168" s="27">
        <v>8</v>
      </c>
      <c r="G168" s="28">
        <f t="shared" si="36"/>
        <v>33.6</v>
      </c>
      <c r="H168" s="26" t="s">
        <v>20</v>
      </c>
      <c r="I168" s="26" t="s">
        <v>47</v>
      </c>
      <c r="J168" s="26" t="s">
        <v>51</v>
      </c>
      <c r="K168" s="29">
        <v>0.48055555555555557</v>
      </c>
      <c r="L168" s="29">
        <v>0.48402777777777778</v>
      </c>
      <c r="M168" s="30">
        <f t="shared" ca="1" si="37"/>
        <v>3.4722222222222099E-3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250</v>
      </c>
      <c r="F169" s="27">
        <v>7</v>
      </c>
      <c r="G169" s="34">
        <f t="shared" si="36"/>
        <v>29.400000000000002</v>
      </c>
      <c r="H169" s="33" t="s">
        <v>20</v>
      </c>
      <c r="I169" s="33" t="s">
        <v>47</v>
      </c>
      <c r="J169" s="33" t="s">
        <v>51</v>
      </c>
      <c r="K169" s="29">
        <v>0.48680555555555555</v>
      </c>
      <c r="L169" s="29">
        <v>0.48958333333333331</v>
      </c>
      <c r="M169" s="35">
        <f t="shared" ca="1" si="37"/>
        <v>2.7777777777777679E-3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250</v>
      </c>
      <c r="F170" s="27">
        <v>5</v>
      </c>
      <c r="G170" s="28">
        <f t="shared" si="36"/>
        <v>21</v>
      </c>
      <c r="H170" s="26" t="s">
        <v>20</v>
      </c>
      <c r="I170" s="26" t="s">
        <v>47</v>
      </c>
      <c r="J170" s="26" t="s">
        <v>51</v>
      </c>
      <c r="K170" s="29">
        <v>0.51041666666666663</v>
      </c>
      <c r="L170" s="29">
        <v>0.51666666666666672</v>
      </c>
      <c r="M170" s="30">
        <f t="shared" ca="1" si="37"/>
        <v>6.2500000000000888E-3</v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250</v>
      </c>
      <c r="F171" s="27">
        <v>5</v>
      </c>
      <c r="G171" s="34">
        <f t="shared" si="36"/>
        <v>21</v>
      </c>
      <c r="H171" s="33" t="s">
        <v>20</v>
      </c>
      <c r="I171" s="33" t="s">
        <v>47</v>
      </c>
      <c r="J171" s="33" t="s">
        <v>51</v>
      </c>
      <c r="K171" s="29">
        <v>0.59027777777777779</v>
      </c>
      <c r="L171" s="29">
        <v>0.59583333333333333</v>
      </c>
      <c r="M171" s="35">
        <f t="shared" ca="1" si="37"/>
        <v>5.5555555555555358E-3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250</v>
      </c>
      <c r="F172" s="27">
        <v>4</v>
      </c>
      <c r="G172" s="28">
        <f t="shared" si="36"/>
        <v>16.8</v>
      </c>
      <c r="H172" s="26" t="s">
        <v>20</v>
      </c>
      <c r="I172" s="26" t="s">
        <v>157</v>
      </c>
      <c r="J172" s="26" t="s">
        <v>74</v>
      </c>
      <c r="K172" s="29">
        <v>0.63194444444444442</v>
      </c>
      <c r="L172" s="29">
        <v>0.63611111111111107</v>
      </c>
      <c r="M172" s="30">
        <f t="shared" ca="1" si="37"/>
        <v>4.1666666666666519E-3</v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250</v>
      </c>
      <c r="F173" s="27">
        <v>3</v>
      </c>
      <c r="G173" s="34">
        <f t="shared" si="36"/>
        <v>12.600000000000001</v>
      </c>
      <c r="H173" s="33" t="s">
        <v>20</v>
      </c>
      <c r="I173" s="33" t="s">
        <v>157</v>
      </c>
      <c r="J173" s="33" t="s">
        <v>74</v>
      </c>
      <c r="K173" s="29">
        <v>0.72222222222222221</v>
      </c>
      <c r="L173" s="29">
        <v>0.73055555555555551</v>
      </c>
      <c r="M173" s="35">
        <f t="shared" ca="1" si="37"/>
        <v>8.3333333333333037E-3</v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250</v>
      </c>
      <c r="F174" s="27">
        <v>3</v>
      </c>
      <c r="G174" s="28">
        <f t="shared" si="36"/>
        <v>12.600000000000001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250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235</v>
      </c>
      <c r="B176" s="107"/>
      <c r="C176" s="107"/>
      <c r="D176" s="107"/>
      <c r="E176" s="108">
        <f>SUM(E164:E175)</f>
        <v>0</v>
      </c>
      <c r="F176" s="36">
        <f>SUM(F164:F175)</f>
        <v>65</v>
      </c>
      <c r="G176" s="36">
        <f>SUM(G164:G175)</f>
        <v>273</v>
      </c>
      <c r="H176" s="37"/>
      <c r="I176" s="37"/>
      <c r="J176" s="37"/>
      <c r="K176" s="37"/>
      <c r="L176" s="37"/>
      <c r="M176" s="38">
        <f ca="1">IFERROR(SUM(M164:M175),"")</f>
        <v>8.4722222222222254E-2</v>
      </c>
      <c r="N176" s="36" t="s">
        <v>236</v>
      </c>
      <c r="O176" s="39">
        <v>271350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47</v>
      </c>
      <c r="J177" s="33" t="s">
        <v>35</v>
      </c>
      <c r="K177" s="29">
        <v>0.8125</v>
      </c>
      <c r="L177" s="29">
        <v>0.90833333333333333</v>
      </c>
      <c r="M177" s="35">
        <f t="shared" ref="M177:M188" ca="1" si="40">IFERROR(IF(K177="","",IF(L177="",MOD(NOW()-K177,1),IF(L177&gt;=K177,L177-K177,L177+1-K177))),"")</f>
        <v>9.5833333333333326E-2</v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250</v>
      </c>
      <c r="F178" s="27">
        <v>0</v>
      </c>
      <c r="G178" s="28">
        <f t="shared" si="39"/>
        <v>0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0</v>
      </c>
      <c r="G179" s="34">
        <f t="shared" si="39"/>
        <v>0</v>
      </c>
      <c r="H179" s="33" t="s">
        <v>20</v>
      </c>
      <c r="I179" s="33" t="s">
        <v>47</v>
      </c>
      <c r="J179" s="33" t="s">
        <v>56</v>
      </c>
      <c r="K179" s="29">
        <v>0.95833333333333337</v>
      </c>
      <c r="L179" s="29">
        <v>0.96805555555555556</v>
      </c>
      <c r="M179" s="35">
        <f t="shared" ca="1" si="40"/>
        <v>9.7222222222221877E-3</v>
      </c>
      <c r="N179" s="27" t="s">
        <v>293</v>
      </c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250</v>
      </c>
      <c r="F180" s="27">
        <v>0</v>
      </c>
      <c r="G180" s="28">
        <f t="shared" si="39"/>
        <v>0</v>
      </c>
      <c r="H180" s="26" t="s">
        <v>20</v>
      </c>
      <c r="I180" s="26" t="s">
        <v>123</v>
      </c>
      <c r="J180" s="26" t="s">
        <v>114</v>
      </c>
      <c r="K180" s="29">
        <v>6.9444444444444441E-3</v>
      </c>
      <c r="L180" s="29">
        <v>2.5694444444444443E-2</v>
      </c>
      <c r="M180" s="30">
        <f t="shared" ca="1" si="40"/>
        <v>1.8749999999999999E-2</v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5</v>
      </c>
      <c r="G181" s="34">
        <f>IF(F181="","",IF(E181="PC 17",F181*4.2,IF(E181="PC 19",F181*5,IF(E181="CB",F181*24,""))))</f>
        <v>21</v>
      </c>
      <c r="H181" s="33" t="s">
        <v>20</v>
      </c>
      <c r="I181" s="33" t="s">
        <v>149</v>
      </c>
      <c r="J181" s="33" t="s">
        <v>134</v>
      </c>
      <c r="K181" s="29">
        <v>4.5138888888888888E-2</v>
      </c>
      <c r="L181" s="29">
        <v>7.013888888888889E-2</v>
      </c>
      <c r="M181" s="35">
        <f t="shared" ca="1" si="40"/>
        <v>2.5000000000000001E-2</v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250</v>
      </c>
      <c r="F182" s="27">
        <v>2</v>
      </c>
      <c r="G182" s="28">
        <f t="shared" si="39"/>
        <v>8.4</v>
      </c>
      <c r="H182" s="26" t="s">
        <v>20</v>
      </c>
      <c r="I182" s="26"/>
      <c r="J182" s="26" t="s">
        <v>74</v>
      </c>
      <c r="K182" s="29">
        <v>8.3333333333333329E-2</v>
      </c>
      <c r="L182" s="29">
        <v>0.15486111111111112</v>
      </c>
      <c r="M182" s="30">
        <f t="shared" ca="1" si="40"/>
        <v>7.1527777777777787E-2</v>
      </c>
      <c r="N182" s="27" t="s">
        <v>278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</v>
      </c>
      <c r="G183" s="34">
        <f t="shared" si="39"/>
        <v>4.2</v>
      </c>
      <c r="H183" s="33" t="s">
        <v>20</v>
      </c>
      <c r="I183" s="33" t="s">
        <v>47</v>
      </c>
      <c r="J183" s="33" t="s">
        <v>51</v>
      </c>
      <c r="K183" s="29">
        <v>0.16666666666666666</v>
      </c>
      <c r="L183" s="29">
        <v>0.1701388888888889</v>
      </c>
      <c r="M183" s="35">
        <f t="shared" ca="1" si="40"/>
        <v>3.4722222222222376E-3</v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250</v>
      </c>
      <c r="F184" s="27">
        <v>0</v>
      </c>
      <c r="G184" s="28">
        <f t="shared" si="39"/>
        <v>0</v>
      </c>
      <c r="H184" s="26" t="s">
        <v>20</v>
      </c>
      <c r="I184" s="26"/>
      <c r="J184" s="26" t="s">
        <v>74</v>
      </c>
      <c r="K184" s="29">
        <v>0.18958333333333333</v>
      </c>
      <c r="L184" s="29">
        <v>0.1986111111111111</v>
      </c>
      <c r="M184" s="30">
        <f t="shared" ca="1" si="40"/>
        <v>9.0277777777777735E-3</v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2</v>
      </c>
      <c r="G185" s="34">
        <f t="shared" si="39"/>
        <v>8.4</v>
      </c>
      <c r="H185" s="33" t="s">
        <v>20</v>
      </c>
      <c r="I185" s="33"/>
      <c r="J185" s="33" t="s">
        <v>74</v>
      </c>
      <c r="K185" s="29">
        <v>0.23958333333333334</v>
      </c>
      <c r="L185" s="29">
        <v>0.28611111111111109</v>
      </c>
      <c r="M185" s="35">
        <f t="shared" ca="1" si="40"/>
        <v>4.6527777777777751E-2</v>
      </c>
      <c r="N185" s="27" t="s">
        <v>278</v>
      </c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250</v>
      </c>
      <c r="F186" s="27">
        <v>3</v>
      </c>
      <c r="G186" s="28">
        <f t="shared" si="39"/>
        <v>12.600000000000001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4</v>
      </c>
      <c r="G187" s="34">
        <f t="shared" si="39"/>
        <v>16.8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250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238</v>
      </c>
      <c r="B189" s="107"/>
      <c r="C189" s="107"/>
      <c r="D189" s="107"/>
      <c r="E189" s="108">
        <f>SUM(E177:E188)</f>
        <v>0</v>
      </c>
      <c r="F189" s="36">
        <f>SUM(F177:F188)</f>
        <v>19</v>
      </c>
      <c r="G189" s="36">
        <f>SUM(G177:G188)</f>
        <v>79.8</v>
      </c>
      <c r="H189" s="37"/>
      <c r="I189" s="37"/>
      <c r="J189" s="37"/>
      <c r="K189" s="37"/>
      <c r="L189" s="37"/>
      <c r="M189" s="38">
        <f ca="1">IFERROR(SUM(M177:M188),"")</f>
        <v>0.31736111111111109</v>
      </c>
      <c r="N189" s="36" t="s">
        <v>236</v>
      </c>
      <c r="O189" s="39">
        <v>72220</v>
      </c>
    </row>
    <row r="190" spans="1:15" ht="18" customHeight="1">
      <c r="A190" s="103" t="s">
        <v>239</v>
      </c>
      <c r="B190" s="104"/>
      <c r="C190" s="104"/>
      <c r="D190" s="104"/>
      <c r="E190" s="105">
        <f>E176+E189</f>
        <v>0</v>
      </c>
      <c r="F190" s="40">
        <f>F176+F189</f>
        <v>84</v>
      </c>
      <c r="G190" s="40">
        <f>G176+G189</f>
        <v>352.8</v>
      </c>
      <c r="H190" s="41"/>
      <c r="I190" s="41"/>
      <c r="J190" s="41"/>
      <c r="K190" s="41"/>
      <c r="L190" s="41"/>
      <c r="M190" s="42">
        <f ca="1">IFERROR(M176+M189,"")</f>
        <v>0.40208333333333335</v>
      </c>
      <c r="N190" s="40" t="s">
        <v>240</v>
      </c>
      <c r="O190" s="43">
        <f>IFERROR(O176+O189,"")</f>
        <v>343570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0</v>
      </c>
      <c r="G191" s="34">
        <f t="shared" ref="G191:G202" si="42">IF(F191="","",IF(E191="PC 17",F191*4.2,IF(E191="PC 19",F191*5,IF(E191="CB",F191*24,""))))</f>
        <v>0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2</v>
      </c>
      <c r="G192" s="28">
        <f t="shared" si="42"/>
        <v>8.4</v>
      </c>
      <c r="H192" s="26" t="s">
        <v>20</v>
      </c>
      <c r="I192" s="26" t="s">
        <v>47</v>
      </c>
      <c r="J192" s="33" t="s">
        <v>36</v>
      </c>
      <c r="K192" s="29">
        <v>0.38472222222222224</v>
      </c>
      <c r="L192" s="29">
        <v>0.40972222222222221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0</v>
      </c>
      <c r="G193" s="34">
        <f t="shared" si="42"/>
        <v>0</v>
      </c>
      <c r="H193" s="33" t="s">
        <v>19</v>
      </c>
      <c r="I193" s="33" t="s">
        <v>47</v>
      </c>
      <c r="J193" s="33" t="s">
        <v>27</v>
      </c>
      <c r="K193" s="29">
        <v>0.43055555555555558</v>
      </c>
      <c r="L193" s="29">
        <v>0.44583333333333336</v>
      </c>
      <c r="M193" s="35">
        <f t="shared" ca="1" si="43"/>
        <v>1.5277777777777779E-2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2</v>
      </c>
      <c r="G194" s="28">
        <f t="shared" si="42"/>
        <v>8.4</v>
      </c>
      <c r="H194" s="26" t="s">
        <v>20</v>
      </c>
      <c r="I194" s="26" t="s">
        <v>149</v>
      </c>
      <c r="J194" s="26" t="s">
        <v>182</v>
      </c>
      <c r="K194" s="29">
        <v>0.47499999999999998</v>
      </c>
      <c r="L194" s="29">
        <v>0.4861111111111111</v>
      </c>
      <c r="M194" s="30">
        <f t="shared" ca="1" si="43"/>
        <v>1.1111111111111127E-2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0</v>
      </c>
      <c r="G195" s="34">
        <f t="shared" si="42"/>
        <v>0</v>
      </c>
      <c r="H195" s="33" t="s">
        <v>20</v>
      </c>
      <c r="I195" s="33" t="s">
        <v>149</v>
      </c>
      <c r="J195" s="26" t="s">
        <v>182</v>
      </c>
      <c r="K195" s="29">
        <v>0.50694444444444442</v>
      </c>
      <c r="L195" s="29">
        <v>0.53333333333333333</v>
      </c>
      <c r="M195" s="35">
        <f t="shared" ca="1" si="43"/>
        <v>2.6388888888888906E-2</v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0</v>
      </c>
      <c r="G196" s="28">
        <f t="shared" si="42"/>
        <v>0</v>
      </c>
      <c r="H196" s="26" t="s">
        <v>19</v>
      </c>
      <c r="I196" s="26" t="s">
        <v>47</v>
      </c>
      <c r="J196" s="26" t="s">
        <v>78</v>
      </c>
      <c r="K196" s="29">
        <v>0.58750000000000002</v>
      </c>
      <c r="L196" s="29">
        <v>0.59375</v>
      </c>
      <c r="M196" s="30">
        <f t="shared" ca="1" si="43"/>
        <v>6.2499999999999778E-3</v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2</v>
      </c>
      <c r="G197" s="34">
        <f t="shared" si="42"/>
        <v>8.4</v>
      </c>
      <c r="H197" s="33" t="s">
        <v>20</v>
      </c>
      <c r="I197" s="33" t="s">
        <v>47</v>
      </c>
      <c r="J197" s="33" t="s">
        <v>51</v>
      </c>
      <c r="K197" s="29">
        <v>0.6069444444444444</v>
      </c>
      <c r="L197" s="29">
        <v>0.61319444444444449</v>
      </c>
      <c r="M197" s="35">
        <f t="shared" ca="1" si="43"/>
        <v>6.2500000000000888E-3</v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3</v>
      </c>
      <c r="G198" s="28">
        <f t="shared" si="42"/>
        <v>12.600000000000001</v>
      </c>
      <c r="H198" s="26" t="s">
        <v>19</v>
      </c>
      <c r="I198" s="26" t="s">
        <v>47</v>
      </c>
      <c r="J198" s="33" t="s">
        <v>78</v>
      </c>
      <c r="K198" s="29">
        <v>0.625</v>
      </c>
      <c r="L198" s="29">
        <v>0.63194444444444442</v>
      </c>
      <c r="M198" s="30">
        <f t="shared" ca="1" si="43"/>
        <v>6.9444444444444198E-3</v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0</v>
      </c>
      <c r="G199" s="34">
        <f t="shared" si="42"/>
        <v>0</v>
      </c>
      <c r="H199" s="33" t="s">
        <v>19</v>
      </c>
      <c r="I199" s="33" t="s">
        <v>47</v>
      </c>
      <c r="J199" s="33" t="s">
        <v>78</v>
      </c>
      <c r="K199" s="29">
        <v>0.68402777777777779</v>
      </c>
      <c r="L199" s="29">
        <v>0.69097222222222221</v>
      </c>
      <c r="M199" s="35">
        <f t="shared" ca="1" si="43"/>
        <v>6.9444444444444198E-3</v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4</v>
      </c>
      <c r="G200" s="28">
        <f t="shared" si="42"/>
        <v>16.8</v>
      </c>
      <c r="H200" s="26" t="s">
        <v>20</v>
      </c>
      <c r="I200" s="26" t="s">
        <v>123</v>
      </c>
      <c r="J200" s="26" t="s">
        <v>114</v>
      </c>
      <c r="K200" s="29">
        <v>0.71666666666666667</v>
      </c>
      <c r="L200" s="29">
        <v>0.72499999999999998</v>
      </c>
      <c r="M200" s="30">
        <f t="shared" ca="1" si="43"/>
        <v>8.3333333333333037E-3</v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0</v>
      </c>
      <c r="G201" s="34">
        <f t="shared" si="42"/>
        <v>0</v>
      </c>
      <c r="H201" s="33" t="s">
        <v>20</v>
      </c>
      <c r="I201" s="33" t="s">
        <v>123</v>
      </c>
      <c r="J201" s="33" t="s">
        <v>114</v>
      </c>
      <c r="K201" s="29">
        <v>0.7368055555555556</v>
      </c>
      <c r="L201" s="29">
        <v>0.74444444444444446</v>
      </c>
      <c r="M201" s="35">
        <f t="shared" ca="1" si="43"/>
        <v>7.6388888888888618E-3</v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2</v>
      </c>
      <c r="G202" s="28">
        <f t="shared" si="42"/>
        <v>8.4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235</v>
      </c>
      <c r="B203" s="107"/>
      <c r="C203" s="107"/>
      <c r="D203" s="107"/>
      <c r="E203" s="108">
        <f>SUM(E191:E202)</f>
        <v>0</v>
      </c>
      <c r="F203" s="36">
        <f>SUM(F191:F202)</f>
        <v>15</v>
      </c>
      <c r="G203" s="36">
        <f>SUM(G191:G202)</f>
        <v>63.000000000000007</v>
      </c>
      <c r="H203" s="37"/>
      <c r="I203" s="37"/>
      <c r="J203" s="37"/>
      <c r="K203" s="37"/>
      <c r="L203" s="37"/>
      <c r="M203" s="38">
        <f ca="1">IFERROR(SUM(M191:M202),"")</f>
        <v>0.16180555555555548</v>
      </c>
      <c r="N203" s="36" t="s">
        <v>236</v>
      </c>
      <c r="O203" s="39">
        <v>92510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2</v>
      </c>
      <c r="G204" s="28">
        <f t="shared" ref="G204:G215" si="45">IF(F204="","",IF(E204="PC 17",F204*4.2,IF(E204="PC 19",F204*5,IF(E204="CB",F204*24,""))))</f>
        <v>8.4</v>
      </c>
      <c r="H204" s="26" t="s">
        <v>20</v>
      </c>
      <c r="I204" s="26" t="s">
        <v>47</v>
      </c>
      <c r="J204" s="26" t="s">
        <v>51</v>
      </c>
      <c r="K204" s="29">
        <v>0.79166666666666663</v>
      </c>
      <c r="L204" s="29">
        <v>0.79791666666666672</v>
      </c>
      <c r="M204" s="30">
        <f t="shared" ref="M204:M215" ca="1" si="46">IFERROR(IF(K204="","",IF(L204="",MOD(NOW()-K204,1),IF(L204&gt;=K204,L204-K204,L204+1-K204))),"")</f>
        <v>6.2500000000000888E-3</v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6</v>
      </c>
      <c r="G205" s="34">
        <f t="shared" si="45"/>
        <v>25.200000000000003</v>
      </c>
      <c r="H205" s="33" t="s">
        <v>20</v>
      </c>
      <c r="I205" s="33" t="s">
        <v>47</v>
      </c>
      <c r="J205" s="33" t="s">
        <v>56</v>
      </c>
      <c r="K205" s="29">
        <v>0.80833333333333335</v>
      </c>
      <c r="L205" s="29">
        <v>0.85763888888888884</v>
      </c>
      <c r="M205" s="35">
        <f t="shared" ca="1" si="46"/>
        <v>4.9305555555555491E-2</v>
      </c>
      <c r="N205" s="27" t="s">
        <v>294</v>
      </c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1</v>
      </c>
      <c r="G206" s="28">
        <f t="shared" si="45"/>
        <v>4.2</v>
      </c>
      <c r="H206" s="26" t="s">
        <v>20</v>
      </c>
      <c r="I206" s="26"/>
      <c r="J206" s="26" t="s">
        <v>74</v>
      </c>
      <c r="K206" s="29">
        <v>0.88680555555555551</v>
      </c>
      <c r="L206" s="29">
        <v>0.89930555555555558</v>
      </c>
      <c r="M206" s="30">
        <f t="shared" ca="1" si="46"/>
        <v>1.2500000000000067E-2</v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5</v>
      </c>
      <c r="G207" s="34">
        <f t="shared" si="45"/>
        <v>21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7</v>
      </c>
      <c r="G209" s="34">
        <f t="shared" si="45"/>
        <v>29.400000000000002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4</v>
      </c>
      <c r="G210" s="28">
        <f t="shared" si="45"/>
        <v>16.8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5</v>
      </c>
      <c r="G211" s="34">
        <f t="shared" si="45"/>
        <v>21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3</v>
      </c>
      <c r="G213" s="34">
        <f t="shared" si="45"/>
        <v>12.600000000000001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3</v>
      </c>
      <c r="G214" s="28">
        <f t="shared" si="45"/>
        <v>12.600000000000001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3</v>
      </c>
      <c r="G215" s="34">
        <f t="shared" si="45"/>
        <v>12.600000000000001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6" t="s">
        <v>238</v>
      </c>
      <c r="B216" s="107"/>
      <c r="C216" s="107"/>
      <c r="D216" s="107"/>
      <c r="E216" s="108">
        <f>SUM(E204:E215)</f>
        <v>0</v>
      </c>
      <c r="F216" s="36">
        <f>SUM(F204:F215)</f>
        <v>46</v>
      </c>
      <c r="G216" s="36">
        <f>SUM(G204:G215)</f>
        <v>193.2</v>
      </c>
      <c r="H216" s="37"/>
      <c r="I216" s="37"/>
      <c r="J216" s="37"/>
      <c r="K216" s="37"/>
      <c r="L216" s="37"/>
      <c r="M216" s="38">
        <f ca="1">IFERROR(SUM(M204:M215),"")</f>
        <v>6.8055555555555647E-2</v>
      </c>
      <c r="N216" s="36" t="s">
        <v>236</v>
      </c>
      <c r="O216" s="39">
        <v>148720</v>
      </c>
    </row>
    <row r="217" spans="1:15" ht="18" customHeight="1">
      <c r="A217" s="103" t="s">
        <v>239</v>
      </c>
      <c r="B217" s="104"/>
      <c r="C217" s="104"/>
      <c r="D217" s="104"/>
      <c r="E217" s="105">
        <f>E203+E216</f>
        <v>0</v>
      </c>
      <c r="F217" s="40">
        <f>F203+F216</f>
        <v>61</v>
      </c>
      <c r="G217" s="40">
        <f>G203+G216</f>
        <v>256.2</v>
      </c>
      <c r="H217" s="41"/>
      <c r="I217" s="41"/>
      <c r="J217" s="41"/>
      <c r="K217" s="41"/>
      <c r="L217" s="41"/>
      <c r="M217" s="42">
        <f ca="1">IFERROR(M203+M216,"")</f>
        <v>0.22986111111111113</v>
      </c>
      <c r="N217" s="40" t="s">
        <v>240</v>
      </c>
      <c r="O217" s="48">
        <f>IFERROR(O203+O216,"")</f>
        <v>241230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0</v>
      </c>
      <c r="G218" s="28">
        <f t="shared" ref="G218:G229" si="48">IF(F218="","",IF(E218="PC 17",F218*4.2,IF(E218="PC 19",F218*5,IF(E218="CB",F218*24,""))))</f>
        <v>0</v>
      </c>
      <c r="H218" s="26" t="s">
        <v>19</v>
      </c>
      <c r="I218" s="26" t="s">
        <v>135</v>
      </c>
      <c r="J218" s="26" t="s">
        <v>61</v>
      </c>
      <c r="K218" s="29">
        <v>0.4375</v>
      </c>
      <c r="L218" s="29">
        <v>0.46944444444444444</v>
      </c>
      <c r="M218" s="30">
        <f t="shared" ref="M218:M229" ca="1" si="49">IFERROR(IF(K218="","",IF(L218="",MOD(NOW()-K218,1),IF(L218&gt;=K218,L218-K218,L218+1-K218))),"")</f>
        <v>3.1944444444444442E-2</v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12</v>
      </c>
      <c r="G219" s="34">
        <f t="shared" si="48"/>
        <v>50.400000000000006</v>
      </c>
      <c r="H219" s="33" t="s">
        <v>20</v>
      </c>
      <c r="I219" s="33" t="s">
        <v>47</v>
      </c>
      <c r="J219" s="33" t="s">
        <v>36</v>
      </c>
      <c r="K219" s="29">
        <v>0.50694444444444442</v>
      </c>
      <c r="L219" s="29">
        <v>0.52152777777777781</v>
      </c>
      <c r="M219" s="35">
        <f t="shared" ca="1" si="49"/>
        <v>1.4583333333333393E-2</v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10</v>
      </c>
      <c r="G220" s="28">
        <f t="shared" si="48"/>
        <v>42</v>
      </c>
      <c r="H220" s="26" t="s">
        <v>20</v>
      </c>
      <c r="I220" s="26" t="s">
        <v>157</v>
      </c>
      <c r="J220" s="26" t="s">
        <v>74</v>
      </c>
      <c r="K220" s="29">
        <v>0.62847222222222221</v>
      </c>
      <c r="L220" s="29">
        <v>0.6333333333333333</v>
      </c>
      <c r="M220" s="30">
        <f t="shared" ca="1" si="49"/>
        <v>4.8611111111110938E-3</v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7</v>
      </c>
      <c r="G221" s="34">
        <f t="shared" si="48"/>
        <v>29.400000000000002</v>
      </c>
      <c r="H221" s="33" t="s">
        <v>18</v>
      </c>
      <c r="I221" s="33" t="s">
        <v>135</v>
      </c>
      <c r="J221" s="33" t="s">
        <v>100</v>
      </c>
      <c r="K221" s="29">
        <v>0.67777777777777781</v>
      </c>
      <c r="L221" s="29">
        <v>0.68472222222222223</v>
      </c>
      <c r="M221" s="35">
        <f t="shared" ca="1" si="49"/>
        <v>6.9444444444444198E-3</v>
      </c>
      <c r="N221" s="27" t="s">
        <v>295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25</v>
      </c>
      <c r="H222" s="26" t="s">
        <v>18</v>
      </c>
      <c r="I222" s="26" t="s">
        <v>135</v>
      </c>
      <c r="J222" s="26" t="s">
        <v>61</v>
      </c>
      <c r="K222" s="29">
        <v>0.69930555555555551</v>
      </c>
      <c r="L222" s="29" t="s">
        <v>296</v>
      </c>
      <c r="M222" s="30" t="str">
        <f t="shared" ca="1" si="49"/>
        <v/>
      </c>
      <c r="N222" s="27" t="s">
        <v>297</v>
      </c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7</v>
      </c>
      <c r="G223" s="34">
        <f t="shared" si="48"/>
        <v>29.400000000000002</v>
      </c>
      <c r="H223" s="33" t="s">
        <v>19</v>
      </c>
      <c r="I223" s="33" t="s">
        <v>47</v>
      </c>
      <c r="J223" s="33" t="s">
        <v>27</v>
      </c>
      <c r="K223" s="29">
        <v>0.72430555555555554</v>
      </c>
      <c r="L223" s="29">
        <v>0.79166666666666663</v>
      </c>
      <c r="M223" s="35">
        <f t="shared" ca="1" si="49"/>
        <v>6.7361111111111094E-2</v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5</v>
      </c>
      <c r="G224" s="28">
        <f t="shared" si="48"/>
        <v>21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3</v>
      </c>
      <c r="G226" s="28">
        <f t="shared" si="48"/>
        <v>12.600000000000001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2</v>
      </c>
      <c r="G227" s="34">
        <f t="shared" si="48"/>
        <v>8.4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2</v>
      </c>
      <c r="G228" s="28">
        <f t="shared" si="48"/>
        <v>8.4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6" t="s">
        <v>235</v>
      </c>
      <c r="B230" s="107"/>
      <c r="C230" s="107"/>
      <c r="D230" s="107"/>
      <c r="E230" s="108">
        <f>SUM(E218:E229)</f>
        <v>0</v>
      </c>
      <c r="F230" s="36">
        <f>SUM(F218:F229)</f>
        <v>77</v>
      </c>
      <c r="G230" s="36">
        <f>SUM(G218:G229)</f>
        <v>327.39999999999998</v>
      </c>
      <c r="H230" s="37"/>
      <c r="I230" s="37"/>
      <c r="J230" s="37"/>
      <c r="K230" s="37"/>
      <c r="L230" s="37"/>
      <c r="M230" s="38">
        <f ca="1">IFERROR(SUM(M218:M229),"")</f>
        <v>0.12569444444444444</v>
      </c>
      <c r="N230" s="36" t="s">
        <v>236</v>
      </c>
      <c r="O230" s="39">
        <v>329640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9</v>
      </c>
      <c r="G231" s="34">
        <f t="shared" ref="G231:G242" si="51">IF(F231="","",IF(E231="PC 17",F231*4.2,IF(E231="PC 19",F231*5,IF(E231="CB",F231*24,""))))</f>
        <v>37.800000000000004</v>
      </c>
      <c r="H231" s="33" t="s">
        <v>19</v>
      </c>
      <c r="I231" s="33" t="s">
        <v>47</v>
      </c>
      <c r="J231" s="33" t="s">
        <v>27</v>
      </c>
      <c r="K231" s="29">
        <v>0.23749999999999999</v>
      </c>
      <c r="L231" s="29">
        <v>0.28749999999999998</v>
      </c>
      <c r="M231" s="35">
        <f t="shared" ref="M231:M242" ca="1" si="52">IFERROR(IF(K231="","",IF(L231="",MOD(NOW()-K231,1),IF(L231&gt;=K231,L231-K231,L231+1-K231))),"")</f>
        <v>4.9999999999999989E-2</v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7</v>
      </c>
      <c r="G232" s="28">
        <f t="shared" si="51"/>
        <v>35</v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2</v>
      </c>
      <c r="G233" s="34">
        <f t="shared" si="51"/>
        <v>8.4</v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1</v>
      </c>
      <c r="G234" s="28">
        <f t="shared" si="51"/>
        <v>5</v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7</v>
      </c>
      <c r="G235" s="34">
        <f t="shared" si="51"/>
        <v>35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11</v>
      </c>
      <c r="G236" s="28">
        <f t="shared" si="51"/>
        <v>55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3</v>
      </c>
      <c r="G238" s="28">
        <f t="shared" si="51"/>
        <v>15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7</v>
      </c>
      <c r="G239" s="34">
        <f t="shared" si="51"/>
        <v>35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3</v>
      </c>
      <c r="G241" s="34">
        <f t="shared" si="51"/>
        <v>15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6" t="s">
        <v>238</v>
      </c>
      <c r="B243" s="107"/>
      <c r="C243" s="107"/>
      <c r="D243" s="107"/>
      <c r="E243" s="108">
        <f>SUM(E231:E242)</f>
        <v>0</v>
      </c>
      <c r="F243" s="36">
        <f>SUM(F231:F242)</f>
        <v>73</v>
      </c>
      <c r="G243" s="36">
        <f>SUM(G231:G242)</f>
        <v>356.20000000000005</v>
      </c>
      <c r="H243" s="37"/>
      <c r="I243" s="37"/>
      <c r="J243" s="37"/>
      <c r="K243" s="37"/>
      <c r="L243" s="37"/>
      <c r="M243" s="38">
        <f ca="1">IFERROR(SUM(M231:M242),"")</f>
        <v>4.9999999999999989E-2</v>
      </c>
      <c r="N243" s="36" t="s">
        <v>236</v>
      </c>
      <c r="O243" s="39">
        <v>352720</v>
      </c>
    </row>
    <row r="244" spans="1:15" ht="18" customHeight="1">
      <c r="A244" s="103" t="s">
        <v>239</v>
      </c>
      <c r="B244" s="104"/>
      <c r="C244" s="104"/>
      <c r="D244" s="104"/>
      <c r="E244" s="105">
        <f>E230+E243</f>
        <v>0</v>
      </c>
      <c r="F244" s="40">
        <f>F230+F243</f>
        <v>150</v>
      </c>
      <c r="G244" s="40">
        <f>G230+G243</f>
        <v>683.6</v>
      </c>
      <c r="H244" s="41"/>
      <c r="I244" s="41"/>
      <c r="J244" s="41"/>
      <c r="K244" s="41"/>
      <c r="L244" s="41"/>
      <c r="M244" s="42">
        <f ca="1">IFERROR(M230+M243,"")</f>
        <v>0.17569444444444443</v>
      </c>
      <c r="N244" s="40" t="s">
        <v>240</v>
      </c>
      <c r="O244" s="48">
        <f>IFERROR(O230+O243,"")</f>
        <v>682360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102">
        <v>7</v>
      </c>
      <c r="G245" s="28">
        <f t="shared" ref="G245:G256" si="54">IF(F245="","",IF(E245="PC 17",F245*4.2,IF(E245="PC 19",F245*5,IF(E245="CB",F245*24,""))))</f>
        <v>35</v>
      </c>
      <c r="H245" s="33" t="s">
        <v>19</v>
      </c>
      <c r="I245" s="33" t="s">
        <v>47</v>
      </c>
      <c r="J245" s="33" t="s">
        <v>27</v>
      </c>
      <c r="K245" s="29">
        <v>0.30208333333333331</v>
      </c>
      <c r="L245" s="29">
        <v>0.31944444444444442</v>
      </c>
      <c r="M245" s="35">
        <f t="shared" ref="M245:M256" ca="1" si="55">IFERROR(IF(K245="","",IF(L245="",MOD(NOW()-K245,1),IF(L245&gt;=K245,L245-K245,L245+1-K245))),"")</f>
        <v>1.7361111111111105E-2</v>
      </c>
      <c r="N245" s="27" t="s">
        <v>298</v>
      </c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102">
        <v>2</v>
      </c>
      <c r="G246" s="34">
        <f t="shared" si="54"/>
        <v>10</v>
      </c>
      <c r="H246" s="33" t="s">
        <v>20</v>
      </c>
      <c r="I246" s="26" t="s">
        <v>47</v>
      </c>
      <c r="J246" s="33" t="s">
        <v>51</v>
      </c>
      <c r="K246" s="29">
        <v>0.3298611111111111</v>
      </c>
      <c r="L246" s="29">
        <v>0.33263888888888887</v>
      </c>
      <c r="M246" s="30">
        <f t="shared" ca="1" si="55"/>
        <v>2.7777777777777679E-3</v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102">
        <v>10</v>
      </c>
      <c r="G247" s="28">
        <f t="shared" si="54"/>
        <v>50</v>
      </c>
      <c r="H247" s="33" t="s">
        <v>20</v>
      </c>
      <c r="I247" s="33" t="s">
        <v>47</v>
      </c>
      <c r="J247" s="33" t="s">
        <v>36</v>
      </c>
      <c r="K247" s="29">
        <v>0.34236111111111112</v>
      </c>
      <c r="L247" s="29">
        <v>0.36805555555555558</v>
      </c>
      <c r="M247" s="35">
        <f t="shared" ca="1" si="55"/>
        <v>2.5694444444444464E-2</v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102">
        <v>13</v>
      </c>
      <c r="G248" s="34">
        <f t="shared" si="54"/>
        <v>65</v>
      </c>
      <c r="H248" s="26" t="s">
        <v>20</v>
      </c>
      <c r="I248" s="26" t="s">
        <v>47</v>
      </c>
      <c r="J248" s="26" t="s">
        <v>28</v>
      </c>
      <c r="K248" s="29">
        <v>0.71180555555555558</v>
      </c>
      <c r="L248" s="29">
        <v>0.71527777777777779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102">
        <v>11</v>
      </c>
      <c r="G249" s="28">
        <f t="shared" si="54"/>
        <v>46.2</v>
      </c>
      <c r="H249" s="33" t="s">
        <v>19</v>
      </c>
      <c r="I249" s="33" t="s">
        <v>47</v>
      </c>
      <c r="J249" s="33" t="s">
        <v>27</v>
      </c>
      <c r="K249" s="29">
        <v>0.72777777777777775</v>
      </c>
      <c r="L249" s="29">
        <v>0.73958333333333337</v>
      </c>
      <c r="M249" s="35">
        <f t="shared" ca="1" si="55"/>
        <v>1.1805555555555625E-2</v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30</v>
      </c>
      <c r="E250" s="59" t="s">
        <v>250</v>
      </c>
      <c r="F250" s="102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250</v>
      </c>
      <c r="F251" s="102">
        <v>10</v>
      </c>
      <c r="G251" s="28">
        <f t="shared" si="54"/>
        <v>42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102">
        <v>13</v>
      </c>
      <c r="G252" s="34">
        <f t="shared" si="54"/>
        <v>54.6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102">
        <v>15</v>
      </c>
      <c r="G253" s="28">
        <f t="shared" si="54"/>
        <v>63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102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234</v>
      </c>
      <c r="F255" s="102">
        <v>8</v>
      </c>
      <c r="G255" s="28">
        <f t="shared" si="54"/>
        <v>40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234</v>
      </c>
      <c r="F256" s="102">
        <v>7</v>
      </c>
      <c r="G256" s="34">
        <f t="shared" si="54"/>
        <v>35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6" t="s">
        <v>235</v>
      </c>
      <c r="B257" s="107"/>
      <c r="C257" s="107"/>
      <c r="D257" s="107"/>
      <c r="E257" s="108"/>
      <c r="F257" s="101">
        <f>SUM(F245:F256)</f>
        <v>113</v>
      </c>
      <c r="G257" s="36">
        <f>SUM(G245:G256)</f>
        <v>512.20000000000005</v>
      </c>
      <c r="H257" s="37"/>
      <c r="I257" s="37"/>
      <c r="J257" s="37"/>
      <c r="K257" s="37"/>
      <c r="L257" s="37"/>
      <c r="M257" s="38">
        <f ca="1">IFERROR(SUM(M245:M256),"")</f>
        <v>6.1111111111111172E-2</v>
      </c>
      <c r="N257" s="36" t="s">
        <v>236</v>
      </c>
      <c r="O257" s="39">
        <v>549440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20" t="s">
        <v>250</v>
      </c>
      <c r="F258" s="102">
        <v>9</v>
      </c>
      <c r="G258" s="34">
        <f t="shared" ref="G258:G269" si="57">IF(F258="","",IF(E258="PC 17",F258*4.2,IF(E258="PC 19",F258*5,IF(E258="CB",F258*24,""))))</f>
        <v>37.800000000000004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20" t="s">
        <v>250</v>
      </c>
      <c r="F259" s="102">
        <v>15</v>
      </c>
      <c r="G259" s="28">
        <f>IF(F259="","",IF(E260="PC 17",F259*4.2,IF(E260="PC 19",F259*5,IF(E260="CB",F259*24,""))))</f>
        <v>63</v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102">
        <v>7</v>
      </c>
      <c r="G260" s="34">
        <v>30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6</v>
      </c>
      <c r="G261" s="28">
        <f t="shared" si="57"/>
        <v>25.200000000000003</v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20" t="s">
        <v>250</v>
      </c>
      <c r="F262" s="27">
        <v>10</v>
      </c>
      <c r="G262" s="34">
        <f>IF(F262="","",IF(E263="PC 17",F262*4.2,IF(E263="PC 19",F262*5,IF(E263="CB",F262*24,""))))</f>
        <v>42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8</v>
      </c>
      <c r="G263" s="28">
        <v>30</v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3</v>
      </c>
      <c r="G264" s="34">
        <v>10</v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6" t="s">
        <v>238</v>
      </c>
      <c r="B270" s="107"/>
      <c r="C270" s="107"/>
      <c r="D270" s="107"/>
      <c r="E270" s="108">
        <f>SUM(E258:E269)</f>
        <v>0</v>
      </c>
      <c r="F270" s="36">
        <f>SUM(F258:F269)</f>
        <v>58</v>
      </c>
      <c r="G270" s="36">
        <f>SUM(G258:G269)</f>
        <v>238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236</v>
      </c>
      <c r="O270" s="39"/>
    </row>
    <row r="271" spans="1:15" ht="18" customHeight="1">
      <c r="A271" s="103" t="s">
        <v>239</v>
      </c>
      <c r="B271" s="104"/>
      <c r="C271" s="104"/>
      <c r="D271" s="104"/>
      <c r="E271" s="105">
        <f>E257+E270</f>
        <v>0</v>
      </c>
      <c r="F271" s="40">
        <f>F257+F270</f>
        <v>171</v>
      </c>
      <c r="G271" s="40">
        <f>G257+G270</f>
        <v>750.2</v>
      </c>
      <c r="H271" s="41"/>
      <c r="I271" s="41"/>
      <c r="J271" s="41"/>
      <c r="K271" s="41"/>
      <c r="L271" s="41"/>
      <c r="M271" s="42">
        <f ca="1">IFERROR(M257+M270,"")</f>
        <v>6.1111111111111172E-2</v>
      </c>
      <c r="N271" s="40" t="s">
        <v>240</v>
      </c>
      <c r="O271" s="48">
        <f>IFERROR(O257+O270,"")</f>
        <v>549440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6" t="s">
        <v>235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236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6" t="s">
        <v>238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39"/>
    </row>
    <row r="298" spans="1:15" ht="18" customHeight="1">
      <c r="A298" s="103" t="s">
        <v>239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240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6" t="s">
        <v>235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6" t="s">
        <v>238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3" t="s">
        <v>239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6" t="s">
        <v>235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6" t="s">
        <v>238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3" t="s">
        <v>239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6" t="s">
        <v>235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6" t="s">
        <v>238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3" t="s">
        <v>239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6" t="s">
        <v>235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6" t="s">
        <v>238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3" t="s">
        <v>239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6" t="s">
        <v>235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6" t="s">
        <v>238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/>
    </row>
    <row r="433" spans="1:15" ht="18" customHeight="1">
      <c r="A433" s="103" t="s">
        <v>239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6" t="s">
        <v>235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6" t="s">
        <v>238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3" t="s">
        <v>239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6" t="s">
        <v>235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6" t="s">
        <v>238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3" t="s">
        <v>239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6" t="s">
        <v>235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6" t="s">
        <v>238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3" t="s">
        <v>239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6" t="s">
        <v>235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6" t="s">
        <v>238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3" t="s">
        <v>239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6" t="s">
        <v>235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6" t="s">
        <v>238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3" t="s">
        <v>239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6" t="s">
        <v>235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6" t="s">
        <v>238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3" t="s">
        <v>239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6" t="s">
        <v>235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6" t="s">
        <v>238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3" t="s">
        <v>239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6" t="s">
        <v>235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6" t="s">
        <v>238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3" t="s">
        <v>239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6" t="s">
        <v>235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6" t="s">
        <v>238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3" t="s">
        <v>239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6" t="s">
        <v>235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6" t="s">
        <v>238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3" t="s">
        <v>239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6" t="s">
        <v>235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6" t="s">
        <v>238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3" t="s">
        <v>239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6" t="s">
        <v>235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6" t="s">
        <v>238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3" t="s">
        <v>239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6" t="s">
        <v>235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6" t="s">
        <v>238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3" t="s">
        <v>239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6" t="s">
        <v>235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6" t="s">
        <v>238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3" t="s">
        <v>239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6" t="s">
        <v>235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6" t="s">
        <v>238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3" t="s">
        <v>239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70:E270"/>
    <mergeCell ref="A271:E271"/>
    <mergeCell ref="A284:E284"/>
    <mergeCell ref="A257:E257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63:E380 E29:E256 E260:E261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D29:D256 D258:D294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tabSelected="1" zoomScale="50" zoomScaleNormal="50" workbookViewId="0">
      <pane ySplit="1" topLeftCell="A234" activePane="bottomLeft" state="frozen"/>
      <selection pane="bottomLeft" activeCell="L260" sqref="L260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2.28515625" style="57" customWidth="1"/>
    <col min="11" max="11" width="18.42578125" style="57" customWidth="1"/>
    <col min="12" max="12" width="14" style="58" customWidth="1"/>
    <col min="13" max="13" width="14" style="57" customWidth="1"/>
    <col min="14" max="14" width="64.8554687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6" t="s">
        <v>235</v>
      </c>
      <c r="B14" s="107"/>
      <c r="C14" s="107"/>
      <c r="D14" s="107"/>
      <c r="E14" s="108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236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250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250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299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250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263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250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130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283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250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130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300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250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250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250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161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301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250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250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250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250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6" t="s">
        <v>238</v>
      </c>
      <c r="B27" s="107"/>
      <c r="C27" s="107"/>
      <c r="D27" s="107"/>
      <c r="E27" s="108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236</v>
      </c>
      <c r="O27" s="39">
        <v>491520</v>
      </c>
    </row>
    <row r="28" spans="1:15" ht="18" customHeight="1">
      <c r="A28" s="103" t="s">
        <v>239</v>
      </c>
      <c r="B28" s="104"/>
      <c r="C28" s="104"/>
      <c r="D28" s="104"/>
      <c r="E28" s="105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240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250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250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250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250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250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250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250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250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250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250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250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250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6" t="s">
        <v>235</v>
      </c>
      <c r="B41" s="107"/>
      <c r="C41" s="107"/>
      <c r="D41" s="107"/>
      <c r="E41" s="108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236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250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250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302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250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250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250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250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250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250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250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6" t="s">
        <v>238</v>
      </c>
      <c r="B54" s="107"/>
      <c r="C54" s="107"/>
      <c r="D54" s="107"/>
      <c r="E54" s="108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236</v>
      </c>
      <c r="O54" s="39">
        <v>352430</v>
      </c>
    </row>
    <row r="55" spans="1:15" ht="18" customHeight="1">
      <c r="A55" s="103" t="s">
        <v>239</v>
      </c>
      <c r="B55" s="104"/>
      <c r="C55" s="104"/>
      <c r="D55" s="104"/>
      <c r="E55" s="105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240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250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206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250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303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250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130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304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250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250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250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250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250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250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250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6" t="s">
        <v>235</v>
      </c>
      <c r="B68" s="107"/>
      <c r="C68" s="107"/>
      <c r="D68" s="107"/>
      <c r="E68" s="108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236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217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305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250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250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130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283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250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250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206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250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250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250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250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250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6" t="s">
        <v>238</v>
      </c>
      <c r="B81" s="107"/>
      <c r="C81" s="107"/>
      <c r="D81" s="107"/>
      <c r="E81" s="108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236</v>
      </c>
      <c r="O81" s="39">
        <v>612410</v>
      </c>
    </row>
    <row r="82" spans="1:15" ht="18" customHeight="1">
      <c r="A82" s="103" t="s">
        <v>239</v>
      </c>
      <c r="B82" s="104"/>
      <c r="C82" s="104"/>
      <c r="D82" s="104"/>
      <c r="E82" s="105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240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250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162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6" t="s">
        <v>235</v>
      </c>
      <c r="B95" s="107"/>
      <c r="C95" s="107"/>
      <c r="D95" s="107"/>
      <c r="E95" s="108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236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162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130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283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6" t="s">
        <v>238</v>
      </c>
      <c r="B108" s="107"/>
      <c r="C108" s="107"/>
      <c r="D108" s="107"/>
      <c r="E108" s="108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236</v>
      </c>
      <c r="O108" s="39">
        <v>956070</v>
      </c>
    </row>
    <row r="109" spans="1:15" ht="18" customHeight="1">
      <c r="A109" s="103" t="s">
        <v>239</v>
      </c>
      <c r="B109" s="104"/>
      <c r="C109" s="104"/>
      <c r="D109" s="104"/>
      <c r="E109" s="105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240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162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217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222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222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162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306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6" t="s">
        <v>235</v>
      </c>
      <c r="B122" s="107"/>
      <c r="C122" s="107"/>
      <c r="D122" s="107"/>
      <c r="E122" s="108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236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206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307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266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130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283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6" t="s">
        <v>238</v>
      </c>
      <c r="B135" s="107"/>
      <c r="C135" s="107"/>
      <c r="D135" s="107"/>
      <c r="E135" s="108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236</v>
      </c>
      <c r="O135" s="39">
        <v>912240</v>
      </c>
    </row>
    <row r="136" spans="1:18" ht="18" customHeight="1">
      <c r="A136" s="103" t="s">
        <v>239</v>
      </c>
      <c r="B136" s="104"/>
      <c r="C136" s="104"/>
      <c r="D136" s="104"/>
      <c r="E136" s="105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240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162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308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250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309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250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250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141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250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250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162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250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250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250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275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250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250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235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236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162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310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11</v>
      </c>
      <c r="G151" s="34">
        <f t="shared" si="33"/>
        <v>46.2</v>
      </c>
      <c r="H151" s="33" t="s">
        <v>16</v>
      </c>
      <c r="I151" s="33" t="s">
        <v>140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311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238</v>
      </c>
      <c r="B162" s="107"/>
      <c r="C162" s="107"/>
      <c r="D162" s="107"/>
      <c r="E162" s="108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236</v>
      </c>
      <c r="O162" s="39">
        <v>573230</v>
      </c>
    </row>
    <row r="163" spans="1:15" ht="18" customHeight="1">
      <c r="A163" s="103" t="s">
        <v>239</v>
      </c>
      <c r="B163" s="104"/>
      <c r="C163" s="104"/>
      <c r="D163" s="104"/>
      <c r="E163" s="105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240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140</v>
      </c>
      <c r="J164" s="26" t="s">
        <v>134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250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162</v>
      </c>
      <c r="J165" s="33" t="s">
        <v>183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250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162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250</v>
      </c>
      <c r="F167" s="27">
        <v>14</v>
      </c>
      <c r="G167" s="34">
        <f t="shared" si="36"/>
        <v>58.800000000000004</v>
      </c>
      <c r="H167" s="33" t="s">
        <v>20</v>
      </c>
      <c r="I167" s="33" t="s">
        <v>57</v>
      </c>
      <c r="J167" s="33" t="s">
        <v>36</v>
      </c>
      <c r="K167" s="29">
        <v>0.45208333333333334</v>
      </c>
      <c r="L167" s="29">
        <v>0.45833333333333331</v>
      </c>
      <c r="M167" s="35">
        <f t="shared" ca="1" si="37"/>
        <v>6.2499999999999778E-3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250</v>
      </c>
      <c r="F168" s="27">
        <v>10</v>
      </c>
      <c r="G168" s="28">
        <f t="shared" si="36"/>
        <v>42</v>
      </c>
      <c r="H168" s="26" t="s">
        <v>18</v>
      </c>
      <c r="I168" s="26" t="s">
        <v>57</v>
      </c>
      <c r="J168" s="26" t="s">
        <v>156</v>
      </c>
      <c r="K168" s="29">
        <v>0.46875</v>
      </c>
      <c r="L168" s="29">
        <v>0.49305555555555558</v>
      </c>
      <c r="M168" s="30">
        <f t="shared" ca="1" si="37"/>
        <v>2.430555555555558E-2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250</v>
      </c>
      <c r="F169" s="27">
        <v>14</v>
      </c>
      <c r="G169" s="34">
        <f t="shared" si="36"/>
        <v>58.800000000000004</v>
      </c>
      <c r="H169" s="33" t="s">
        <v>20</v>
      </c>
      <c r="I169" s="33" t="s">
        <v>141</v>
      </c>
      <c r="J169" s="33" t="s">
        <v>74</v>
      </c>
      <c r="K169" s="29">
        <v>0.52569444444444446</v>
      </c>
      <c r="L169" s="29">
        <v>0.55000000000000004</v>
      </c>
      <c r="M169" s="35">
        <f t="shared" ca="1" si="37"/>
        <v>2.430555555555558E-2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250</v>
      </c>
      <c r="F170" s="27">
        <v>18</v>
      </c>
      <c r="G170" s="28">
        <f t="shared" si="36"/>
        <v>75.600000000000009</v>
      </c>
      <c r="H170" s="26" t="s">
        <v>19</v>
      </c>
      <c r="I170" s="26" t="s">
        <v>162</v>
      </c>
      <c r="J170" s="26" t="s">
        <v>27</v>
      </c>
      <c r="K170" s="29">
        <v>0.62847222222222221</v>
      </c>
      <c r="L170" s="29">
        <v>0.64930555555555558</v>
      </c>
      <c r="M170" s="30">
        <f t="shared" ca="1" si="37"/>
        <v>2.083333333333337E-2</v>
      </c>
      <c r="N170" s="27" t="s">
        <v>312</v>
      </c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250</v>
      </c>
      <c r="F171" s="27">
        <v>17</v>
      </c>
      <c r="G171" s="34">
        <f t="shared" si="36"/>
        <v>71.400000000000006</v>
      </c>
      <c r="H171" s="33" t="s">
        <v>20</v>
      </c>
      <c r="I171" s="33" t="s">
        <v>141</v>
      </c>
      <c r="J171" s="33" t="s">
        <v>74</v>
      </c>
      <c r="K171" s="29">
        <v>0.69791666666666663</v>
      </c>
      <c r="L171" s="29">
        <v>0.71250000000000002</v>
      </c>
      <c r="M171" s="35">
        <f t="shared" ca="1" si="37"/>
        <v>1.4583333333333393E-2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250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250</v>
      </c>
      <c r="F173" s="27">
        <v>14</v>
      </c>
      <c r="G173" s="34">
        <f t="shared" si="36"/>
        <v>58.800000000000004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250</v>
      </c>
      <c r="F174" s="27">
        <v>15</v>
      </c>
      <c r="G174" s="28">
        <f t="shared" si="36"/>
        <v>63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250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235</v>
      </c>
      <c r="B176" s="107"/>
      <c r="C176" s="107"/>
      <c r="D176" s="107"/>
      <c r="E176" s="108">
        <f>SUM(E164:E175)</f>
        <v>0</v>
      </c>
      <c r="F176" s="36">
        <f>SUM(F164:F175)</f>
        <v>162</v>
      </c>
      <c r="G176" s="36">
        <f>SUM(G164:G175)</f>
        <v>680.4</v>
      </c>
      <c r="H176" s="37"/>
      <c r="I176" s="37"/>
      <c r="J176" s="37"/>
      <c r="K176" s="61"/>
      <c r="L176" s="61"/>
      <c r="M176" s="38">
        <f ca="1">IFERROR(SUM(M164:M175),"")</f>
        <v>0.13263888888888897</v>
      </c>
      <c r="N176" s="36" t="s">
        <v>236</v>
      </c>
      <c r="O176" s="39">
        <v>659400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12</v>
      </c>
      <c r="G177" s="34">
        <f t="shared" ref="G177:G188" si="39">IF(F177="","",IF(E177="PC 17",F177*4.2,IF(E177="PC 19",F177*5,IF(E177="CB",F177*24,""))))</f>
        <v>50.400000000000006</v>
      </c>
      <c r="H177" s="33" t="s">
        <v>17</v>
      </c>
      <c r="I177" s="33"/>
      <c r="J177" s="33" t="s">
        <v>117</v>
      </c>
      <c r="K177" s="29">
        <v>0.8125</v>
      </c>
      <c r="L177" s="29">
        <v>0.84166666666666667</v>
      </c>
      <c r="M177" s="35">
        <f t="shared" ref="M177:M188" ca="1" si="40">IFERROR(IF(K177="","",IF(L177="",MOD(NOW()-K177,1),IF(L177&gt;=K177,L177-K177,L177+1-K177))),"")</f>
        <v>2.9166666666666674E-2</v>
      </c>
      <c r="N177" s="27" t="s">
        <v>313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250</v>
      </c>
      <c r="F178" s="27">
        <v>8</v>
      </c>
      <c r="G178" s="28">
        <f t="shared" si="39"/>
        <v>33.6</v>
      </c>
      <c r="H178" s="26" t="s">
        <v>18</v>
      </c>
      <c r="I178" s="26" t="s">
        <v>141</v>
      </c>
      <c r="J178" s="26" t="s">
        <v>130</v>
      </c>
      <c r="K178" s="29">
        <v>0.96805555555555556</v>
      </c>
      <c r="L178" s="29">
        <v>4.1666666666666664E-2</v>
      </c>
      <c r="M178" s="30">
        <f t="shared" ca="1" si="40"/>
        <v>7.3611111111111183E-2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6</v>
      </c>
      <c r="G179" s="34">
        <f t="shared" si="39"/>
        <v>25.200000000000003</v>
      </c>
      <c r="H179" s="33" t="s">
        <v>19</v>
      </c>
      <c r="I179" s="33" t="s">
        <v>162</v>
      </c>
      <c r="J179" s="26" t="s">
        <v>27</v>
      </c>
      <c r="K179" s="29">
        <v>0.1076388888888889</v>
      </c>
      <c r="L179" s="29">
        <v>0.12847222222222221</v>
      </c>
      <c r="M179" s="35">
        <f t="shared" ca="1" si="40"/>
        <v>2.0833333333333315E-2</v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250</v>
      </c>
      <c r="F180" s="27">
        <v>23</v>
      </c>
      <c r="G180" s="28">
        <f t="shared" si="39"/>
        <v>96.600000000000009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10</v>
      </c>
      <c r="G181" s="34">
        <f t="shared" si="39"/>
        <v>42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250</v>
      </c>
      <c r="F182" s="27">
        <v>13</v>
      </c>
      <c r="G182" s="28">
        <f t="shared" si="39"/>
        <v>54.6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16</v>
      </c>
      <c r="G183" s="34">
        <f t="shared" si="39"/>
        <v>67.2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250</v>
      </c>
      <c r="F184" s="27">
        <v>9</v>
      </c>
      <c r="G184" s="28">
        <f t="shared" si="39"/>
        <v>37.800000000000004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19</v>
      </c>
      <c r="G185" s="34">
        <f t="shared" si="39"/>
        <v>79.8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250</v>
      </c>
      <c r="F186" s="27">
        <v>20</v>
      </c>
      <c r="G186" s="28">
        <f t="shared" si="39"/>
        <v>84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18</v>
      </c>
      <c r="G187" s="34">
        <f t="shared" si="39"/>
        <v>75.600000000000009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250</v>
      </c>
      <c r="F188" s="27">
        <v>8</v>
      </c>
      <c r="G188" s="28">
        <f t="shared" si="39"/>
        <v>33.6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238</v>
      </c>
      <c r="B189" s="107"/>
      <c r="C189" s="107"/>
      <c r="D189" s="107"/>
      <c r="E189" s="108">
        <f>SUM(E177:E188)</f>
        <v>0</v>
      </c>
      <c r="F189" s="36">
        <f>SUM(F177:F188)</f>
        <v>162</v>
      </c>
      <c r="G189" s="36">
        <f>SUM(G177:G188)</f>
        <v>680.40000000000009</v>
      </c>
      <c r="H189" s="37"/>
      <c r="I189" s="37"/>
      <c r="J189" s="37"/>
      <c r="K189" s="61"/>
      <c r="L189" s="61"/>
      <c r="M189" s="38">
        <f ca="1">IFERROR(SUM(M177:M188),"")</f>
        <v>0.12361111111111117</v>
      </c>
      <c r="N189" s="36" t="s">
        <v>236</v>
      </c>
      <c r="O189" s="39">
        <v>692750</v>
      </c>
    </row>
    <row r="190" spans="1:15" ht="18" customHeight="1">
      <c r="A190" s="103" t="s">
        <v>239</v>
      </c>
      <c r="B190" s="104"/>
      <c r="C190" s="104"/>
      <c r="D190" s="104"/>
      <c r="E190" s="105">
        <f>E176+E189</f>
        <v>0</v>
      </c>
      <c r="F190" s="40">
        <f>F176+F189</f>
        <v>324</v>
      </c>
      <c r="G190" s="40">
        <f>G176+G189</f>
        <v>1360.8000000000002</v>
      </c>
      <c r="H190" s="41"/>
      <c r="I190" s="41"/>
      <c r="J190" s="41"/>
      <c r="K190" s="63"/>
      <c r="L190" s="63"/>
      <c r="M190" s="42">
        <f ca="1">IFERROR(M176+M189,"")</f>
        <v>0.25625000000000014</v>
      </c>
      <c r="N190" s="40" t="s">
        <v>240</v>
      </c>
      <c r="O190" s="43">
        <f>IFERROR(O176+O189,"")</f>
        <v>1352150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15</v>
      </c>
      <c r="G191" s="34">
        <f t="shared" ref="G191:G202" si="42">IF(F191="","",IF(E191="PC 17",F191*4.2,IF(E191="PC 19",F191*5,IF(E191="CB",F191*24,""))))</f>
        <v>63</v>
      </c>
      <c r="H191" s="33" t="s">
        <v>19</v>
      </c>
      <c r="I191" s="33" t="s">
        <v>162</v>
      </c>
      <c r="J191" s="33" t="s">
        <v>27</v>
      </c>
      <c r="K191" s="29">
        <v>0.29166666666666669</v>
      </c>
      <c r="L191" s="29">
        <v>0.31111111111111112</v>
      </c>
      <c r="M191" s="35">
        <f t="shared" ref="M191:M202" ca="1" si="43">IFERROR(IF(K191="","",IF(L191="",MOD(NOW()-K191,1),IF(L191&gt;=K191,L191-K191,L191+1-K191))),"")</f>
        <v>1.9444444444444431E-2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15</v>
      </c>
      <c r="G192" s="28">
        <f t="shared" si="42"/>
        <v>63</v>
      </c>
      <c r="H192" s="26" t="s">
        <v>18</v>
      </c>
      <c r="I192" s="26" t="s">
        <v>52</v>
      </c>
      <c r="J192" s="33" t="s">
        <v>156</v>
      </c>
      <c r="K192" s="29">
        <v>0.55138888888888893</v>
      </c>
      <c r="L192" s="29">
        <v>0.58750000000000002</v>
      </c>
      <c r="M192" s="30">
        <f t="shared" ca="1" si="43"/>
        <v>3.6111111111111094E-2</v>
      </c>
      <c r="N192" s="27" t="s">
        <v>314</v>
      </c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14</v>
      </c>
      <c r="G193" s="34">
        <f t="shared" si="42"/>
        <v>58.800000000000004</v>
      </c>
      <c r="H193" s="33" t="s">
        <v>20</v>
      </c>
      <c r="I193" s="33" t="s">
        <v>57</v>
      </c>
      <c r="J193" s="33" t="s">
        <v>28</v>
      </c>
      <c r="K193" s="29">
        <v>0.67013888888888884</v>
      </c>
      <c r="L193" s="29">
        <v>0.67638888888888893</v>
      </c>
      <c r="M193" s="35">
        <f t="shared" ca="1" si="43"/>
        <v>6.2500000000000888E-3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18</v>
      </c>
      <c r="G194" s="28">
        <f t="shared" si="42"/>
        <v>75.600000000000009</v>
      </c>
      <c r="H194" s="26" t="s">
        <v>20</v>
      </c>
      <c r="I194" s="26" t="s">
        <v>157</v>
      </c>
      <c r="J194" s="26" t="s">
        <v>74</v>
      </c>
      <c r="K194" s="29">
        <v>0.69861111111111107</v>
      </c>
      <c r="L194" s="29">
        <v>0.70486111111111116</v>
      </c>
      <c r="M194" s="30">
        <f t="shared" ca="1" si="43"/>
        <v>6.2500000000000888E-3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10</v>
      </c>
      <c r="G195" s="34">
        <f t="shared" si="42"/>
        <v>42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17</v>
      </c>
      <c r="G196" s="28">
        <f t="shared" si="42"/>
        <v>71.400000000000006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0</v>
      </c>
      <c r="G197" s="34">
        <f t="shared" si="42"/>
        <v>0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16</v>
      </c>
      <c r="G198" s="28">
        <f t="shared" si="42"/>
        <v>67.2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17</v>
      </c>
      <c r="G199" s="34">
        <f t="shared" si="42"/>
        <v>71.400000000000006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20</v>
      </c>
      <c r="G200" s="28">
        <f t="shared" si="42"/>
        <v>84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10</v>
      </c>
      <c r="G201" s="34">
        <f t="shared" si="42"/>
        <v>42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9</v>
      </c>
      <c r="G202" s="28">
        <f t="shared" si="42"/>
        <v>37.800000000000004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235</v>
      </c>
      <c r="B203" s="107"/>
      <c r="C203" s="107"/>
      <c r="D203" s="107"/>
      <c r="E203" s="108">
        <f>SUM(E191:E202)</f>
        <v>0</v>
      </c>
      <c r="F203" s="36">
        <f>SUM(F191:F202)</f>
        <v>161</v>
      </c>
      <c r="G203" s="36">
        <f>SUM(G191:G202)</f>
        <v>676.2</v>
      </c>
      <c r="H203" s="37"/>
      <c r="I203" s="37"/>
      <c r="J203" s="37"/>
      <c r="K203" s="61"/>
      <c r="L203" s="61"/>
      <c r="M203" s="38">
        <f ca="1">IFERROR(SUM(M191:M202),"")</f>
        <v>6.8055555555555702E-2</v>
      </c>
      <c r="N203" s="36" t="s">
        <v>236</v>
      </c>
      <c r="O203" s="45">
        <v>790070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14</v>
      </c>
      <c r="G204" s="28">
        <f t="shared" ref="G204:G215" si="45">IF(F204="","",IF(E204="PC 17",F204*4.2,IF(E204="PC 19",F204*5,IF(E204="CB",F204*24,""))))</f>
        <v>58.800000000000004</v>
      </c>
      <c r="H204" s="26" t="s">
        <v>18</v>
      </c>
      <c r="I204" s="33" t="s">
        <v>57</v>
      </c>
      <c r="J204" s="26" t="s">
        <v>34</v>
      </c>
      <c r="K204" s="29">
        <v>0.8125</v>
      </c>
      <c r="L204" s="29">
        <v>2.7777777777777779E-3</v>
      </c>
      <c r="M204" s="30">
        <f t="shared" ref="M204:M215" ca="1" si="46">IFERROR(IF(K204="","",IF(L204="",MOD(NOW()-K204,1),IF(L204&gt;=K204,L204-K204,L204+1-K204))),"")</f>
        <v>0.19027777777777777</v>
      </c>
      <c r="N204" s="27" t="s">
        <v>315</v>
      </c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6</v>
      </c>
      <c r="G205" s="34">
        <f t="shared" si="45"/>
        <v>25.200000000000003</v>
      </c>
      <c r="H205" s="33" t="s">
        <v>20</v>
      </c>
      <c r="I205" s="57" t="s">
        <v>316</v>
      </c>
      <c r="J205" s="33" t="s">
        <v>28</v>
      </c>
      <c r="K205" s="29">
        <v>0.85833333333333328</v>
      </c>
      <c r="L205" s="29">
        <v>0.86458333333333337</v>
      </c>
      <c r="M205" s="35">
        <f t="shared" ca="1" si="46"/>
        <v>6.2500000000000888E-3</v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0</v>
      </c>
      <c r="G206" s="28">
        <f t="shared" si="45"/>
        <v>0</v>
      </c>
      <c r="H206" s="26" t="s">
        <v>20</v>
      </c>
      <c r="I206" s="26" t="s">
        <v>52</v>
      </c>
      <c r="J206" s="26" t="s">
        <v>36</v>
      </c>
      <c r="K206" s="29">
        <v>0.87708333333333333</v>
      </c>
      <c r="L206" s="29">
        <v>2.7777777777777779E-3</v>
      </c>
      <c r="M206" s="30">
        <f t="shared" ca="1" si="46"/>
        <v>0.12569444444444444</v>
      </c>
      <c r="N206" s="27" t="s">
        <v>317</v>
      </c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0</v>
      </c>
      <c r="G207" s="34">
        <f t="shared" si="45"/>
        <v>0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0</v>
      </c>
      <c r="G208" s="28">
        <f t="shared" si="45"/>
        <v>0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20</v>
      </c>
      <c r="G209" s="34">
        <f t="shared" si="45"/>
        <v>84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19</v>
      </c>
      <c r="G210" s="28">
        <v>77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19</v>
      </c>
      <c r="G211" s="34">
        <f t="shared" si="45"/>
        <v>79.8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17</v>
      </c>
      <c r="G214" s="28">
        <f t="shared" si="45"/>
        <v>71.400000000000006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12</v>
      </c>
      <c r="G215" s="34">
        <f t="shared" si="45"/>
        <v>50.400000000000006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6" t="s">
        <v>238</v>
      </c>
      <c r="B216" s="107"/>
      <c r="C216" s="107"/>
      <c r="D216" s="107"/>
      <c r="E216" s="108">
        <f>SUM(E204:E215)</f>
        <v>0</v>
      </c>
      <c r="F216" s="36">
        <f>SUM(F204:F215)</f>
        <v>136</v>
      </c>
      <c r="G216" s="36">
        <f>SUM(G204:G215)</f>
        <v>568.4</v>
      </c>
      <c r="H216" s="37"/>
      <c r="I216" s="37"/>
      <c r="J216" s="37"/>
      <c r="K216" s="61"/>
      <c r="L216" s="61"/>
      <c r="M216" s="38">
        <f ca="1">IFERROR(SUM(M204:M215),"")</f>
        <v>0.3222222222222223</v>
      </c>
      <c r="N216" s="36" t="s">
        <v>236</v>
      </c>
      <c r="O216" s="45">
        <v>607180</v>
      </c>
    </row>
    <row r="217" spans="1:15" ht="18" customHeight="1">
      <c r="A217" s="103" t="s">
        <v>239</v>
      </c>
      <c r="B217" s="104"/>
      <c r="C217" s="104"/>
      <c r="D217" s="104"/>
      <c r="E217" s="105">
        <f>E203+E216</f>
        <v>0</v>
      </c>
      <c r="F217" s="40">
        <f>F203+F216</f>
        <v>297</v>
      </c>
      <c r="G217" s="40">
        <f>G203+G216</f>
        <v>1244.5999999999999</v>
      </c>
      <c r="H217" s="41"/>
      <c r="I217" s="41"/>
      <c r="J217" s="41"/>
      <c r="K217" s="63"/>
      <c r="L217" s="63"/>
      <c r="M217" s="42">
        <f ca="1">IFERROR(M203+M216,"")</f>
        <v>0.390277777777778</v>
      </c>
      <c r="N217" s="40" t="s">
        <v>240</v>
      </c>
      <c r="O217" s="48">
        <f>IFERROR(O203+O216,"")</f>
        <v>1397250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15</v>
      </c>
      <c r="G218" s="28">
        <f t="shared" ref="G218:G229" si="48">IF(F218="","",IF(E218="PC 17",F218*4.2,IF(E218="PC 19",F218*5,IF(E218="CB",F218*24,""))))</f>
        <v>63</v>
      </c>
      <c r="H218" s="26" t="s">
        <v>19</v>
      </c>
      <c r="I218" s="26" t="s">
        <v>57</v>
      </c>
      <c r="J218" s="26" t="s">
        <v>27</v>
      </c>
      <c r="K218" s="29">
        <v>0.41805555555555557</v>
      </c>
      <c r="L218" s="29">
        <v>0.42708333333333331</v>
      </c>
      <c r="M218" s="30">
        <f t="shared" ref="M218:M229" ca="1" si="49">IFERROR(IF(K218="","",IF(L218="",MOD(NOW()-K218,1),IF(L218&gt;=K218,L218-K218,L218+1-K218))),"")</f>
        <v>9.0277777777777457E-3</v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22</v>
      </c>
      <c r="G219" s="34">
        <f t="shared" si="48"/>
        <v>92.4</v>
      </c>
      <c r="H219" s="33" t="s">
        <v>19</v>
      </c>
      <c r="I219" s="33" t="s">
        <v>52</v>
      </c>
      <c r="J219" s="33" t="s">
        <v>27</v>
      </c>
      <c r="K219" s="29">
        <v>0.42708333333333331</v>
      </c>
      <c r="L219" s="29">
        <v>0.43680555555555556</v>
      </c>
      <c r="M219" s="35">
        <f t="shared" ca="1" si="49"/>
        <v>9.7222222222222432E-3</v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14</v>
      </c>
      <c r="G220" s="28">
        <f t="shared" si="48"/>
        <v>58.800000000000004</v>
      </c>
      <c r="H220" s="26" t="s">
        <v>20</v>
      </c>
      <c r="I220" s="26" t="s">
        <v>52</v>
      </c>
      <c r="J220" s="26" t="s">
        <v>56</v>
      </c>
      <c r="K220" s="29">
        <v>0.5756944444444444</v>
      </c>
      <c r="L220" s="29">
        <v>0.59722222222222221</v>
      </c>
      <c r="M220" s="30">
        <f t="shared" ca="1" si="49"/>
        <v>2.1527777777777812E-2</v>
      </c>
      <c r="N220" s="27" t="s">
        <v>318</v>
      </c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7</v>
      </c>
      <c r="G221" s="34">
        <f t="shared" si="48"/>
        <v>29.400000000000002</v>
      </c>
      <c r="H221" s="33" t="s">
        <v>19</v>
      </c>
      <c r="I221" s="33" t="s">
        <v>57</v>
      </c>
      <c r="J221" s="33" t="s">
        <v>78</v>
      </c>
      <c r="K221" s="29">
        <v>0.59722222222222221</v>
      </c>
      <c r="L221" s="29">
        <v>0.61111111111111116</v>
      </c>
      <c r="M221" s="35">
        <f t="shared" ca="1" si="49"/>
        <v>1.3888888888888951E-2</v>
      </c>
      <c r="N221" s="27" t="s">
        <v>319</v>
      </c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20</v>
      </c>
      <c r="G222" s="28">
        <f t="shared" si="48"/>
        <v>100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20</v>
      </c>
      <c r="G223" s="34">
        <f t="shared" si="48"/>
        <v>84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10</v>
      </c>
      <c r="G224" s="28">
        <f t="shared" si="48"/>
        <v>42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3</v>
      </c>
      <c r="G225" s="34">
        <f t="shared" si="48"/>
        <v>12.600000000000001</v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16</v>
      </c>
      <c r="G226" s="28">
        <f t="shared" si="48"/>
        <v>67.2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15</v>
      </c>
      <c r="G227" s="34">
        <f t="shared" si="48"/>
        <v>63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17</v>
      </c>
      <c r="G228" s="28">
        <f t="shared" si="48"/>
        <v>71.400000000000006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6" t="s">
        <v>235</v>
      </c>
      <c r="B230" s="107"/>
      <c r="C230" s="107"/>
      <c r="D230" s="107"/>
      <c r="E230" s="108">
        <f>SUM(E218:E229)</f>
        <v>0</v>
      </c>
      <c r="F230" s="36">
        <f>SUM(F218:F229)</f>
        <v>169</v>
      </c>
      <c r="G230" s="36">
        <f>SUM(G218:G229)</f>
        <v>725.80000000000007</v>
      </c>
      <c r="H230" s="37"/>
      <c r="I230" s="37"/>
      <c r="J230" s="37"/>
      <c r="K230" s="61"/>
      <c r="L230" s="61"/>
      <c r="M230" s="38">
        <f ca="1">IFERROR(SUM(M218:M229),"")</f>
        <v>5.4166666666666752E-2</v>
      </c>
      <c r="N230" s="36" t="s">
        <v>236</v>
      </c>
      <c r="O230" s="39">
        <v>755220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18</v>
      </c>
      <c r="G231" s="34">
        <f t="shared" ref="G231:G242" si="51">IF(F231="","",IF(E231="PC 17",F231*4.2,IF(E231="PC 19",F231*5,IF(E231="CB",F231*24,""))))</f>
        <v>75.600000000000009</v>
      </c>
      <c r="H231" s="33" t="s">
        <v>20</v>
      </c>
      <c r="I231" s="33" t="s">
        <v>57</v>
      </c>
      <c r="J231" s="33" t="s">
        <v>36</v>
      </c>
      <c r="K231" s="29">
        <v>0.81458333333333333</v>
      </c>
      <c r="L231" s="29">
        <v>0.85624999999999996</v>
      </c>
      <c r="M231" s="35">
        <f t="shared" ref="M231:M242" ca="1" si="52">IFERROR(IF(K231="","",IF(L231="",MOD(NOW()-K231,1),IF(L231&gt;=K231,L231-K231,L231+1-K231))),"")</f>
        <v>4.166666666666663E-2</v>
      </c>
      <c r="N231" s="27" t="s">
        <v>320</v>
      </c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5</v>
      </c>
      <c r="G232" s="28">
        <f t="shared" si="51"/>
        <v>25</v>
      </c>
      <c r="H232" s="26" t="s">
        <v>20</v>
      </c>
      <c r="I232" s="26" t="s">
        <v>57</v>
      </c>
      <c r="J232" s="26" t="s">
        <v>56</v>
      </c>
      <c r="K232" s="29">
        <v>0.88749999999999996</v>
      </c>
      <c r="L232" s="29">
        <v>0.90347222222222223</v>
      </c>
      <c r="M232" s="30">
        <f t="shared" ca="1" si="52"/>
        <v>1.5972222222222276E-2</v>
      </c>
      <c r="N232" s="27" t="s">
        <v>321</v>
      </c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7</v>
      </c>
      <c r="G233" s="34">
        <f t="shared" si="51"/>
        <v>29.400000000000002</v>
      </c>
      <c r="H233" s="33" t="s">
        <v>18</v>
      </c>
      <c r="I233" s="33" t="s">
        <v>152</v>
      </c>
      <c r="J233" s="33" t="s">
        <v>130</v>
      </c>
      <c r="K233" s="29">
        <v>3.5416666666666666E-2</v>
      </c>
      <c r="L233" s="29">
        <v>6.7361111111111108E-2</v>
      </c>
      <c r="M233" s="35">
        <f t="shared" ca="1" si="52"/>
        <v>3.1944444444444442E-2</v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11</v>
      </c>
      <c r="G234" s="28">
        <f t="shared" si="51"/>
        <v>55</v>
      </c>
      <c r="H234" s="26" t="s">
        <v>19</v>
      </c>
      <c r="I234" s="26" t="s">
        <v>52</v>
      </c>
      <c r="J234" s="26" t="s">
        <v>27</v>
      </c>
      <c r="K234" s="29">
        <v>0.26041666666666669</v>
      </c>
      <c r="L234" s="29">
        <v>0.28749999999999998</v>
      </c>
      <c r="M234" s="30">
        <f t="shared" ca="1" si="52"/>
        <v>2.7083333333333293E-2</v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17</v>
      </c>
      <c r="G238" s="28">
        <f t="shared" si="51"/>
        <v>85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11</v>
      </c>
      <c r="G239" s="34">
        <f t="shared" si="51"/>
        <v>55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14</v>
      </c>
      <c r="G240" s="28">
        <f t="shared" si="51"/>
        <v>70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15</v>
      </c>
      <c r="G241" s="34">
        <f t="shared" si="51"/>
        <v>75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6" t="s">
        <v>238</v>
      </c>
      <c r="B243" s="107"/>
      <c r="C243" s="107"/>
      <c r="D243" s="107"/>
      <c r="E243" s="108">
        <f>SUM(E231:E242)</f>
        <v>0</v>
      </c>
      <c r="F243" s="36">
        <f>SUM(F231:F242)</f>
        <v>137</v>
      </c>
      <c r="G243" s="36">
        <f>SUM(G231:G242)</f>
        <v>665</v>
      </c>
      <c r="H243" s="37"/>
      <c r="I243" s="37"/>
      <c r="J243" s="37"/>
      <c r="K243" s="61"/>
      <c r="L243" s="61"/>
      <c r="M243" s="38">
        <f ca="1">IFERROR(SUM(M231:M242),"")</f>
        <v>0.11666666666666664</v>
      </c>
      <c r="N243" s="36" t="s">
        <v>236</v>
      </c>
      <c r="O243" s="39">
        <v>795250</v>
      </c>
    </row>
    <row r="244" spans="1:15" ht="18" customHeight="1">
      <c r="A244" s="103" t="s">
        <v>239</v>
      </c>
      <c r="B244" s="104"/>
      <c r="C244" s="104"/>
      <c r="D244" s="104"/>
      <c r="E244" s="105">
        <f>E230+E243</f>
        <v>0</v>
      </c>
      <c r="F244" s="40">
        <f>F230+F243</f>
        <v>306</v>
      </c>
      <c r="G244" s="40">
        <f>G230+G243</f>
        <v>1390.8000000000002</v>
      </c>
      <c r="H244" s="41"/>
      <c r="I244" s="41"/>
      <c r="J244" s="41"/>
      <c r="K244" s="63"/>
      <c r="L244" s="63"/>
      <c r="M244" s="42">
        <f ca="1">IFERROR(M230+M243,"")</f>
        <v>0.17083333333333339</v>
      </c>
      <c r="N244" s="40" t="s">
        <v>240</v>
      </c>
      <c r="O244" s="48">
        <f>IFERROR(O230+O243,"")</f>
        <v>1550470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15</v>
      </c>
      <c r="G245" s="28">
        <f t="shared" ref="G245:G256" si="54">IF(F245="","",IF(E245="PC 17",F245*4.2,IF(E245="PC 19",F245*5,IF(E245="CB",F245*24,""))))</f>
        <v>75</v>
      </c>
      <c r="H245" s="33" t="s">
        <v>18</v>
      </c>
      <c r="I245" s="33" t="s">
        <v>52</v>
      </c>
      <c r="J245" s="33" t="s">
        <v>166</v>
      </c>
      <c r="K245" s="29">
        <v>0.32222222222222224</v>
      </c>
      <c r="L245" s="29">
        <v>0.3263888888888889</v>
      </c>
      <c r="M245" s="30">
        <f t="shared" ref="M245:M256" ca="1" si="55">IFERROR(IF(K245="","",IF(L245="",MOD(NOW()-K245,1),IF(L245&gt;=K245,L245-K245,L245+1-K245))),"")</f>
        <v>4.1666666666666519E-3</v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15</v>
      </c>
      <c r="G246" s="34">
        <f t="shared" si="54"/>
        <v>75</v>
      </c>
      <c r="H246" s="33" t="s">
        <v>20</v>
      </c>
      <c r="I246" s="26" t="s">
        <v>57</v>
      </c>
      <c r="J246" s="33" t="s">
        <v>28</v>
      </c>
      <c r="K246" s="29">
        <v>0.34861111111111109</v>
      </c>
      <c r="L246" s="29">
        <v>0.36249999999999999</v>
      </c>
      <c r="M246" s="35">
        <f t="shared" ca="1" si="55"/>
        <v>1.3888888888888895E-2</v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19</v>
      </c>
      <c r="G247" s="28">
        <f t="shared" si="54"/>
        <v>95</v>
      </c>
      <c r="H247" s="33" t="s">
        <v>20</v>
      </c>
      <c r="I247" s="33" t="s">
        <v>52</v>
      </c>
      <c r="J247" s="33" t="s">
        <v>62</v>
      </c>
      <c r="K247" s="29">
        <v>0.50069444444444444</v>
      </c>
      <c r="L247" s="29">
        <v>0.50208333333333333</v>
      </c>
      <c r="M247" s="30">
        <f t="shared" ca="1" si="55"/>
        <v>1.388888888888884E-3</v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27">
        <v>24</v>
      </c>
      <c r="G248" s="34">
        <f t="shared" si="54"/>
        <v>120</v>
      </c>
      <c r="H248" s="26" t="s">
        <v>19</v>
      </c>
      <c r="I248" s="26" t="s">
        <v>57</v>
      </c>
      <c r="J248" s="26" t="s">
        <v>27</v>
      </c>
      <c r="K248" s="29">
        <v>0.52430555555555558</v>
      </c>
      <c r="L248" s="29">
        <v>0.54027777777777775</v>
      </c>
      <c r="M248" s="35">
        <f t="shared" ca="1" si="55"/>
        <v>1.5972222222222165E-2</v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27">
        <v>10</v>
      </c>
      <c r="G249" s="28">
        <f t="shared" si="54"/>
        <v>42</v>
      </c>
      <c r="H249" s="33" t="s">
        <v>18</v>
      </c>
      <c r="I249" s="33" t="s">
        <v>152</v>
      </c>
      <c r="J249" s="33" t="s">
        <v>130</v>
      </c>
      <c r="K249" s="29">
        <v>0.55555555555555558</v>
      </c>
      <c r="L249" s="29">
        <v>0.56180555555555556</v>
      </c>
      <c r="M249" s="30">
        <f t="shared" ca="1" si="55"/>
        <v>6.2499999999999778E-3</v>
      </c>
      <c r="N249" s="27" t="s">
        <v>322</v>
      </c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30</v>
      </c>
      <c r="E250" s="59" t="s">
        <v>250</v>
      </c>
      <c r="F250" s="27">
        <v>16</v>
      </c>
      <c r="G250" s="34">
        <f t="shared" si="54"/>
        <v>67.2</v>
      </c>
      <c r="H250" s="26" t="s">
        <v>19</v>
      </c>
      <c r="I250" s="26" t="s">
        <v>52</v>
      </c>
      <c r="J250" s="26" t="s">
        <v>27</v>
      </c>
      <c r="K250" s="29">
        <v>0.54027777777777775</v>
      </c>
      <c r="L250" s="29">
        <v>0.55555555555555558</v>
      </c>
      <c r="M250" s="35">
        <f t="shared" ca="1" si="55"/>
        <v>1.5277777777777835E-2</v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30</v>
      </c>
      <c r="E251" s="59" t="s">
        <v>250</v>
      </c>
      <c r="F251" s="27">
        <v>0</v>
      </c>
      <c r="G251" s="28">
        <f t="shared" si="54"/>
        <v>0</v>
      </c>
      <c r="H251" s="33" t="s">
        <v>20</v>
      </c>
      <c r="I251" s="33" t="s">
        <v>52</v>
      </c>
      <c r="J251" s="33" t="s">
        <v>51</v>
      </c>
      <c r="K251" s="29">
        <v>0.60763888888888884</v>
      </c>
      <c r="L251" s="29">
        <v>0.6166666666666667</v>
      </c>
      <c r="M251" s="30">
        <f t="shared" ca="1" si="55"/>
        <v>9.0277777777778567E-3</v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27">
        <v>18</v>
      </c>
      <c r="G252" s="34">
        <f t="shared" si="54"/>
        <v>75.600000000000009</v>
      </c>
      <c r="H252" s="26" t="s">
        <v>20</v>
      </c>
      <c r="I252" s="26" t="s">
        <v>52</v>
      </c>
      <c r="J252" s="26" t="s">
        <v>56</v>
      </c>
      <c r="K252" s="29">
        <v>0.64027777777777772</v>
      </c>
      <c r="L252" s="29">
        <v>0.65625</v>
      </c>
      <c r="M252" s="35">
        <f t="shared" ca="1" si="55"/>
        <v>1.5972222222222276E-2</v>
      </c>
      <c r="N252" s="27" t="s">
        <v>323</v>
      </c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27">
        <v>15</v>
      </c>
      <c r="G253" s="28">
        <f t="shared" si="54"/>
        <v>63</v>
      </c>
      <c r="H253" s="33" t="s">
        <v>18</v>
      </c>
      <c r="I253" s="33" t="s">
        <v>52</v>
      </c>
      <c r="J253" s="33" t="s">
        <v>130</v>
      </c>
      <c r="K253" s="29">
        <v>0.75</v>
      </c>
      <c r="L253" s="29">
        <v>0.75972222222222219</v>
      </c>
      <c r="M253" s="30">
        <f t="shared" ca="1" si="55"/>
        <v>9.7222222222221877E-3</v>
      </c>
      <c r="N253" s="27" t="s">
        <v>290</v>
      </c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27">
        <v>18</v>
      </c>
      <c r="G254" s="34">
        <f t="shared" si="54"/>
        <v>75.600000000000009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250</v>
      </c>
      <c r="F255" s="27">
        <v>11</v>
      </c>
      <c r="G255" s="28">
        <f t="shared" si="54"/>
        <v>46.2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250</v>
      </c>
      <c r="F256" s="27">
        <v>21</v>
      </c>
      <c r="G256" s="34">
        <f t="shared" si="54"/>
        <v>88.2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6" t="s">
        <v>235</v>
      </c>
      <c r="B257" s="107"/>
      <c r="C257" s="107"/>
      <c r="D257" s="107"/>
      <c r="E257" s="108">
        <f>SUM(E245:E256)</f>
        <v>0</v>
      </c>
      <c r="F257" s="36">
        <f>SUM(F245:F256)</f>
        <v>182</v>
      </c>
      <c r="G257" s="36">
        <f>SUM(G245:G256)</f>
        <v>822.80000000000007</v>
      </c>
      <c r="H257" s="37"/>
      <c r="I257" s="37"/>
      <c r="J257" s="37"/>
      <c r="K257" s="61"/>
      <c r="L257" s="61"/>
      <c r="M257" s="38">
        <f ca="1">IFERROR(SUM(M245:M256),"")</f>
        <v>9.166666666666673E-2</v>
      </c>
      <c r="N257" s="36" t="s">
        <v>236</v>
      </c>
      <c r="O257" s="39">
        <v>803560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250</v>
      </c>
      <c r="F258" s="27">
        <v>1</v>
      </c>
      <c r="G258" s="34">
        <f t="shared" ref="G258:G269" si="57">IF(F258="","",IF(E258="PC 17",F258*4.2,IF(E258="PC 19",F258*5,IF(E258="CB",F258*24,""))))</f>
        <v>4.2</v>
      </c>
      <c r="H258" s="26" t="s">
        <v>19</v>
      </c>
      <c r="I258" s="26" t="s">
        <v>162</v>
      </c>
      <c r="J258" s="26" t="s">
        <v>27</v>
      </c>
      <c r="K258" s="29">
        <v>0.79722222222222228</v>
      </c>
      <c r="L258" s="29">
        <v>0.84166666666666667</v>
      </c>
      <c r="M258" s="35">
        <f t="shared" ref="M258:M269" ca="1" si="58">IFERROR(IF(K258="","",IF(L258="",MOD(NOW()-K258,1),IF(L258&gt;=K258,L258-K258,L258+1-K258))),"")</f>
        <v>4.4444444444444398E-2</v>
      </c>
      <c r="N258" s="27" t="s">
        <v>324</v>
      </c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250</v>
      </c>
      <c r="F259" s="27">
        <v>20</v>
      </c>
      <c r="G259" s="28">
        <f t="shared" si="57"/>
        <v>84</v>
      </c>
      <c r="H259" s="50" t="s">
        <v>20</v>
      </c>
      <c r="I259" s="50" t="s">
        <v>57</v>
      </c>
      <c r="J259" s="50" t="s">
        <v>200</v>
      </c>
      <c r="K259" s="29">
        <v>3.3333333333333333E-2</v>
      </c>
      <c r="L259" s="29">
        <v>9.0972222222222218E-2</v>
      </c>
      <c r="M259" s="30">
        <f t="shared" ca="1" si="58"/>
        <v>5.7638888888888885E-2</v>
      </c>
      <c r="N259" s="27" t="s">
        <v>325</v>
      </c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27">
        <v>15</v>
      </c>
      <c r="G260" s="34">
        <f t="shared" si="57"/>
        <v>63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27</v>
      </c>
      <c r="G261" s="28">
        <f t="shared" si="57"/>
        <v>113.4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250</v>
      </c>
      <c r="F262" s="27">
        <v>19</v>
      </c>
      <c r="G262" s="34">
        <f t="shared" si="57"/>
        <v>79.8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16</v>
      </c>
      <c r="G263" s="28">
        <f t="shared" si="57"/>
        <v>67.2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2</v>
      </c>
      <c r="G264" s="34">
        <f t="shared" si="57"/>
        <v>8.4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6" t="s">
        <v>238</v>
      </c>
      <c r="B270" s="107"/>
      <c r="C270" s="107"/>
      <c r="D270" s="107"/>
      <c r="E270" s="108">
        <f>SUM(E258:E269)</f>
        <v>0</v>
      </c>
      <c r="F270" s="36">
        <f>SUM(F258:F269)</f>
        <v>100</v>
      </c>
      <c r="G270" s="36">
        <f>SUM(G258:G269)</f>
        <v>420</v>
      </c>
      <c r="H270" s="37"/>
      <c r="I270" s="37"/>
      <c r="J270" s="37"/>
      <c r="K270" s="61"/>
      <c r="L270" s="61"/>
      <c r="M270" s="38">
        <f ca="1">IFERROR(SUM(M258:M269),"")</f>
        <v>0.10208333333333328</v>
      </c>
      <c r="N270" s="36" t="s">
        <v>236</v>
      </c>
      <c r="O270" s="39"/>
    </row>
    <row r="271" spans="1:15" ht="18" customHeight="1">
      <c r="A271" s="103" t="s">
        <v>239</v>
      </c>
      <c r="B271" s="104"/>
      <c r="C271" s="104"/>
      <c r="D271" s="104"/>
      <c r="E271" s="105">
        <f>E257+E270</f>
        <v>0</v>
      </c>
      <c r="F271" s="40">
        <f>F257+F270</f>
        <v>282</v>
      </c>
      <c r="G271" s="40">
        <f>G257+G270</f>
        <v>1242.8000000000002</v>
      </c>
      <c r="H271" s="41"/>
      <c r="I271" s="41"/>
      <c r="J271" s="41"/>
      <c r="K271" s="63"/>
      <c r="L271" s="63"/>
      <c r="M271" s="42">
        <f ca="1">IFERROR(M257+M270,"")</f>
        <v>0.19375000000000001</v>
      </c>
      <c r="N271" s="40" t="s">
        <v>240</v>
      </c>
      <c r="O271" s="48">
        <f>IFERROR(O257+O270,"")</f>
        <v>803560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6" t="s">
        <v>235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236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6" t="s">
        <v>238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236</v>
      </c>
      <c r="O297" s="39"/>
    </row>
    <row r="298" spans="1:15" ht="18" customHeight="1">
      <c r="A298" s="103" t="s">
        <v>239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240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6" t="s">
        <v>235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6" t="s">
        <v>238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3" t="s">
        <v>239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6" t="s">
        <v>235</v>
      </c>
      <c r="B338" s="107"/>
      <c r="C338" s="107"/>
      <c r="D338" s="107"/>
      <c r="E338" s="108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6" t="s">
        <v>238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3" t="s">
        <v>239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235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6" t="s">
        <v>238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3" t="s">
        <v>239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6" t="s">
        <v>235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6" t="s">
        <v>238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3" t="s">
        <v>239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6" t="s">
        <v>235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6" t="s">
        <v>238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236</v>
      </c>
      <c r="O432" s="39"/>
    </row>
    <row r="433" spans="1:17" ht="18" customHeight="1">
      <c r="A433" s="103" t="s">
        <v>239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6" t="s">
        <v>235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236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6" t="s">
        <v>238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3" t="s">
        <v>239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6" t="s">
        <v>235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6" t="s">
        <v>238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3" t="s">
        <v>239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6" t="s">
        <v>235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6" t="s">
        <v>238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3" t="s">
        <v>239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6" t="s">
        <v>235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6" t="s">
        <v>238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3" t="s">
        <v>239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6" t="s">
        <v>235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6" t="s">
        <v>238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3" t="s">
        <v>239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6" t="s">
        <v>235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6" t="s">
        <v>238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3" t="s">
        <v>239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6" t="s">
        <v>235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6" t="s">
        <v>238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3" t="s">
        <v>239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6" t="s">
        <v>235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6" t="s">
        <v>238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3" t="s">
        <v>239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6" t="s">
        <v>235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6" t="s">
        <v>238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3" t="s">
        <v>239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6" t="s">
        <v>235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6" t="s">
        <v>238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3" t="s">
        <v>239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6" t="s">
        <v>235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6" t="s">
        <v>238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3" t="s">
        <v>239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6" t="s">
        <v>235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6" t="s">
        <v>238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3" t="s">
        <v>239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6" t="s">
        <v>235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6" t="s">
        <v>238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3" t="s">
        <v>239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6" t="s">
        <v>235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6" t="s">
        <v>238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3" t="s">
        <v>239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6" t="s">
        <v>235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6" t="s">
        <v>238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3" t="s">
        <v>239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240</v>
      </c>
      <c r="O838" s="48">
        <f>IFERROR(O824+O837,"")</f>
        <v>0</v>
      </c>
    </row>
  </sheetData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I206:I900 I2:I204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2026-08-11T06:11:37Z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