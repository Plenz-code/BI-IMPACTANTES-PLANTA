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2059" documentId="13_ncr:1_{0A10D8D4-8450-4366-8075-B53B08E6B7EA}" xr6:coauthVersionLast="47" xr6:coauthVersionMax="47" xr10:uidLastSave="{53932ED9-7F5E-44F4-A6B5-6B67FBB7E2AE}"/>
  <bookViews>
    <workbookView xWindow="-28920" yWindow="-6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03" i="6" l="1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<sst xmlns="http://schemas.openxmlformats.org/spreadsheetml/2006/main" count="7071" uniqueCount="353">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</sst>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3" sqref="F23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56392520</v>
      </c>
      <c r="D35" s="13">
        <f t="shared" si="2"/>
        <v>18248020</v>
      </c>
      <c r="E35" s="13">
        <f t="shared" si="2"/>
        <v>9434670</v>
      </c>
      <c r="F35" s="13">
        <f t="shared" si="2"/>
        <v>23508930</v>
      </c>
      <c r="G35" s="13">
        <f t="shared" si="2"/>
        <v>51191620</v>
      </c>
      <c r="H35" s="97">
        <f t="shared" si="2"/>
        <v>3210.2952927907322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2" activePane="bottomLeft" state="frozen"/>
      <selection pane="bottomLeft" activeCell="F407" sqref="F40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243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242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242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242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242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242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242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242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242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242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242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242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242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244</v>
      </c>
      <c r="O405" s="39">
        <v>2612000</v>
      </c>
    </row>
    <row r="406" spans="1:15" ht="18" customHeight="1">
      <c r="A406" s="160" t="s">
        <v>247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248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242</v>
      </c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242</v>
      </c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242</v>
      </c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242</v>
      </c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242</v>
      </c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242</v>
      </c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242</v>
      </c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242</v>
      </c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242</v>
      </c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242</v>
      </c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242</v>
      </c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242</v>
      </c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2" t="s">
        <v>247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92" activePane="bottomLeft" state="frozen"/>
      <selection pane="bottomLeft" activeCell="G407" sqref="G40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0.17557627314818092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0.31446516203706981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0.39918738425929212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243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244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248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29</v>
      </c>
      <c r="E407" s="109" t="s">
        <v>258</v>
      </c>
      <c r="F407" s="140">
        <f>IFERROR(IF($D407="","",VLOOKUP($D407,Cadastro!$C$4:$E$7,3,FALSE)),"")</f>
        <v>0.35</v>
      </c>
      <c r="G407" s="105"/>
      <c r="H407" s="140" t="str">
        <f>IFERROR(IF($G407="","",$G407*$S$419/$G$419/Cadastro!$E$33),"")</f>
        <v/>
      </c>
      <c r="I407" s="141">
        <f>IFERROR(IF($D407="","",VLOOKUP($D407,Cadastro!$C$4:$G$7,5,FALSE)),"")</f>
        <v>0.6</v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29</v>
      </c>
      <c r="E408" s="109" t="s">
        <v>258</v>
      </c>
      <c r="F408" s="134">
        <f>IFERROR(IF($D408="","",VLOOKUP($D408,Cadastro!$C$4:$E$7,3,FALSE)),"")</f>
        <v>0.35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29</v>
      </c>
      <c r="E409" s="109" t="s">
        <v>258</v>
      </c>
      <c r="F409" s="134">
        <f>IFERROR(IF($D409="","",VLOOKUP($D409,Cadastro!$C$4:$E$7,3,FALSE)),"")</f>
        <v>0.35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29</v>
      </c>
      <c r="E410" s="109" t="s">
        <v>258</v>
      </c>
      <c r="F410" s="134">
        <f>IFERROR(IF($D410="","",VLOOKUP($D410,Cadastro!$C$4:$E$7,3,FALSE)),"")</f>
        <v>0.35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29</v>
      </c>
      <c r="E411" s="109" t="s">
        <v>258</v>
      </c>
      <c r="F411" s="134">
        <f>IFERROR(IF($D411="","",VLOOKUP($D411,Cadastro!$C$4:$E$7,3,FALSE)),"")</f>
        <v>0.35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29</v>
      </c>
      <c r="E412" s="109" t="s">
        <v>258</v>
      </c>
      <c r="F412" s="134">
        <f>IFERROR(IF($D412="","",VLOOKUP($D412,Cadastro!$C$4:$E$7,3,FALSE)),"")</f>
        <v>0.35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29</v>
      </c>
      <c r="E413" s="109" t="s">
        <v>258</v>
      </c>
      <c r="F413" s="134">
        <f>IFERROR(IF($D413="","",VLOOKUP($D413,Cadastro!$C$4:$E$7,3,FALSE)),"")</f>
        <v>0.35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29</v>
      </c>
      <c r="E414" s="109" t="s">
        <v>258</v>
      </c>
      <c r="F414" s="134">
        <f>IFERROR(IF($D414="","",VLOOKUP($D414,Cadastro!$C$4:$E$7,3,FALSE)),"")</f>
        <v>0.35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29</v>
      </c>
      <c r="E415" s="109" t="s">
        <v>258</v>
      </c>
      <c r="F415" s="134">
        <f>IFERROR(IF($D415="","",VLOOKUP($D415,Cadastro!$C$4:$E$7,3,FALSE)),"")</f>
        <v>0.35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29</v>
      </c>
      <c r="E416" s="109" t="s">
        <v>258</v>
      </c>
      <c r="F416" s="134">
        <f>IFERROR(IF($D416="","",VLOOKUP($D416,Cadastro!$C$4:$E$7,3,FALSE)),"")</f>
        <v>0.35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29</v>
      </c>
      <c r="E417" s="109" t="s">
        <v>258</v>
      </c>
      <c r="F417" s="134">
        <f>IFERROR(IF($D417="","",VLOOKUP($D417,Cadastro!$C$4:$E$7,3,FALSE)),"")</f>
        <v>0.35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29</v>
      </c>
      <c r="E418" s="109" t="s">
        <v>258</v>
      </c>
      <c r="F418" s="137">
        <f>IFERROR(IF($D418="","",VLOOKUP($D418,Cadastro!$C$4:$E$7,3,FALSE)),"")</f>
        <v>0.35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92" activePane="bottomLeft" state="frozen"/>
      <selection pane="bottomLeft" activeCell="G407" sqref="G40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317</v>
      </c>
      <c r="Q222" s="30" t="str">
        <f t="shared" ca="1" si="49"/>
        <v/>
      </c>
      <c r="R222" s="27" t="s">
        <v>318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244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248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29</v>
      </c>
      <c r="E407" s="109" t="s">
        <v>258</v>
      </c>
      <c r="F407" s="140">
        <f>IFERROR(IF($D407="","",VLOOKUP($D407,Cadastro!$C$4:$E$7,3,FALSE)),"")</f>
        <v>0.35</v>
      </c>
      <c r="G407" s="105"/>
      <c r="H407" s="140" t="str">
        <f>IFERROR(IF($G407="","",$G407*$S$419/$G$419/Cadastro!$E$33),"")</f>
        <v/>
      </c>
      <c r="I407" s="141">
        <f>IFERROR(IF($D407="","",VLOOKUP($D407,Cadastro!$C$4:$G$7,5,FALSE)),"")</f>
        <v>0.6</v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29</v>
      </c>
      <c r="E408" s="109" t="s">
        <v>258</v>
      </c>
      <c r="F408" s="134">
        <f>IFERROR(IF($D408="","",VLOOKUP($D408,Cadastro!$C$4:$E$7,3,FALSE)),"")</f>
        <v>0.35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29</v>
      </c>
      <c r="E409" s="109" t="s">
        <v>258</v>
      </c>
      <c r="F409" s="134">
        <f>IFERROR(IF($D409="","",VLOOKUP($D409,Cadastro!$C$4:$E$7,3,FALSE)),"")</f>
        <v>0.35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29</v>
      </c>
      <c r="E410" s="109" t="s">
        <v>258</v>
      </c>
      <c r="F410" s="134">
        <f>IFERROR(IF($D410="","",VLOOKUP($D410,Cadastro!$C$4:$E$7,3,FALSE)),"")</f>
        <v>0.35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29</v>
      </c>
      <c r="E411" s="109" t="s">
        <v>258</v>
      </c>
      <c r="F411" s="134">
        <f>IFERROR(IF($D411="","",VLOOKUP($D411,Cadastro!$C$4:$E$7,3,FALSE)),"")</f>
        <v>0.35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29</v>
      </c>
      <c r="E412" s="109" t="s">
        <v>258</v>
      </c>
      <c r="F412" s="134">
        <f>IFERROR(IF($D412="","",VLOOKUP($D412,Cadastro!$C$4:$E$7,3,FALSE)),"")</f>
        <v>0.35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29</v>
      </c>
      <c r="E413" s="109" t="s">
        <v>258</v>
      </c>
      <c r="F413" s="134">
        <f>IFERROR(IF($D413="","",VLOOKUP($D413,Cadastro!$C$4:$E$7,3,FALSE)),"")</f>
        <v>0.35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29</v>
      </c>
      <c r="E414" s="109" t="s">
        <v>258</v>
      </c>
      <c r="F414" s="134">
        <f>IFERROR(IF($D414="","",VLOOKUP($D414,Cadastro!$C$4:$E$7,3,FALSE)),"")</f>
        <v>0.35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29</v>
      </c>
      <c r="E415" s="109" t="s">
        <v>258</v>
      </c>
      <c r="F415" s="134">
        <f>IFERROR(IF($D415="","",VLOOKUP($D415,Cadastro!$C$4:$E$7,3,FALSE)),"")</f>
        <v>0.35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29</v>
      </c>
      <c r="E416" s="109" t="s">
        <v>258</v>
      </c>
      <c r="F416" s="134">
        <f>IFERROR(IF($D416="","",VLOOKUP($D416,Cadastro!$C$4:$E$7,3,FALSE)),"")</f>
        <v>0.35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29</v>
      </c>
      <c r="E417" s="109" t="s">
        <v>258</v>
      </c>
      <c r="F417" s="134">
        <f>IFERROR(IF($D417="","",VLOOKUP($D417,Cadastro!$C$4:$E$7,3,FALSE)),"")</f>
        <v>0.35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29</v>
      </c>
      <c r="E418" s="109" t="s">
        <v>258</v>
      </c>
      <c r="F418" s="137">
        <f>IFERROR(IF($D418="","",VLOOKUP($D418,Cadastro!$C$4:$E$7,3,FALSE)),"")</f>
        <v>0.35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92" activePane="bottomLeft" state="frozen"/>
      <selection pane="bottomLeft" activeCell="C407" sqref="C407:C418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0.66932627314963611</v>
      </c>
      <c r="R385" s="27" t="s">
        <v>351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0.73390960648296932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244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0.79363182870519156</v>
      </c>
      <c r="R406" s="40" t="s">
        <v>248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2026-08-16T11:08:19Z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