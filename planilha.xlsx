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" documentId="8_{C51EB6CB-002B-4D6B-B68F-DDEBDB4460C0}" xr6:coauthVersionLast="47" xr6:coauthVersionMax="47" xr10:uidLastSave="{DF3175E4-EE43-4D74-A38F-F85D14B32EBA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<sst xmlns="http://schemas.openxmlformats.org/spreadsheetml/2006/main" count="1388" uniqueCount="240">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</sst>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35</v>
      </c>
      <c r="G15" s="34">
        <f t="shared" ref="G15:G26" si="3">IF(F15="","",IF(E15="PC 17",F15*4.2,IF(E15="PC 19",F15*5,IF(E15="CB",F15*35,""))))</f>
        <v>175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35</v>
      </c>
      <c r="G27" s="36">
        <f>SUM(G15:G26)</f>
        <v>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231</v>
      </c>
      <c r="G28" s="40">
        <f>G14+G27</f>
        <v>1155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34</v>
      </c>
      <c r="G27" s="36">
        <f>SUM(G15:G26)</f>
        <v>142.80000000000001</v>
      </c>
      <c r="H27" s="37"/>
      <c r="I27" s="37"/>
      <c r="J27" s="37"/>
      <c r="K27" s="37"/>
      <c r="L27" s="37"/>
      <c r="M27" s="38">
        <f ca="1">IFERROR(SUM(M15:M26),"")</f>
        <v>1.5972222222222165E-2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146</v>
      </c>
      <c r="G28" s="40">
        <f>G14+G27</f>
        <v>613.20000000000005</v>
      </c>
      <c r="H28" s="41"/>
      <c r="I28" s="41"/>
      <c r="J28" s="41"/>
      <c r="K28" s="41"/>
      <c r="L28" s="41"/>
      <c r="M28" s="42">
        <f ca="1">IFERROR(M14+M27,"")</f>
        <v>0.21666666666666651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17" sqref="F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25</v>
      </c>
      <c r="G27" s="36">
        <f>SUM(G15:G26)</f>
        <v>105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106</v>
      </c>
      <c r="G28" s="40">
        <f>G14+G27</f>
        <v>445.20000000000005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" activePane="bottomLeft" state="frozen"/>
      <selection pane="bottomLeft" activeCell="H19" sqref="H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 t="s">
        <v>20</v>
      </c>
      <c r="I19" s="33" t="s">
        <v>57</v>
      </c>
      <c r="J19" s="33"/>
      <c r="K19" s="29">
        <v>0.89513888888888893</v>
      </c>
      <c r="L19" s="29"/>
      <c r="M19" s="35">
        <f t="shared" ca="1" si="4"/>
        <v>3.7113425933057442E-3</v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23</v>
      </c>
      <c r="G27" s="36">
        <f>SUM(G15:G26)</f>
        <v>96.6</v>
      </c>
      <c r="H27" s="37"/>
      <c r="I27" s="37"/>
      <c r="J27" s="37"/>
      <c r="K27" s="61"/>
      <c r="L27" s="61"/>
      <c r="M27" s="38">
        <f ca="1">IFERROR(SUM(M15:M26),"")</f>
        <v>4.2600231482194717E-2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153</v>
      </c>
      <c r="G28" s="40">
        <f>G14+G27</f>
        <v>642.60000000000014</v>
      </c>
      <c r="H28" s="41"/>
      <c r="I28" s="41"/>
      <c r="J28" s="41"/>
      <c r="K28" s="63"/>
      <c r="L28" s="63"/>
      <c r="M28" s="42">
        <f ca="1">IFERROR(M14+M27,"")</f>
        <v>8.1489120371083634E-2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2026-08-02T01:34:50Z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