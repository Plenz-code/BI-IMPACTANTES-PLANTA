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98" documentId="13_ncr:1_{A6DBCFB4-28D9-4249-9038-216934055CA6}" xr6:coauthVersionLast="47" xr6:coauthVersionMax="47" xr10:uidLastSave="{A1AC58FE-DC10-41DE-970C-FE4824FB5027}"/>
  <bookViews>
    <workbookView xWindow="-110" yWindow="-110" windowWidth="25820" windowHeight="1550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38" i="4" l="1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<sst xmlns="http://schemas.openxmlformats.org/spreadsheetml/2006/main" count="9721" uniqueCount="421">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</sst>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175540</v>
      </c>
      <c r="E25" s="26">
        <f>IFERROR('Linha 2'!S595,"")</f>
        <v>0</v>
      </c>
      <c r="F25" s="26">
        <f>IFERROR('Linha 3'!S595,"")</f>
        <v>0</v>
      </c>
      <c r="G25" s="27">
        <f t="shared" si="0"/>
        <v>175540</v>
      </c>
      <c r="H25" s="21">
        <f>IFERROR('Linha 1'!T595+'Linha 2'!T595+'Linha 3'!T595,0)</f>
        <v>36.863399999999999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24834990</v>
      </c>
      <c r="E35" s="30">
        <f t="shared" si="2"/>
        <v>13495620</v>
      </c>
      <c r="F35" s="30">
        <f t="shared" si="2"/>
        <v>32668850</v>
      </c>
      <c r="G35" s="30">
        <f t="shared" si="2"/>
        <v>70999460</v>
      </c>
      <c r="H35" s="31">
        <f t="shared" si="2"/>
        <v>6495.3210326915123</v>
      </c>
      <c r="I35" s="31">
        <f t="shared" si="2"/>
        <v>4967.05</v>
      </c>
      <c r="J35" s="32">
        <f>I35/H35</f>
        <v>0.76471200961436825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3" activePane="bottomLeft" state="frozen"/>
      <selection pane="bottomLeft" activeCell="F581" sqref="F58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378</v>
      </c>
      <c r="G595" s="1">
        <f>G581+G594</f>
        <v>1890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S581" sqref="S581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0.65927858796203509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0.79816747685092282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0.88288969907314563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/>
      <c r="Q570" s="66">
        <f t="shared" ca="1" si="148"/>
        <v>3.3584143522602972E-2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0.39330636574482519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49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205.8</v>
      </c>
      <c r="L595" s="76"/>
      <c r="M595" s="76"/>
      <c r="N595" s="76"/>
      <c r="O595" s="76"/>
      <c r="P595" s="76"/>
      <c r="Q595" s="77">
        <f ca="1">IFERROR(Q581+Q594,"")</f>
        <v>0.39330636574482519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55" activePane="bottomLeft" state="frozen"/>
      <selection pane="bottomLeft" activeCell="G581" sqref="G581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0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3"/>
        <v>0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3"/>
        <v>0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3"/>
        <v>0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3"/>
        <v>0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/>
      <c r="Q573" s="71">
        <f t="shared" ca="1" si="145"/>
        <v>3.3584143522602972E-2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3"/>
        <v>0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3"/>
        <v>0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3"/>
        <v>0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0</v>
      </c>
      <c r="I577" s="90">
        <f>IFERROR(IF($D577="","",VLOOKUP($D577,Cadastro!$C$4:$G$7,5,FALSE())),"")</f>
        <v>0.6</v>
      </c>
      <c r="J577" s="91">
        <f t="shared" si="143"/>
        <v>0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0</v>
      </c>
      <c r="I578" s="90">
        <f>IFERROR(IF($D578="","",VLOOKUP($D578,Cadastro!$C$4:$G$7,5,FALSE())),"")</f>
        <v>0.6</v>
      </c>
      <c r="J578" s="91">
        <f t="shared" si="143"/>
        <v>0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0</v>
      </c>
      <c r="I579" s="90">
        <f>IFERROR(IF($D579="","",VLOOKUP($D579,Cadastro!$C$4:$G$7,5,FALSE())),"")</f>
        <v>0.6</v>
      </c>
      <c r="J579" s="91">
        <f t="shared" si="143"/>
        <v>0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163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0.14538969907815857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163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693.40000000000009</v>
      </c>
      <c r="L595" s="76"/>
      <c r="M595" s="76"/>
      <c r="N595" s="76"/>
      <c r="O595" s="76"/>
      <c r="P595" s="76"/>
      <c r="Q595" s="77">
        <f ca="1">IFERROR(Q581+Q594,"")</f>
        <v>0.14538969907815857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3" activePane="bottomLeft" state="frozen"/>
      <selection pane="bottomLeft" activeCell="G581" sqref="G581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0</v>
      </c>
      <c r="I577" s="90">
        <f>IFERROR(IF($D577="","",VLOOKUP($D577,Cadastro!$C$4:$G$7,5,FALSE())),"")</f>
        <v>0.6</v>
      </c>
      <c r="J577" s="91">
        <f t="shared" si="146"/>
        <v>0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0</v>
      </c>
      <c r="I578" s="90">
        <f>IFERROR(IF($D578="","",VLOOKUP($D578,Cadastro!$C$4:$G$7,5,FALSE())),"")</f>
        <v>0.6</v>
      </c>
      <c r="J578" s="91">
        <f t="shared" si="146"/>
        <v>0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0</v>
      </c>
      <c r="I579" s="90">
        <f>IFERROR(IF($D579="","",VLOOKUP($D579,Cadastro!$C$4:$G$7,5,FALSE())),"")</f>
        <v>0.6</v>
      </c>
      <c r="J579" s="91">
        <f t="shared" si="146"/>
        <v>0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202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202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864.40000000000009</v>
      </c>
      <c r="L595" s="76"/>
      <c r="M595" s="76"/>
      <c r="N595" s="76"/>
      <c r="O595" s="135"/>
      <c r="P595" s="135"/>
      <c r="Q595" s="77">
        <f ca="1">IFERROR(Q581+Q594,"")</f>
        <v>0.13402777777777786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2026-08-22T22:44:54Z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