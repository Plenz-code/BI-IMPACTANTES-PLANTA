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70" documentId="8_{AF585B22-221D-4780-BB9C-493D365A6A02}" xr6:coauthVersionLast="47" xr6:coauthVersionMax="47" xr10:uidLastSave="{270E80FF-CA9B-4929-B76B-C09B99389F5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<sst xmlns="http://schemas.openxmlformats.org/spreadsheetml/2006/main" count="7107" uniqueCount="339">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</sst>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3.1398495368193835E-2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3.1398495368193835E-2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3.1398495368193835E-2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0.10987071759154787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0.26750960648043676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0.37723182870265892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8.8342939816357102E-2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0.25917627314969049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0.40431516203857937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16</v>
      </c>
      <c r="G446" s="36">
        <f>SUM(G434:G445)</f>
        <v>67.2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16</v>
      </c>
      <c r="G460" s="40">
        <f>G446+G459</f>
        <v>67.2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9</v>
      </c>
      <c r="G446" s="36">
        <f>SUM(G434:G445)</f>
        <v>37.800000000000004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9</v>
      </c>
      <c r="G460" s="40">
        <f>G446+G459</f>
        <v>37.800000000000004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F436" sqref="F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0.1001484953740146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0.29945405092957023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0.66681516204068125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/>
      <c r="M434" s="30">
        <f t="shared" ref="M434:M445" ca="1" si="97">IFERROR(IF(K434="","",IF(L434="",MOD(NOW()-K434,1),IF(L434&gt;=K434,L434-K434,L434+1-K434))),"")</f>
        <v>1.6120717591547873E-2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28</v>
      </c>
      <c r="G446" s="36">
        <f>SUM(G434:G445)</f>
        <v>117.60000000000001</v>
      </c>
      <c r="H446" s="37"/>
      <c r="I446" s="37"/>
      <c r="J446" s="37"/>
      <c r="K446" s="61"/>
      <c r="L446" s="61"/>
      <c r="M446" s="38">
        <f ca="1">IFERROR(SUM(M434:M445),"")</f>
        <v>1.6120717591547873E-2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28</v>
      </c>
      <c r="G460" s="40">
        <f>G446+G459</f>
        <v>117.60000000000001</v>
      </c>
      <c r="H460" s="41"/>
      <c r="I460" s="41"/>
      <c r="J460" s="41"/>
      <c r="K460" s="63"/>
      <c r="L460" s="63"/>
      <c r="M460" s="42">
        <f ca="1">IFERROR(M446+M459,"")</f>
        <v>1.6120717591547873E-2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2026-07-17T12:29:25Z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