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15" documentId="13_ncr:1_{0A10D8D4-8450-4366-8075-B53B08E6B7EA}" xr6:coauthVersionLast="47" xr6:coauthVersionMax="47" xr10:uidLastSave="{169087C6-C5E0-482E-9DE6-B8D090252F65}"/>
  <bookViews>
    <workbookView xWindow="-110" yWindow="-110" windowWidth="25820" windowHeight="1550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G455" i="3"/>
  <c r="G456" i="3"/>
  <c r="G457" i="3"/>
  <c r="G458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M457" i="3"/>
  <c r="M456" i="3"/>
  <c r="M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<sst xmlns="http://schemas.openxmlformats.org/spreadsheetml/2006/main" count="7693" uniqueCount="366">
  <si>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</si>
  <si>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</si>
  <si>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</si>
  <si>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</si>
  <si>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</si>
  <si>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</si>
  <si>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</si>
  <si>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</si>
  <si>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</si>
  <si>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</si>
  <si>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</si>
  <si>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</si>
  <si>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</si>
  <si>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</si>
  <si>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</si>
  <si>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</si>
  <si>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</si>
  <si>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</si>
  <si>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</si>
  <si>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</si>
  <si>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</si>
  <si>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</si>
  <si>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</si>
  <si>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</si>
  <si>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</si>
  <si>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</si>
  <si>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</si>
  <si>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</si>
  <si>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</si>
  <si>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</si>
  <si>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</si>
  <si>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</si>
  <si>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</si>
  <si>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</si>
  <si>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</si>
  <si>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</si>
  <si>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</si>
  <si>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</si>
  <si>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</si>
  <si>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</si>
  <si>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</si>
  <si>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</si>
  <si>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</si>
  <si>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</si>
  <si>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</si>
  <si>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</si>
  <si>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</si>
  <si>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</si>
  <si>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</si>
  <si>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</si>
  <si>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</si>
  <si>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</si>
  <si>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</si>
  <si>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</si>
  <si>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</si>
  <si>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</si>
  <si>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</si>
  <si>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</si>
  <si>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</si>
  <si>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</si>
  <si>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</si>
  <si>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</si>
  <si>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</si>
  <si>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</si>
  <si>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</si>
  <si>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</si>
  <si>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</si>
  <si>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</si>
  <si>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</si>
  <si>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</si>
  <si>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</si>
  <si>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</si>
  <si>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</si>
  <si>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</si>
  <si>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</si>
  <si>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</si>
  <si>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</si>
  <si>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</si>
  <si>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</si>
  <si>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</si>
  <si>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</si>
  <si>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</si>
  <si>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</si>
  <si>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</si>
  <si>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</si>
  <si>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</si>
  <si>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</si>
  <si>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</si>
  <si>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</si>
  <si>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</si>
  <si>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</si>
  <si>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</si>
  <si>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</si>
  <si>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</si>
  <si>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</si>
  <si>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</si>
  <si>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</si>
  <si>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</si>
  <si>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</si>
  <si>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</si>
  <si>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</si>
  <si>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</si>
  <si>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</si>
  <si>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</si>
  <si>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</si>
  <si>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</si>
  <si>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</si>
  <si>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</si>
  <si>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</si>
  <si>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</si>
  <si>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</si>
  <si>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</si>
  <si>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</si>
  <si>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</si>
  <si>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</si>
  <si>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</si>
  <si>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</si>
  <si>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</si>
  <si>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</si>
  <si>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</si>
  <si>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</si>
  <si>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</si>
  <si>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</si>
  <si>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</si>
  <si>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</si>
  <si>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</si>
  <si>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</si>
  <si>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</si>
  <si>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</si>
  <si>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</si>
  <si>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</si>
  <si>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</si>
  <si>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</si>
  <si>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</si>
  <si>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</si>
  <si>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</si>
  <si>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</si>
  <si>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</si>
  <si>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</si>
  <si>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</si>
  <si>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</si>
  <si>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</si>
  <si>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</si>
  <si>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</si>
  <si>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</si>
  <si>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</si>
  <si>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</si>
  <si>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</si>
  <si>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</si>
  <si>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</si>
  <si>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</si>
  <si>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</si>
  <si>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</si>
  <si>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</si>
  <si>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</si>
  <si>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</si>
  <si>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</si>
  <si>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</si>
  <si>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</si>
  <si>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</si>
  <si>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</si>
  <si>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</si>
  <si>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</si>
  <si>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</si>
  <si>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</si>
  <si>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</si>
  <si>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</si>
  <si>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</si>
  <si>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</si>
  <si>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</si>
  <si>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</si>
  <si>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</si>
  <si>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</si>
  <si>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</si>
  <si>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</si>
  <si>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</si>
  <si>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</si>
  <si>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</si>
  <si>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</si>
  <si>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</si>
  <si>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</si>
  <si>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</si>
  <si>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</si>
  <si>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</si>
  <si>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</si>
  <si>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</si>
  <si>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</si>
  <si>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</si>
  <si>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</si>
  <si>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</si>
  <si>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</si>
  <si>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</si>
  <si>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</si>
  <si>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</si>
  <si>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</si>
  <si>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</si>
  <si>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</si>
  <si>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</si>
  <si>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</si>
  <si>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</si>
  <si>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</si>
  <si>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</si>
  <si>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</si>
  <si>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</si>
  <si>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</si>
  <si>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</si>
  <si>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</si>
  <si>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</si>
  <si>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</si>
  <si>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</si>
  <si>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</si>
  <si>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</si>
  <si>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</si>
  <si>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</si>
  <si>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</si>
  <si>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</si>
  <si>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</si>
  <si>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</si>
  <si>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</si>
  <si>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</si>
  <si>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</si>
  <si>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</si>
  <si>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</si>
  <si>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</si>
  <si>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</si>
  <si>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</si>
  <si>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</si>
  <si>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</si>
  <si>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</si>
  <si>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</si>
  <si>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</si>
  <si>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</si>
  <si>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</si>
  <si>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</si>
  <si>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</si>
  <si>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</si>
  <si>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</si>
  <si>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</si>
  <si>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</si>
  <si>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</si>
  <si>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</si>
  <si>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</si>
  <si>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</si>
  <si>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</si>
  <si>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</si>
  <si>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</si>
  <si>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</si>
  <si>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</si>
  <si>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</si>
  <si>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</si>
  <si>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</si>
  <si>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</si>
  <si>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</si>
  <si>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</si>
  <si>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</si>
  <si>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</si>
  <si>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</si>
  <si>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</si>
  <si>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</si>
  <si>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</si>
  <si>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</si>
  <si>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</si>
  <si>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</si>
  <si>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</si>
  <si>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</si>
  <si>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</si>
  <si>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</si>
  <si>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</si>
  <si>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</si>
  <si>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</si>
  <si>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</si>
  <si>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</si>
  <si>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</si>
  <si>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</si>
  <si>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</si>
  <si>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</si>
  <si>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</si>
  <si>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</si>
  <si>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</si>
  <si>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</si>
  <si>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</si>
  <si>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</si>
  <si>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</si>
  <si>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</si>
  <si>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</si>
  <si>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</si>
  <si>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</si>
  <si>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</si>
  <si>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</si>
  <si>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</si>
  <si>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</si>
  <si>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</si>
  <si>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</si>
  <si>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</si>
  <si>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</si>
  <si>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</si>
  <si>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</si>
  <si>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</si>
  <si>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</si>
  <si>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</si>
  <si>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</si>
  <si>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</si>
  <si>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</si>
  <si>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</si>
  <si>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</si>
  <si>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</si>
  <si>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</si>
  <si>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</si>
  <si>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</si>
  <si>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</si>
  <si>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</si>
  <si>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</si>
  <si>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</si>
  <si>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</si>
  <si>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</si>
  <si>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</si>
  <si>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</si>
  <si>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</si>
  <si>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</si>
  <si>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</si>
  <si>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</si>
  <si>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</si>
  <si>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</si>
  <si>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</si>
  <si>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</si>
  <si>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</si>
  <si>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</si>
  <si>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</si>
  <si>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</si>
  <si>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</si>
  <si>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</si>
  <si>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</si>
  <si>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</si>
  <si>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</si>
  <si>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</si>
  <si>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</si>
  <si>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</si>
  <si>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</si>
  <si>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</si>
  <si>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</si>
  <si>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</si>
  <si>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</si>
  <si>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</si>
  <si>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</si>
  <si>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</si>
  <si>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</si>
  <si>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</si>
  <si>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</si>
  <si>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</si>
  <si>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</si>
  <si>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</si>
  <si>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</si>
  <si>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</si>
  <si>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</si>
  <si>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</si>
  <si>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</si>
  <si>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</si>
  <si>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</si>
  <si>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</si>
  <si>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</si>
  <si>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</si>
  <si>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</si>
  <si>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</si>
  <si>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PLANILHA CONSERTADA ! 19:44 CCO</t>
  </si>
  <si>
    <t>POR FAVOR! NÂO APAGAR AS FORMULAS!</t>
  </si>
  <si>
    <t>CASO APAGUE APERTE CTRL + 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</si>
</sst>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7" width="8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3" width="8.54296875" customWidth="1"/>
  </cols>
  <sheetData>
    <row r="1" spans="1:11" ht="31.5" customHeight="1" x14ac:dyDescent="0.35">
      <c r="A1" s="165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1" ht="30" customHeight="1" x14ac:dyDescent="0.35">
      <c r="A2" s="163"/>
      <c r="B2" s="16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64" t="s">
        <v>14</v>
      </c>
      <c r="B35" s="164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sqref="A1:L1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7" t="s">
        <v>15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8"/>
      <c r="N1" s="169" t="s">
        <v>16</v>
      </c>
      <c r="O1" s="169"/>
      <c r="P1" s="169"/>
      <c r="Q1" s="169"/>
      <c r="R1" s="169"/>
    </row>
    <row r="2" spans="1:18" ht="4.5" customHeight="1" x14ac:dyDescent="0.35">
      <c r="M2" s="168"/>
    </row>
    <row r="3" spans="1:18" ht="26.15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8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8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8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8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8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8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8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8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8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8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8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8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8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8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8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8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8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8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8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8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8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8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8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8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8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8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8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8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8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8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8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8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8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8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8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8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8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8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8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8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8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8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8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8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8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8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8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8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8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8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8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8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8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8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8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8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2" activePane="bottomLeft" state="frozen"/>
      <selection sqref="A1:G409"/>
      <selection pane="bottomLeft" activeCell="N455" sqref="N455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37.2695312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59" t="s">
        <v>244</v>
      </c>
      <c r="B14" s="160"/>
      <c r="C14" s="160"/>
      <c r="D14" s="160"/>
      <c r="E14" s="17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59" t="s">
        <v>247</v>
      </c>
      <c r="B27" s="160"/>
      <c r="C27" s="160"/>
      <c r="D27" s="160"/>
      <c r="E27" s="17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61" t="s">
        <v>248</v>
      </c>
      <c r="B28" s="162"/>
      <c r="C28" s="162"/>
      <c r="D28" s="162"/>
      <c r="E28" s="17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59" t="s">
        <v>244</v>
      </c>
      <c r="B41" s="160"/>
      <c r="C41" s="160"/>
      <c r="D41" s="160"/>
      <c r="E41" s="17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59" t="s">
        <v>247</v>
      </c>
      <c r="B54" s="160"/>
      <c r="C54" s="160"/>
      <c r="D54" s="160"/>
      <c r="E54" s="17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61" t="s">
        <v>248</v>
      </c>
      <c r="B55" s="162"/>
      <c r="C55" s="162"/>
      <c r="D55" s="162"/>
      <c r="E55" s="17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59" t="s">
        <v>244</v>
      </c>
      <c r="B68" s="160"/>
      <c r="C68" s="160"/>
      <c r="D68" s="160"/>
      <c r="E68" s="17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59" t="s">
        <v>247</v>
      </c>
      <c r="B81" s="160"/>
      <c r="C81" s="160"/>
      <c r="D81" s="160"/>
      <c r="E81" s="17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61" t="s">
        <v>248</v>
      </c>
      <c r="B82" s="162"/>
      <c r="C82" s="162"/>
      <c r="D82" s="162"/>
      <c r="E82" s="17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59" t="s">
        <v>244</v>
      </c>
      <c r="B95" s="160"/>
      <c r="C95" s="160"/>
      <c r="D95" s="160"/>
      <c r="E95" s="17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59" t="s">
        <v>247</v>
      </c>
      <c r="B108" s="160"/>
      <c r="C108" s="160"/>
      <c r="D108" s="160"/>
      <c r="E108" s="17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61" t="s">
        <v>248</v>
      </c>
      <c r="B109" s="162"/>
      <c r="C109" s="162"/>
      <c r="D109" s="162"/>
      <c r="E109" s="17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59" t="s">
        <v>244</v>
      </c>
      <c r="B122" s="160"/>
      <c r="C122" s="160"/>
      <c r="D122" s="160"/>
      <c r="E122" s="17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59" t="s">
        <v>247</v>
      </c>
      <c r="B135" s="160"/>
      <c r="C135" s="160"/>
      <c r="D135" s="160"/>
      <c r="E135" s="17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61" t="s">
        <v>248</v>
      </c>
      <c r="B136" s="162"/>
      <c r="C136" s="162"/>
      <c r="D136" s="162"/>
      <c r="E136" s="17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59" t="s">
        <v>244</v>
      </c>
      <c r="B149" s="160"/>
      <c r="C149" s="160"/>
      <c r="D149" s="160"/>
      <c r="E149" s="17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59" t="s">
        <v>247</v>
      </c>
      <c r="B162" s="160"/>
      <c r="C162" s="160"/>
      <c r="D162" s="160"/>
      <c r="E162" s="17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61" t="s">
        <v>248</v>
      </c>
      <c r="B163" s="162"/>
      <c r="C163" s="162"/>
      <c r="D163" s="162"/>
      <c r="E163" s="17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59" t="s">
        <v>244</v>
      </c>
      <c r="B176" s="160"/>
      <c r="C176" s="160"/>
      <c r="D176" s="160"/>
      <c r="E176" s="17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59" t="s">
        <v>247</v>
      </c>
      <c r="B189" s="160"/>
      <c r="C189" s="160"/>
      <c r="D189" s="160"/>
      <c r="E189" s="17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61" t="s">
        <v>248</v>
      </c>
      <c r="B190" s="162"/>
      <c r="C190" s="162"/>
      <c r="D190" s="162"/>
      <c r="E190" s="17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59" t="s">
        <v>244</v>
      </c>
      <c r="B203" s="160"/>
      <c r="C203" s="160"/>
      <c r="D203" s="160"/>
      <c r="E203" s="17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59" t="s">
        <v>247</v>
      </c>
      <c r="B216" s="160"/>
      <c r="C216" s="160"/>
      <c r="D216" s="160"/>
      <c r="E216" s="17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61" t="s">
        <v>248</v>
      </c>
      <c r="B217" s="162"/>
      <c r="C217" s="162"/>
      <c r="D217" s="162"/>
      <c r="E217" s="17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70" t="s">
        <v>244</v>
      </c>
      <c r="B230" s="171"/>
      <c r="C230" s="171"/>
      <c r="D230" s="171"/>
      <c r="E230" s="17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59" t="s">
        <v>247</v>
      </c>
      <c r="B243" s="160"/>
      <c r="C243" s="160"/>
      <c r="D243" s="160"/>
      <c r="E243" s="17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61" t="s">
        <v>248</v>
      </c>
      <c r="B244" s="162"/>
      <c r="C244" s="162"/>
      <c r="D244" s="162"/>
      <c r="E244" s="17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59" t="s">
        <v>244</v>
      </c>
      <c r="B257" s="160"/>
      <c r="C257" s="160"/>
      <c r="D257" s="160"/>
      <c r="E257" s="17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59" t="s">
        <v>247</v>
      </c>
      <c r="B270" s="160"/>
      <c r="C270" s="160"/>
      <c r="D270" s="160"/>
      <c r="E270" s="17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61" t="s">
        <v>248</v>
      </c>
      <c r="B271" s="162"/>
      <c r="C271" s="162"/>
      <c r="D271" s="162"/>
      <c r="E271" s="17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59" t="s">
        <v>244</v>
      </c>
      <c r="B284" s="160"/>
      <c r="C284" s="160"/>
      <c r="D284" s="160"/>
      <c r="E284" s="17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59" t="s">
        <v>247</v>
      </c>
      <c r="B297" s="160"/>
      <c r="C297" s="160"/>
      <c r="D297" s="160"/>
      <c r="E297" s="17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61" t="s">
        <v>248</v>
      </c>
      <c r="B298" s="162"/>
      <c r="C298" s="162"/>
      <c r="D298" s="162"/>
      <c r="E298" s="17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59" t="s">
        <v>244</v>
      </c>
      <c r="B311" s="160"/>
      <c r="C311" s="160"/>
      <c r="D311" s="160"/>
      <c r="E311" s="17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59" t="s">
        <v>247</v>
      </c>
      <c r="B324" s="160"/>
      <c r="C324" s="160"/>
      <c r="D324" s="160"/>
      <c r="E324" s="17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61" t="s">
        <v>248</v>
      </c>
      <c r="B325" s="162"/>
      <c r="C325" s="162"/>
      <c r="D325" s="162"/>
      <c r="E325" s="17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59" t="s">
        <v>244</v>
      </c>
      <c r="B338" s="160"/>
      <c r="C338" s="160"/>
      <c r="D338" s="160"/>
      <c r="E338" s="17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59" t="s">
        <v>247</v>
      </c>
      <c r="B351" s="160"/>
      <c r="C351" s="160"/>
      <c r="D351" s="160"/>
      <c r="E351" s="17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61" t="s">
        <v>248</v>
      </c>
      <c r="B352" s="162"/>
      <c r="C352" s="162"/>
      <c r="D352" s="162"/>
      <c r="E352" s="17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59" t="s">
        <v>244</v>
      </c>
      <c r="B365" s="160"/>
      <c r="C365" s="160"/>
      <c r="D365" s="160"/>
      <c r="E365" s="17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59" t="s">
        <v>247</v>
      </c>
      <c r="B378" s="160"/>
      <c r="C378" s="160"/>
      <c r="D378" s="160"/>
      <c r="E378" s="17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61" t="s">
        <v>248</v>
      </c>
      <c r="B379" s="162"/>
      <c r="C379" s="162"/>
      <c r="D379" s="162"/>
      <c r="E379" s="176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59" t="s">
        <v>244</v>
      </c>
      <c r="B392" s="160"/>
      <c r="C392" s="160"/>
      <c r="D392" s="160"/>
      <c r="E392" s="177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59" t="s">
        <v>247</v>
      </c>
      <c r="B405" s="160"/>
      <c r="C405" s="160"/>
      <c r="D405" s="160"/>
      <c r="E405" s="177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61" t="s">
        <v>248</v>
      </c>
      <c r="B406" s="162"/>
      <c r="C406" s="162"/>
      <c r="D406" s="162"/>
      <c r="E406" s="176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59" t="s">
        <v>244</v>
      </c>
      <c r="B419" s="160"/>
      <c r="C419" s="160"/>
      <c r="D419" s="160"/>
      <c r="E419" s="177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59" t="s">
        <v>247</v>
      </c>
      <c r="B432" s="160"/>
      <c r="C432" s="160"/>
      <c r="D432" s="160"/>
      <c r="E432" s="177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 x14ac:dyDescent="0.35">
      <c r="A433" s="161" t="s">
        <v>248</v>
      </c>
      <c r="B433" s="162"/>
      <c r="C433" s="162"/>
      <c r="D433" s="162"/>
      <c r="E433" s="176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59" t="s">
        <v>244</v>
      </c>
      <c r="B446" s="160"/>
      <c r="C446" s="160"/>
      <c r="D446" s="160"/>
      <c r="E446" s="177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363</v>
      </c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28" t="str">
        <f t="shared" si="94"/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364</v>
      </c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 t="shared" si="94"/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365</v>
      </c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28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28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59" t="s">
        <v>247</v>
      </c>
      <c r="B459" s="160"/>
      <c r="C459" s="160"/>
      <c r="D459" s="160"/>
      <c r="E459" s="17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61" t="s">
        <v>248</v>
      </c>
      <c r="B460" s="162"/>
      <c r="C460" s="162"/>
      <c r="D460" s="162"/>
      <c r="E460" s="176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59" t="s">
        <v>244</v>
      </c>
      <c r="B473" s="160"/>
      <c r="C473" s="160"/>
      <c r="D473" s="160"/>
      <c r="E473" s="17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59" t="s">
        <v>247</v>
      </c>
      <c r="B486" s="160"/>
      <c r="C486" s="160"/>
      <c r="D486" s="160"/>
      <c r="E486" s="17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61" t="s">
        <v>248</v>
      </c>
      <c r="B487" s="162"/>
      <c r="C487" s="162"/>
      <c r="D487" s="162"/>
      <c r="E487" s="17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59" t="s">
        <v>244</v>
      </c>
      <c r="B500" s="160"/>
      <c r="C500" s="160"/>
      <c r="D500" s="160"/>
      <c r="E500" s="17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59" t="s">
        <v>247</v>
      </c>
      <c r="B513" s="160"/>
      <c r="C513" s="160"/>
      <c r="D513" s="160"/>
      <c r="E513" s="17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61" t="s">
        <v>248</v>
      </c>
      <c r="B514" s="162"/>
      <c r="C514" s="162"/>
      <c r="D514" s="162"/>
      <c r="E514" s="17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59" t="s">
        <v>244</v>
      </c>
      <c r="B527" s="160"/>
      <c r="C527" s="160"/>
      <c r="D527" s="160"/>
      <c r="E527" s="17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59" t="s">
        <v>247</v>
      </c>
      <c r="B540" s="160"/>
      <c r="C540" s="160"/>
      <c r="D540" s="160"/>
      <c r="E540" s="17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61" t="s">
        <v>248</v>
      </c>
      <c r="B541" s="162"/>
      <c r="C541" s="162"/>
      <c r="D541" s="162"/>
      <c r="E541" s="17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59" t="s">
        <v>244</v>
      </c>
      <c r="B554" s="160"/>
      <c r="C554" s="160"/>
      <c r="D554" s="160"/>
      <c r="E554" s="17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59" t="s">
        <v>247</v>
      </c>
      <c r="B567" s="160"/>
      <c r="C567" s="160"/>
      <c r="D567" s="160"/>
      <c r="E567" s="17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61" t="s">
        <v>248</v>
      </c>
      <c r="B568" s="162"/>
      <c r="C568" s="162"/>
      <c r="D568" s="162"/>
      <c r="E568" s="17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59" t="s">
        <v>244</v>
      </c>
      <c r="B581" s="160"/>
      <c r="C581" s="160"/>
      <c r="D581" s="160"/>
      <c r="E581" s="17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59" t="s">
        <v>247</v>
      </c>
      <c r="B594" s="160"/>
      <c r="C594" s="160"/>
      <c r="D594" s="160"/>
      <c r="E594" s="17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61" t="s">
        <v>248</v>
      </c>
      <c r="B595" s="162"/>
      <c r="C595" s="162"/>
      <c r="D595" s="162"/>
      <c r="E595" s="17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59" t="s">
        <v>244</v>
      </c>
      <c r="B608" s="160"/>
      <c r="C608" s="160"/>
      <c r="D608" s="160"/>
      <c r="E608" s="17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59" t="s">
        <v>247</v>
      </c>
      <c r="B621" s="160"/>
      <c r="C621" s="160"/>
      <c r="D621" s="160"/>
      <c r="E621" s="17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61" t="s">
        <v>248</v>
      </c>
      <c r="B622" s="162"/>
      <c r="C622" s="162"/>
      <c r="D622" s="162"/>
      <c r="E622" s="17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59" t="s">
        <v>244</v>
      </c>
      <c r="B635" s="160"/>
      <c r="C635" s="160"/>
      <c r="D635" s="160"/>
      <c r="E635" s="17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59" t="s">
        <v>247</v>
      </c>
      <c r="B648" s="160"/>
      <c r="C648" s="160"/>
      <c r="D648" s="160"/>
      <c r="E648" s="17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61" t="s">
        <v>248</v>
      </c>
      <c r="B649" s="162"/>
      <c r="C649" s="162"/>
      <c r="D649" s="162"/>
      <c r="E649" s="17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59" t="s">
        <v>244</v>
      </c>
      <c r="B662" s="160"/>
      <c r="C662" s="160"/>
      <c r="D662" s="160"/>
      <c r="E662" s="17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59" t="s">
        <v>247</v>
      </c>
      <c r="B675" s="160"/>
      <c r="C675" s="160"/>
      <c r="D675" s="160"/>
      <c r="E675" s="17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61" t="s">
        <v>248</v>
      </c>
      <c r="B676" s="162"/>
      <c r="C676" s="162"/>
      <c r="D676" s="162"/>
      <c r="E676" s="17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59" t="s">
        <v>244</v>
      </c>
      <c r="B689" s="160"/>
      <c r="C689" s="160"/>
      <c r="D689" s="160"/>
      <c r="E689" s="17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59" t="s">
        <v>247</v>
      </c>
      <c r="B702" s="160"/>
      <c r="C702" s="160"/>
      <c r="D702" s="160"/>
      <c r="E702" s="17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61" t="s">
        <v>248</v>
      </c>
      <c r="B703" s="162"/>
      <c r="C703" s="162"/>
      <c r="D703" s="162"/>
      <c r="E703" s="17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59" t="s">
        <v>244</v>
      </c>
      <c r="B716" s="160"/>
      <c r="C716" s="160"/>
      <c r="D716" s="160"/>
      <c r="E716" s="17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59" t="s">
        <v>247</v>
      </c>
      <c r="B729" s="160"/>
      <c r="C729" s="160"/>
      <c r="D729" s="160"/>
      <c r="E729" s="17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61" t="s">
        <v>248</v>
      </c>
      <c r="B730" s="162"/>
      <c r="C730" s="162"/>
      <c r="D730" s="162"/>
      <c r="E730" s="17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59" t="s">
        <v>244</v>
      </c>
      <c r="B743" s="160"/>
      <c r="C743" s="160"/>
      <c r="D743" s="160"/>
      <c r="E743" s="17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59" t="s">
        <v>247</v>
      </c>
      <c r="B756" s="160"/>
      <c r="C756" s="160"/>
      <c r="D756" s="160"/>
      <c r="E756" s="17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61" t="s">
        <v>248</v>
      </c>
      <c r="B757" s="162"/>
      <c r="C757" s="162"/>
      <c r="D757" s="162"/>
      <c r="E757" s="17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59" t="s">
        <v>244</v>
      </c>
      <c r="B770" s="160"/>
      <c r="C770" s="160"/>
      <c r="D770" s="160"/>
      <c r="E770" s="17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59" t="s">
        <v>247</v>
      </c>
      <c r="B783" s="160"/>
      <c r="C783" s="160"/>
      <c r="D783" s="160"/>
      <c r="E783" s="17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61" t="s">
        <v>248</v>
      </c>
      <c r="B784" s="162"/>
      <c r="C784" s="162"/>
      <c r="D784" s="162"/>
      <c r="E784" s="17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59" t="s">
        <v>244</v>
      </c>
      <c r="B797" s="160"/>
      <c r="C797" s="160"/>
      <c r="D797" s="160"/>
      <c r="E797" s="17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59" t="s">
        <v>247</v>
      </c>
      <c r="B810" s="160"/>
      <c r="C810" s="160"/>
      <c r="D810" s="160"/>
      <c r="E810" s="17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73" t="s">
        <v>248</v>
      </c>
      <c r="B811" s="174"/>
      <c r="C811" s="174"/>
      <c r="D811" s="174"/>
      <c r="E811" s="17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59" t="s">
        <v>244</v>
      </c>
      <c r="B824" s="160"/>
      <c r="C824" s="160"/>
      <c r="D824" s="160"/>
      <c r="E824" s="17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59" t="s">
        <v>247</v>
      </c>
      <c r="B837" s="160"/>
      <c r="C837" s="160"/>
      <c r="D837" s="160"/>
      <c r="E837" s="17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61" t="s">
        <v>248</v>
      </c>
      <c r="B838" s="162"/>
      <c r="C838" s="162"/>
      <c r="D838" s="162"/>
      <c r="E838" s="17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sqref="A1:G409"/>
      <selection pane="bottomLeft" activeCell="E464" sqref="E464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81640625" style="20" hidden="1" customWidth="1"/>
    <col min="9" max="9" width="16.1796875" style="20" hidden="1" customWidth="1"/>
    <col min="10" max="10" width="13.81640625" style="20" hidden="1" customWidth="1"/>
    <col min="11" max="11" width="14" style="20" customWidth="1"/>
    <col min="12" max="12" width="31.1796875" style="20" customWidth="1"/>
    <col min="13" max="13" width="29.179687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0.70207037036743714</v>
      </c>
      <c r="R53" s="46" t="s">
        <v>281</v>
      </c>
      <c r="S53" s="31"/>
    </row>
    <row r="54" spans="1:20" ht="15.75" customHeight="1" thickBot="1" x14ac:dyDescent="0.4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0.84095925925632597</v>
      </c>
      <c r="R54" s="36" t="s">
        <v>245</v>
      </c>
      <c r="S54" s="75">
        <v>352430</v>
      </c>
      <c r="T54" s="117"/>
    </row>
    <row r="55" spans="1:20" ht="18" customHeight="1" x14ac:dyDescent="0.3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0.92568148147854834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70" t="s">
        <v>244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5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28">
        <f t="shared" si="107"/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470.40000000000003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E458" sqref="E45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81640625" style="20" hidden="1" customWidth="1"/>
    <col min="9" max="10" width="13.81640625" style="20" hidden="1" customWidth="1"/>
    <col min="11" max="11" width="14" style="20" customWidth="1"/>
    <col min="12" max="12" width="32.81640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 x14ac:dyDescent="0.3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K456" sqref="K456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81640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179687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 x14ac:dyDescent="0.3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28" t="str">
        <f t="shared" ref="K451:K458" si="114"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4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28" t="str">
        <f t="shared" si="114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4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28" t="str">
        <f t="shared" si="114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4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28" t="str">
        <f t="shared" si="114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5">IFERROR(IF($H461="","",$H461*$F461*$I461),"")</f>
        <v/>
      </c>
      <c r="K461" s="34" t="str">
        <f t="shared" ref="K461:K472" si="116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7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8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5"/>
        <v/>
      </c>
      <c r="K462" s="28" t="str">
        <f t="shared" si="116"/>
        <v/>
      </c>
      <c r="L462" s="26"/>
      <c r="M462" s="26"/>
      <c r="N462" s="26"/>
      <c r="O462" s="29"/>
      <c r="P462" s="29"/>
      <c r="Q462" s="30" t="str">
        <f t="shared" ca="1" si="117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8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5"/>
        <v/>
      </c>
      <c r="K463" s="34" t="str">
        <f t="shared" si="116"/>
        <v/>
      </c>
      <c r="L463" s="33"/>
      <c r="M463" s="33"/>
      <c r="N463" s="33"/>
      <c r="O463" s="29"/>
      <c r="P463" s="29"/>
      <c r="Q463" s="35" t="str">
        <f t="shared" ca="1" si="117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8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5"/>
        <v/>
      </c>
      <c r="K464" s="28" t="str">
        <f t="shared" si="116"/>
        <v/>
      </c>
      <c r="L464" s="26"/>
      <c r="M464" s="26"/>
      <c r="N464" s="26"/>
      <c r="O464" s="29"/>
      <c r="P464" s="29"/>
      <c r="Q464" s="30" t="str">
        <f t="shared" ca="1" si="117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8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5"/>
        <v/>
      </c>
      <c r="K465" s="34" t="str">
        <f t="shared" si="116"/>
        <v/>
      </c>
      <c r="L465" s="33"/>
      <c r="M465" s="33"/>
      <c r="N465" s="33"/>
      <c r="O465" s="29"/>
      <c r="P465" s="29"/>
      <c r="Q465" s="35" t="str">
        <f t="shared" ca="1" si="117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8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5"/>
        <v/>
      </c>
      <c r="K466" s="28" t="str">
        <f t="shared" si="116"/>
        <v/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8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5"/>
        <v/>
      </c>
      <c r="K467" s="34" t="str">
        <f t="shared" si="116"/>
        <v/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8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5"/>
        <v/>
      </c>
      <c r="K468" s="28" t="str">
        <f t="shared" si="116"/>
        <v/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8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5"/>
        <v/>
      </c>
      <c r="K469" s="34" t="str">
        <f t="shared" si="116"/>
        <v/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8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8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8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4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2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2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2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2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2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2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2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2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2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2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2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4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4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4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4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4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4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4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4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4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4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4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4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4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4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4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4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4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4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4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4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4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4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4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4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4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4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96dcb152-1051-46f1-b38f-17beadf9ed92"/>
    <ds:schemaRef ds:uri="http://purl.org/dc/terms/"/>
    <ds:schemaRef ds:uri="771c9ca5-affe-4166-ad8c-7e4536f98f4b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2026-08-17T23:46:07Z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