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303" documentId="13_ncr:1_{0A10D8D4-8450-4366-8075-B53B08E6B7EA}" xr6:coauthVersionLast="47" xr6:coauthVersionMax="47" xr10:uidLastSave="{9AF51065-00F5-4298-8BC1-EDD2CAF5993B}"/>
  <bookViews>
    <workbookView xWindow="-28920" yWindow="-6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70" i="6"/>
  <c r="J370" i="6" s="1"/>
  <c r="H371" i="6"/>
  <c r="J371" i="6" s="1"/>
  <c r="H372" i="6"/>
  <c r="J372" i="6" s="1"/>
  <c r="H373" i="6"/>
  <c r="J373" i="6" s="1"/>
  <c r="H374" i="6"/>
  <c r="J374" i="6" s="1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70" i="5"/>
  <c r="J370" i="5" s="1"/>
  <c r="H371" i="5"/>
  <c r="J371" i="5" s="1"/>
  <c r="H372" i="5"/>
  <c r="J372" i="5" s="1"/>
  <c r="H373" i="5"/>
  <c r="J373" i="5" s="1"/>
  <c r="H374" i="5"/>
  <c r="J374" i="5" s="1"/>
  <c r="H375" i="5"/>
  <c r="J375" i="5" s="1"/>
  <c r="H376" i="5"/>
  <c r="J376" i="5" s="1"/>
  <c r="H377" i="5"/>
  <c r="J37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70" i="4"/>
  <c r="J370" i="4" s="1"/>
  <c r="H371" i="4"/>
  <c r="J371" i="4" s="1"/>
  <c r="H372" i="4"/>
  <c r="J372" i="4" s="1"/>
  <c r="H373" i="4"/>
  <c r="J373" i="4" s="1"/>
  <c r="H374" i="4"/>
  <c r="J374" i="4" s="1"/>
  <c r="H375" i="4"/>
  <c r="J375" i="4" s="1"/>
  <c r="H376" i="4"/>
  <c r="J376" i="4" s="1"/>
  <c r="H377" i="4"/>
  <c r="J37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68" i="6" l="1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<sst xmlns="http://schemas.openxmlformats.org/spreadsheetml/2006/main" count="6541" uniqueCount="348">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</sst>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M25" sqref="M25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47" activePane="bottomLeft" state="frozen"/>
      <selection pane="bottomLeft" activeCell="K367" sqref="K36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145</v>
      </c>
      <c r="G378" s="36">
        <f>SUM(G366:G377)</f>
        <v>725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545</v>
      </c>
      <c r="G379" s="40">
        <f>G365+G378</f>
        <v>2691.4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N368" sqref="N36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0.88024432869860902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1.0191332175874979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1.1038554398097202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58.800000000000004</v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88.2</v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51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214.2</v>
      </c>
      <c r="L378" s="37"/>
      <c r="M378" s="37"/>
      <c r="N378" s="37"/>
      <c r="O378" s="37"/>
      <c r="P378" s="37"/>
      <c r="Q378" s="38">
        <f ca="1">IFERROR(SUM(Q366:Q377),"")</f>
        <v>5.4861111111111249E-2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159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667.8</v>
      </c>
      <c r="L379" s="41"/>
      <c r="M379" s="41"/>
      <c r="N379" s="41"/>
      <c r="O379" s="41"/>
      <c r="P379" s="41"/>
      <c r="Q379" s="42">
        <f ca="1">IFERROR(Q365+Q378,"")</f>
        <v>0.13819444444444451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G370" sqref="G37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4"/>
        <v>0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4"/>
        <v>0</v>
      </c>
      <c r="K369" s="34">
        <f t="shared" si="85"/>
        <v>16.8</v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29.400000000000002</v>
      </c>
      <c r="L378" s="37"/>
      <c r="M378" s="37"/>
      <c r="N378" s="37"/>
      <c r="O378" s="37"/>
      <c r="P378" s="37"/>
      <c r="Q378" s="38">
        <f ca="1">IFERROR(SUM(Q366:Q377),"")</f>
        <v>0.10069444444444453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97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407.40000000000009</v>
      </c>
      <c r="L379" s="41"/>
      <c r="M379" s="41"/>
      <c r="N379" s="41"/>
      <c r="O379" s="41"/>
      <c r="P379" s="41"/>
      <c r="Q379" s="42">
        <f ca="1">IFERROR(Q365+Q378,"")</f>
        <v>0.29583333333333334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41" activePane="bottomLeft" state="frozen"/>
      <selection pane="bottomLeft" activeCell="M370" sqref="M37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71.400000000000006</v>
      </c>
      <c r="L369" s="33" t="s">
        <v>27</v>
      </c>
      <c r="M369" s="33" t="s">
        <v>60</v>
      </c>
      <c r="N369" s="33" t="s">
        <v>70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 t="s">
        <v>27</v>
      </c>
      <c r="M370" s="26" t="s">
        <v>65</v>
      </c>
      <c r="N370" s="26" t="s">
        <v>70</v>
      </c>
      <c r="O370" s="29">
        <v>0</v>
      </c>
      <c r="P370" s="29"/>
      <c r="Q370" s="30">
        <f t="shared" ca="1" si="88"/>
        <v>1.772106479620561E-3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331.79999999999995</v>
      </c>
      <c r="L378" s="37"/>
      <c r="M378" s="37"/>
      <c r="N378" s="37"/>
      <c r="O378" s="61"/>
      <c r="P378" s="61"/>
      <c r="Q378" s="38">
        <f ca="1">IFERROR(SUM(Q366:Q377),"")</f>
        <v>5.5938773146287257E-2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275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1155</v>
      </c>
      <c r="L379" s="41"/>
      <c r="M379" s="41"/>
      <c r="N379" s="41"/>
      <c r="O379" s="63"/>
      <c r="P379" s="63"/>
      <c r="Q379" s="42">
        <f ca="1">IFERROR(Q365+Q378,"")</f>
        <v>0.17399432870184295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2026-08-15T04:02:47Z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