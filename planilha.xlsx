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367" documentId="8_{AF585B22-221D-4780-BB9C-493D365A6A02}" xr6:coauthVersionLast="47" xr6:coauthVersionMax="47" xr10:uidLastSave="{919D3408-28E3-4EBD-83B0-AF353B0952F2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<sst xmlns="http://schemas.openxmlformats.org/spreadsheetml/2006/main" count="9834" uniqueCount="385">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</sst>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E27" sqref="E2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F641" sqref="F64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 t="shared" si="141"/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134</v>
      </c>
      <c r="G648" s="36">
        <f>SUM(G636:G647)</f>
        <v>670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467</v>
      </c>
      <c r="G649" s="40">
        <f>G635+G648</f>
        <v>2335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K643" sqref="K64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0.80078969907481223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0.95842858796370112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1.0681508101859234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0.77926192129962146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0.95009525463295486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1.0952341435218438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>
        <v>0</v>
      </c>
      <c r="L638" s="29"/>
      <c r="M638" s="30">
        <f t="shared" ca="1" si="142"/>
        <v>4.0373032410570886E-2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97</v>
      </c>
      <c r="G648" s="36">
        <f>SUM(G636:G647)</f>
        <v>407.40000000000003</v>
      </c>
      <c r="H648" s="37"/>
      <c r="I648" s="37"/>
      <c r="J648" s="37"/>
      <c r="K648" s="37"/>
      <c r="L648" s="37"/>
      <c r="M648" s="38">
        <f ca="1">IFERROR(SUM(M636:M647),"")</f>
        <v>6.3984143521682024E-2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190</v>
      </c>
      <c r="G649" s="40">
        <f>G635+G648</f>
        <v>798</v>
      </c>
      <c r="H649" s="41"/>
      <c r="I649" s="41"/>
      <c r="J649" s="41"/>
      <c r="K649" s="41"/>
      <c r="L649" s="41"/>
      <c r="M649" s="42">
        <f ca="1">IFERROR(M635+M648,"")</f>
        <v>1.0396785879661263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616" zoomScale="50" zoomScaleNormal="50" workbookViewId="0">
      <selection activeCell="J636" sqref="J6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0</v>
      </c>
      <c r="L636" s="29"/>
      <c r="M636" s="30">
        <f t="shared" ref="M636:M647" ca="1" si="142">IFERROR(IF(K636="","",IF(L636="",MOD(NOW()-K636,1),IF(L636&gt;=K636,L636-K636,L636+1-K636))),"")</f>
        <v>4.0373032410570886E-2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50</v>
      </c>
      <c r="G648" s="36">
        <f>SUM(G636:G647)</f>
        <v>210</v>
      </c>
      <c r="H648" s="37"/>
      <c r="I648" s="37"/>
      <c r="J648" s="37"/>
      <c r="K648" s="37"/>
      <c r="L648" s="37"/>
      <c r="M648" s="38">
        <f ca="1">IFERROR(SUM(M636:M647),"")</f>
        <v>4.0373032410570886E-2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196</v>
      </c>
      <c r="G649" s="40">
        <f>G635+G648</f>
        <v>823.19999999999993</v>
      </c>
      <c r="H649" s="41"/>
      <c r="I649" s="41"/>
      <c r="J649" s="41"/>
      <c r="K649" s="41"/>
      <c r="L649" s="41"/>
      <c r="M649" s="42">
        <f ca="1">IFERROR(M635+M648,"")</f>
        <v>4.5928587966126422E-2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20" activePane="bottomLeft" state="frozen"/>
      <selection pane="bottomLeft" activeCell="J643" sqref="J64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0.79106747685727896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0.99037303241283459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1.3577341435239456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/>
      <c r="M637" s="35">
        <f t="shared" ca="1" si="142"/>
        <v>4.2456365743419155E-2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12</v>
      </c>
      <c r="G648" s="36">
        <f>SUM(G636:G647)</f>
        <v>50.400000000000006</v>
      </c>
      <c r="H648" s="37"/>
      <c r="I648" s="37"/>
      <c r="J648" s="37"/>
      <c r="K648" s="61"/>
      <c r="L648" s="61"/>
      <c r="M648" s="38">
        <f ca="1">IFERROR(SUM(M636:M647),"")</f>
        <v>0.2174563657434192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98</v>
      </c>
      <c r="G649" s="40">
        <f>G635+G648</f>
        <v>411.6</v>
      </c>
      <c r="H649" s="41"/>
      <c r="I649" s="41"/>
      <c r="J649" s="41"/>
      <c r="K649" s="63"/>
      <c r="L649" s="63"/>
      <c r="M649" s="42">
        <f ca="1">IFERROR(M635+M648,"")</f>
        <v>0.39384525463230818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2026-07-25T04:58:08Z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