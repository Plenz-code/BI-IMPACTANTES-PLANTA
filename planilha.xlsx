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140" documentId="8_{AF585B22-221D-4780-BB9C-493D365A6A02}" xr6:coauthVersionLast="47" xr6:coauthVersionMax="47" xr10:uidLastSave="{74B80350-E353-4A8F-89D6-5C06258801F9}"/>
  <bookViews>
    <workbookView xWindow="-110" yWindow="-110" windowWidth="25820" windowHeight="15500" tabRatio="500" firstSheet="2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13" i="3" l="1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<sst xmlns="http://schemas.openxmlformats.org/spreadsheetml/2006/main" count="5516" uniqueCount="308">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</sst>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10" fillId="3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4" sqref="G4:G15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36763228</v>
      </c>
      <c r="D35" s="13">
        <f>IFERROR(SUM(D4:D34),"")</f>
        <v>12990250</v>
      </c>
      <c r="E35" s="13">
        <f>IFERROR(SUM(E4:E34),"")</f>
        <v>9191510</v>
      </c>
      <c r="F35" s="13">
        <f>IFERROR(SUM(F4:F34),"")</f>
        <v>16638500</v>
      </c>
      <c r="G35" s="13">
        <f>IFERROR(SUM(G4:G34),"")</f>
        <v>38820260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4" sqref="M5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 t="s">
        <v>195</v>
      </c>
    </row>
    <row r="54" spans="1:13" ht="15" customHeight="1">
      <c r="H54" s="101"/>
      <c r="I54" s="16"/>
      <c r="J54" s="16"/>
      <c r="K54" s="16" t="s">
        <v>196</v>
      </c>
      <c r="L54" s="16"/>
      <c r="M54" s="16"/>
    </row>
    <row r="55" spans="1:13" ht="15" customHeight="1">
      <c r="H55" s="101"/>
      <c r="I55" s="17"/>
      <c r="J55" s="17"/>
      <c r="K55" s="17" t="s">
        <v>197</v>
      </c>
      <c r="L55" s="17"/>
      <c r="M55" s="17"/>
    </row>
    <row r="56" spans="1:13" ht="15" customHeight="1">
      <c r="H56" s="101"/>
      <c r="I56" s="16"/>
      <c r="J56" s="16"/>
      <c r="K56" s="16" t="s">
        <v>198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199</v>
      </c>
      <c r="L58" s="16"/>
      <c r="M58" s="16"/>
    </row>
    <row r="59" spans="1:13" ht="15" customHeight="1">
      <c r="H59" s="101"/>
      <c r="I59" s="17"/>
      <c r="J59" s="17"/>
      <c r="K59" s="17" t="s">
        <v>200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201</v>
      </c>
      <c r="L61" s="17"/>
      <c r="M61" s="17"/>
    </row>
    <row r="62" spans="1:13" ht="15" customHeight="1">
      <c r="H62" s="101"/>
      <c r="I62" s="16"/>
      <c r="J62" s="16"/>
      <c r="K62" s="16" t="s">
        <v>202</v>
      </c>
      <c r="L62" s="16"/>
      <c r="M62" s="16"/>
    </row>
    <row r="63" spans="1:13" ht="15" customHeight="1">
      <c r="H63" s="101"/>
      <c r="I63" s="17"/>
      <c r="J63" s="17"/>
      <c r="K63" s="17" t="s">
        <v>203</v>
      </c>
      <c r="L63" s="17"/>
      <c r="M63" s="17"/>
    </row>
    <row r="64" spans="1:13" ht="15" customHeight="1">
      <c r="H64" s="101"/>
      <c r="I64" s="16"/>
      <c r="J64" s="16"/>
      <c r="K64" s="16" t="s">
        <v>204</v>
      </c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304" activePane="bottomLeft" state="frozen"/>
      <selection pane="bottomLeft" activeCell="F331" sqref="F33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215</v>
      </c>
      <c r="E2" s="59" t="s">
        <v>216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219</v>
      </c>
      <c r="O27" s="39">
        <v>1183060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222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219</v>
      </c>
      <c r="O54" s="39">
        <v>959290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222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219</v>
      </c>
      <c r="O81" s="39">
        <v>878050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222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219</v>
      </c>
      <c r="O108" s="39">
        <v>1700000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222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197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219</v>
      </c>
      <c r="O135" s="39">
        <v>862330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222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219</v>
      </c>
      <c r="O162" s="44">
        <v>1546080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222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219</v>
      </c>
      <c r="O189" s="39">
        <v>2355810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222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219</v>
      </c>
      <c r="O216" s="45">
        <v>2013260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222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219</v>
      </c>
      <c r="O243" s="39">
        <v>1545480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222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219</v>
      </c>
      <c r="O270" s="39">
        <v>1182690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222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219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216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229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216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216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216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230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216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230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216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230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216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230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216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230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216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230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216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230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216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230</v>
      </c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219</v>
      </c>
      <c r="O297" s="39">
        <v>1843460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222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216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126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231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216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111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216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130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232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216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216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216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216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216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216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216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216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217</v>
      </c>
      <c r="G311" s="103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219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233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233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216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233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233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233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216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233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219</v>
      </c>
      <c r="O324" s="39">
        <v>1940000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222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216</v>
      </c>
      <c r="F326" s="27">
        <v>18</v>
      </c>
      <c r="G326" s="28">
        <f t="shared" ref="G326:G337" si="72">IF(F326="","",IF(E326="PC 17",F326*4.2,IF(E326="PC 19",F326*5,"")))</f>
        <v>90</v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216</v>
      </c>
      <c r="F327" s="27">
        <v>60</v>
      </c>
      <c r="G327" s="34">
        <f t="shared" si="72"/>
        <v>300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216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216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216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216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216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216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216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216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216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169</v>
      </c>
      <c r="G338" s="36">
        <f>SUM(G326:G337)</f>
        <v>845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169</v>
      </c>
      <c r="G352" s="40">
        <f>G338+G351</f>
        <v>845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B295" activePane="bottomLeft" state="frozen"/>
      <selection pane="bottomLeft" activeCell="F331" sqref="F3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64.5703125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219</v>
      </c>
      <c r="O27" s="78">
        <v>393200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222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235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234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236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234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234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234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234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234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234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234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234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85">
        <v>276360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222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237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219</v>
      </c>
      <c r="O81" s="54">
        <v>787860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222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234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240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241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242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219</v>
      </c>
      <c r="O108" s="54">
        <v>1087080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222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243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244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246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196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196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219</v>
      </c>
      <c r="O135" s="54">
        <v>794480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222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196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200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219</v>
      </c>
      <c r="O162" s="54">
        <v>882280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222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234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234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219</v>
      </c>
      <c r="O189" s="78"/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222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251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252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219</v>
      </c>
      <c r="O216" s="78">
        <v>648410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222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253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254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200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255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219</v>
      </c>
      <c r="O243" s="78">
        <v>849060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222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256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219</v>
      </c>
      <c r="O270" s="78">
        <v>625070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222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257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219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126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259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152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219</v>
      </c>
      <c r="O297" s="78">
        <v>761660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222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134</v>
      </c>
      <c r="J300" s="26" t="s">
        <v>88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260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260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8</v>
      </c>
      <c r="G304" s="28">
        <f t="shared" si="66"/>
        <v>33.6</v>
      </c>
      <c r="H304" s="26" t="s">
        <v>19</v>
      </c>
      <c r="I304" s="26" t="s">
        <v>155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219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153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261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110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262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219</v>
      </c>
      <c r="O324" s="78">
        <v>524410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222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234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155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15</v>
      </c>
      <c r="G327" s="34">
        <f t="shared" si="72"/>
        <v>63</v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10</v>
      </c>
      <c r="G328" s="28">
        <f t="shared" si="72"/>
        <v>42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20</v>
      </c>
      <c r="G329" s="34">
        <f t="shared" si="72"/>
        <v>84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216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77</v>
      </c>
      <c r="G338" s="36">
        <f>SUM(G326:G337)</f>
        <v>333</v>
      </c>
      <c r="H338" s="37"/>
      <c r="I338" s="37"/>
      <c r="J338" s="37"/>
      <c r="K338" s="37"/>
      <c r="L338" s="37"/>
      <c r="M338" s="38">
        <f ca="1">IFERROR(SUM(M326:M337),"")</f>
        <v>1.8055555555555547E-2</v>
      </c>
      <c r="N338" s="36" t="s">
        <v>219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78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77</v>
      </c>
      <c r="G352" s="40">
        <f>G338+G351</f>
        <v>333</v>
      </c>
      <c r="H352" s="41"/>
      <c r="I352" s="41"/>
      <c r="J352" s="41"/>
      <c r="K352" s="41"/>
      <c r="L352" s="41"/>
      <c r="M352" s="42">
        <f ca="1">IFERROR(M338+M351,"")</f>
        <v>1.8055555555555547E-2</v>
      </c>
      <c r="N352" s="40" t="s">
        <v>222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78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78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78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78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78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78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78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78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78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78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78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78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78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78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311" zoomScale="50" zoomScaleNormal="50" workbookViewId="0">
      <selection activeCell="F331" sqref="F33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263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264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234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234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234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234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234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234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234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234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234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219</v>
      </c>
      <c r="O27" s="39">
        <v>308500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222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265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234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234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234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234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234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234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234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234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234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234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234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234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219</v>
      </c>
      <c r="O54" s="39">
        <v>124290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222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266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234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234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234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234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234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234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234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234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267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219</v>
      </c>
      <c r="O81" s="39">
        <v>396340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222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268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219</v>
      </c>
      <c r="O108" s="39">
        <v>41230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222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219</v>
      </c>
      <c r="O135" s="39">
        <v>381250</v>
      </c>
    </row>
    <row r="136" spans="1:15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222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269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270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250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219</v>
      </c>
      <c r="O162" s="39">
        <v>337120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222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234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271</v>
      </c>
      <c r="N166" s="27" t="s">
        <v>272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234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234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234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234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234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234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234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234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219</v>
      </c>
      <c r="O189" s="39">
        <v>747210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222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273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219</v>
      </c>
      <c r="O216" s="39">
        <v>468430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222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234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234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234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234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234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219</v>
      </c>
      <c r="O243" s="39">
        <v>575930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222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202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234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234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234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234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234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274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275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219</v>
      </c>
      <c r="O270" s="39">
        <v>483510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222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219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126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276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277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112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234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219</v>
      </c>
      <c r="O297" s="39">
        <v>487980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222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131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131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112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278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216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219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234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279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280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219</v>
      </c>
      <c r="O324" s="39">
        <v>609460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222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234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281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234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195</v>
      </c>
      <c r="K329" s="29">
        <v>0.45833333333333331</v>
      </c>
      <c r="L329" s="29"/>
      <c r="M329" s="35">
        <f t="shared" ca="1" si="73"/>
        <v>4.561307869880693E-2</v>
      </c>
      <c r="N329" s="27" t="s">
        <v>267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216</v>
      </c>
      <c r="F330" s="27">
        <v>0</v>
      </c>
      <c r="G330" s="28">
        <f t="shared" si="72"/>
        <v>0</v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234</v>
      </c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234</v>
      </c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234</v>
      </c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234</v>
      </c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234</v>
      </c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234</v>
      </c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234</v>
      </c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4" t="s">
        <v>218</v>
      </c>
      <c r="B338" s="95"/>
      <c r="C338" s="95"/>
      <c r="D338" s="95"/>
      <c r="E338" s="96">
        <f>SUM(E326:E337)</f>
        <v>0</v>
      </c>
      <c r="F338" s="36">
        <f>SUM(F326:F337)</f>
        <v>12</v>
      </c>
      <c r="G338" s="36">
        <f>SUM(G326:G337)</f>
        <v>50.400000000000006</v>
      </c>
      <c r="H338" s="37"/>
      <c r="I338" s="37"/>
      <c r="J338" s="37"/>
      <c r="K338" s="37"/>
      <c r="L338" s="37"/>
      <c r="M338" s="38">
        <f ca="1">IFERROR(SUM(M326:M337),"")</f>
        <v>0.10255752314325139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12</v>
      </c>
      <c r="G352" s="40">
        <f>G338+G351</f>
        <v>50.400000000000006</v>
      </c>
      <c r="H352" s="41"/>
      <c r="I352" s="41"/>
      <c r="J352" s="41"/>
      <c r="K352" s="41"/>
      <c r="L352" s="41"/>
      <c r="M352" s="42">
        <f ca="1">IFERROR(M338+M351,"")</f>
        <v>0.10255752314325139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219</v>
      </c>
      <c r="O432" s="39"/>
    </row>
    <row r="433" spans="1:15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302" activePane="bottomLeft" state="frozen"/>
      <selection pane="bottomLeft" activeCell="F331" sqref="F33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5.42578125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205</v>
      </c>
      <c r="C1" s="23" t="s">
        <v>12</v>
      </c>
      <c r="D1" s="22" t="s">
        <v>13</v>
      </c>
      <c r="E1" s="22" t="s">
        <v>206</v>
      </c>
      <c r="F1" s="23" t="s">
        <v>207</v>
      </c>
      <c r="G1" s="23" t="s">
        <v>208</v>
      </c>
      <c r="H1" s="23" t="s">
        <v>14</v>
      </c>
      <c r="I1" s="23" t="s">
        <v>15</v>
      </c>
      <c r="J1" s="23" t="s">
        <v>209</v>
      </c>
      <c r="K1" s="23" t="s">
        <v>210</v>
      </c>
      <c r="L1" s="23" t="s">
        <v>211</v>
      </c>
      <c r="M1" s="24" t="s">
        <v>212</v>
      </c>
      <c r="N1" s="23" t="s">
        <v>213</v>
      </c>
      <c r="O1" s="23" t="s">
        <v>214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234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282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234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267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234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234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234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234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234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234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234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234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234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234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4" t="s">
        <v>218</v>
      </c>
      <c r="B14" s="95"/>
      <c r="C14" s="95"/>
      <c r="D14" s="95"/>
      <c r="E14" s="96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234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283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4" t="s">
        <v>220</v>
      </c>
      <c r="B27" s="95"/>
      <c r="C27" s="95"/>
      <c r="D27" s="95"/>
      <c r="E27" s="96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219</v>
      </c>
      <c r="O27" s="39">
        <v>202230</v>
      </c>
    </row>
    <row r="28" spans="1:15" ht="18" customHeight="1">
      <c r="A28" s="91" t="s">
        <v>221</v>
      </c>
      <c r="B28" s="92"/>
      <c r="C28" s="92"/>
      <c r="D28" s="92"/>
      <c r="E28" s="9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222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234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284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285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234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234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4" t="s">
        <v>218</v>
      </c>
      <c r="B41" s="95"/>
      <c r="C41" s="95"/>
      <c r="D41" s="95"/>
      <c r="E41" s="96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234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4" t="s">
        <v>220</v>
      </c>
      <c r="B54" s="95"/>
      <c r="C54" s="95"/>
      <c r="D54" s="95"/>
      <c r="E54" s="96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219</v>
      </c>
      <c r="O54" s="39">
        <v>473910</v>
      </c>
    </row>
    <row r="55" spans="1:15" ht="18" customHeight="1">
      <c r="A55" s="91" t="s">
        <v>221</v>
      </c>
      <c r="B55" s="92"/>
      <c r="C55" s="92"/>
      <c r="D55" s="92"/>
      <c r="E55" s="9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222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234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286</v>
      </c>
      <c r="L58" s="29">
        <v>0.54097222222222219</v>
      </c>
      <c r="M58" s="30" t="str">
        <f t="shared" ca="1" si="13"/>
        <v/>
      </c>
      <c r="N58" s="27" t="s">
        <v>287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4" t="s">
        <v>218</v>
      </c>
      <c r="B68" s="95"/>
      <c r="C68" s="95"/>
      <c r="D68" s="95"/>
      <c r="E68" s="96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234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263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234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288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289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290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291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234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234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4" t="s">
        <v>220</v>
      </c>
      <c r="B81" s="95"/>
      <c r="C81" s="95"/>
      <c r="D81" s="95"/>
      <c r="E81" s="96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219</v>
      </c>
      <c r="O81" s="39">
        <v>565120</v>
      </c>
    </row>
    <row r="82" spans="1:15" ht="18" customHeight="1">
      <c r="A82" s="91" t="s">
        <v>221</v>
      </c>
      <c r="B82" s="92"/>
      <c r="C82" s="92"/>
      <c r="D82" s="92"/>
      <c r="E82" s="9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222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234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292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4" t="s">
        <v>218</v>
      </c>
      <c r="B95" s="95"/>
      <c r="C95" s="95"/>
      <c r="D95" s="95"/>
      <c r="E95" s="96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234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234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234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196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234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234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234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234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234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234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234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234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4" t="s">
        <v>220</v>
      </c>
      <c r="B108" s="95"/>
      <c r="C108" s="95"/>
      <c r="D108" s="95"/>
      <c r="E108" s="96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219</v>
      </c>
      <c r="O108" s="39">
        <v>558590</v>
      </c>
    </row>
    <row r="109" spans="1:15" ht="18" customHeight="1">
      <c r="A109" s="91" t="s">
        <v>221</v>
      </c>
      <c r="B109" s="92"/>
      <c r="C109" s="92"/>
      <c r="D109" s="92"/>
      <c r="E109" s="9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222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234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196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293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4" t="s">
        <v>218</v>
      </c>
      <c r="B122" s="95"/>
      <c r="C122" s="95"/>
      <c r="D122" s="95"/>
      <c r="E122" s="96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294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216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198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295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216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0.25464085648127366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247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4" t="s">
        <v>220</v>
      </c>
      <c r="B135" s="95"/>
      <c r="C135" s="95"/>
      <c r="D135" s="95"/>
      <c r="E135" s="96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0.45394641203682928</v>
      </c>
      <c r="N135" s="36" t="s">
        <v>219</v>
      </c>
      <c r="O135" s="39">
        <v>729290</v>
      </c>
    </row>
    <row r="136" spans="1:18" ht="18" customHeight="1">
      <c r="A136" s="91" t="s">
        <v>221</v>
      </c>
      <c r="B136" s="92"/>
      <c r="C136" s="92"/>
      <c r="D136" s="92"/>
      <c r="E136" s="9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0.82130752314794031</v>
      </c>
      <c r="N136" s="40" t="s">
        <v>222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216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296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4" t="s">
        <v>218</v>
      </c>
      <c r="B149" s="95"/>
      <c r="C149" s="95"/>
      <c r="D149" s="95"/>
      <c r="E149" s="96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297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234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4" t="s">
        <v>220</v>
      </c>
      <c r="B162" s="95"/>
      <c r="C162" s="95"/>
      <c r="D162" s="95"/>
      <c r="E162" s="96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219</v>
      </c>
      <c r="O162" s="39">
        <v>697320</v>
      </c>
    </row>
    <row r="163" spans="1:15" ht="18" customHeight="1">
      <c r="A163" s="91" t="s">
        <v>221</v>
      </c>
      <c r="B163" s="92"/>
      <c r="C163" s="92"/>
      <c r="D163" s="92"/>
      <c r="E163" s="9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222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234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234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234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298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234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234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234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234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4" t="s">
        <v>218</v>
      </c>
      <c r="B176" s="95"/>
      <c r="C176" s="95"/>
      <c r="D176" s="95"/>
      <c r="E176" s="96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234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234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234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234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234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4" t="s">
        <v>220</v>
      </c>
      <c r="B189" s="95"/>
      <c r="C189" s="95"/>
      <c r="D189" s="95"/>
      <c r="E189" s="96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219</v>
      </c>
      <c r="O189" s="39">
        <v>973580</v>
      </c>
    </row>
    <row r="190" spans="1:15" ht="18" customHeight="1">
      <c r="A190" s="91" t="s">
        <v>221</v>
      </c>
      <c r="B190" s="92"/>
      <c r="C190" s="92"/>
      <c r="D190" s="92"/>
      <c r="E190" s="9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222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234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234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234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299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234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300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234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234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234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234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234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234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234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4" t="s">
        <v>218</v>
      </c>
      <c r="B203" s="95"/>
      <c r="C203" s="95"/>
      <c r="D203" s="95"/>
      <c r="E203" s="96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234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301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4" t="s">
        <v>220</v>
      </c>
      <c r="B216" s="95"/>
      <c r="C216" s="95"/>
      <c r="D216" s="95"/>
      <c r="E216" s="96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219</v>
      </c>
      <c r="O216" s="45">
        <v>1060630</v>
      </c>
    </row>
    <row r="217" spans="1:15" ht="18" customHeight="1">
      <c r="A217" s="91" t="s">
        <v>221</v>
      </c>
      <c r="B217" s="92"/>
      <c r="C217" s="92"/>
      <c r="D217" s="92"/>
      <c r="E217" s="9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222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302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303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304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4" t="s">
        <v>218</v>
      </c>
      <c r="B230" s="95"/>
      <c r="C230" s="95"/>
      <c r="D230" s="95"/>
      <c r="E230" s="96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234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305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234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4" t="s">
        <v>220</v>
      </c>
      <c r="B243" s="95"/>
      <c r="C243" s="95"/>
      <c r="D243" s="95"/>
      <c r="E243" s="96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219</v>
      </c>
      <c r="O243" s="39">
        <v>982340</v>
      </c>
    </row>
    <row r="244" spans="1:15" ht="18" customHeight="1">
      <c r="A244" s="91" t="s">
        <v>221</v>
      </c>
      <c r="B244" s="92"/>
      <c r="C244" s="92"/>
      <c r="D244" s="92"/>
      <c r="E244" s="9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222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306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234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201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234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4" t="s">
        <v>218</v>
      </c>
      <c r="B257" s="95"/>
      <c r="C257" s="95"/>
      <c r="D257" s="95"/>
      <c r="E257" s="96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234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234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4" t="s">
        <v>220</v>
      </c>
      <c r="B270" s="95"/>
      <c r="C270" s="95"/>
      <c r="D270" s="95"/>
      <c r="E270" s="96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219</v>
      </c>
      <c r="O270" s="39">
        <v>1208450</v>
      </c>
    </row>
    <row r="271" spans="1:15" ht="18" customHeight="1">
      <c r="A271" s="91" t="s">
        <v>221</v>
      </c>
      <c r="B271" s="92"/>
      <c r="C271" s="92"/>
      <c r="D271" s="92"/>
      <c r="E271" s="9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222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234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234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158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4" t="s">
        <v>218</v>
      </c>
      <c r="B284" s="95"/>
      <c r="C284" s="95"/>
      <c r="D284" s="95"/>
      <c r="E284" s="96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219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234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234</v>
      </c>
      <c r="F287" s="27">
        <v>40</v>
      </c>
      <c r="G287" s="34">
        <f t="shared" si="63"/>
        <v>168</v>
      </c>
      <c r="H287" s="33" t="s">
        <v>20</v>
      </c>
      <c r="I287" s="33" t="s">
        <v>153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216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112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4" t="s">
        <v>220</v>
      </c>
      <c r="B297" s="95"/>
      <c r="C297" s="95"/>
      <c r="D297" s="95"/>
      <c r="E297" s="96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219</v>
      </c>
      <c r="O297" s="39">
        <v>1049090</v>
      </c>
    </row>
    <row r="298" spans="1:15" ht="18" customHeight="1">
      <c r="A298" s="91" t="s">
        <v>221</v>
      </c>
      <c r="B298" s="92"/>
      <c r="C298" s="92"/>
      <c r="D298" s="92"/>
      <c r="E298" s="9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222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234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307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203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204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234</v>
      </c>
      <c r="F302" s="27">
        <v>0</v>
      </c>
      <c r="G302" s="28">
        <f t="shared" si="66"/>
        <v>0</v>
      </c>
      <c r="H302" s="26" t="s">
        <v>18</v>
      </c>
      <c r="I302" s="26" t="s">
        <v>136</v>
      </c>
      <c r="J302" s="26" t="s">
        <v>126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234</v>
      </c>
      <c r="F303" s="27">
        <v>0</v>
      </c>
      <c r="G303" s="34">
        <f t="shared" si="66"/>
        <v>0</v>
      </c>
      <c r="H303" s="33"/>
      <c r="I303" s="33"/>
      <c r="J303" s="33" t="s">
        <v>97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4" t="s">
        <v>218</v>
      </c>
      <c r="B311" s="95"/>
      <c r="C311" s="95"/>
      <c r="D311" s="95"/>
      <c r="E311" s="96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219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216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136</v>
      </c>
      <c r="J312" s="26" t="s">
        <v>97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234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167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234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112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112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234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112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234</v>
      </c>
      <c r="F317" s="27">
        <v>20</v>
      </c>
      <c r="G317" s="34">
        <f t="shared" si="69"/>
        <v>84</v>
      </c>
      <c r="H317" s="33" t="s">
        <v>20</v>
      </c>
      <c r="I317" s="33" t="s">
        <v>128</v>
      </c>
      <c r="J317" s="33" t="s">
        <v>112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234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243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234</v>
      </c>
      <c r="F319" s="27">
        <v>26</v>
      </c>
      <c r="G319" s="34">
        <f t="shared" si="69"/>
        <v>109.2</v>
      </c>
      <c r="H319" s="33" t="s">
        <v>20</v>
      </c>
      <c r="I319" s="33" t="s">
        <v>153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234</v>
      </c>
      <c r="F320" s="27">
        <v>30</v>
      </c>
      <c r="G320" s="28">
        <f t="shared" si="69"/>
        <v>126</v>
      </c>
      <c r="H320" s="26" t="s">
        <v>19</v>
      </c>
      <c r="I320" s="26" t="s">
        <v>158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234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234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216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4" t="s">
        <v>220</v>
      </c>
      <c r="B324" s="95"/>
      <c r="C324" s="95"/>
      <c r="D324" s="95"/>
      <c r="E324" s="96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219</v>
      </c>
      <c r="O324" s="39">
        <v>1063720</v>
      </c>
    </row>
    <row r="325" spans="1:15" ht="18" customHeight="1">
      <c r="A325" s="91" t="s">
        <v>221</v>
      </c>
      <c r="B325" s="92"/>
      <c r="C325" s="92"/>
      <c r="D325" s="92"/>
      <c r="E325" s="9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222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234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234</v>
      </c>
      <c r="F327" s="27">
        <v>20</v>
      </c>
      <c r="G327" s="34">
        <v>84</v>
      </c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234</v>
      </c>
      <c r="F328" s="27">
        <v>20</v>
      </c>
      <c r="G328" s="28">
        <f t="shared" ref="G328:G337" si="74">IF(F328="","",IF(E328="PC 17",F328*4.2,IF(E328="PC 19",F328*5,"")))</f>
        <v>84</v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234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216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234</v>
      </c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234</v>
      </c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234</v>
      </c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234</v>
      </c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234</v>
      </c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234</v>
      </c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234</v>
      </c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4" t="s">
        <v>218</v>
      </c>
      <c r="B338" s="95"/>
      <c r="C338" s="95"/>
      <c r="D338" s="95"/>
      <c r="E338" s="96">
        <f>SUM(E327:E337)</f>
        <v>0</v>
      </c>
      <c r="F338" s="36">
        <f>SUM(F326:F337)</f>
        <v>102</v>
      </c>
      <c r="G338" s="36">
        <f>SUM(G326:G337)</f>
        <v>440.4</v>
      </c>
      <c r="H338" s="37"/>
      <c r="I338" s="37"/>
      <c r="J338" s="37"/>
      <c r="K338" s="61"/>
      <c r="L338" s="61"/>
      <c r="M338" s="38">
        <f ca="1">IFERROR(SUM(M326:M337),"")</f>
        <v>2.7777777777777679E-3</v>
      </c>
      <c r="N338" s="36" t="s">
        <v>219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4" t="s">
        <v>220</v>
      </c>
      <c r="B351" s="95"/>
      <c r="C351" s="95"/>
      <c r="D351" s="95"/>
      <c r="E351" s="9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219</v>
      </c>
      <c r="O351" s="39"/>
    </row>
    <row r="352" spans="1:15" ht="18" customHeight="1">
      <c r="A352" s="91" t="s">
        <v>221</v>
      </c>
      <c r="B352" s="92"/>
      <c r="C352" s="92"/>
      <c r="D352" s="92"/>
      <c r="E352" s="93">
        <f>E338+E351</f>
        <v>0</v>
      </c>
      <c r="F352" s="40">
        <f>F338+F351</f>
        <v>102</v>
      </c>
      <c r="G352" s="40">
        <f>G338+G351</f>
        <v>440.4</v>
      </c>
      <c r="H352" s="41"/>
      <c r="I352" s="41"/>
      <c r="J352" s="41"/>
      <c r="K352" s="63"/>
      <c r="L352" s="63"/>
      <c r="M352" s="42">
        <f ca="1">IFERROR(M338+M351,"")</f>
        <v>2.7777777777777679E-3</v>
      </c>
      <c r="N352" s="40" t="s">
        <v>222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4" t="s">
        <v>218</v>
      </c>
      <c r="B365" s="95"/>
      <c r="C365" s="95"/>
      <c r="D365" s="95"/>
      <c r="E365" s="9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4" t="s">
        <v>220</v>
      </c>
      <c r="B378" s="95"/>
      <c r="C378" s="95"/>
      <c r="D378" s="95"/>
      <c r="E378" s="9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219</v>
      </c>
      <c r="O378" s="39"/>
    </row>
    <row r="379" spans="1:15" ht="18" customHeight="1">
      <c r="A379" s="91" t="s">
        <v>221</v>
      </c>
      <c r="B379" s="92"/>
      <c r="C379" s="92"/>
      <c r="D379" s="92"/>
      <c r="E379" s="9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222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4" t="s">
        <v>218</v>
      </c>
      <c r="B392" s="95"/>
      <c r="C392" s="95"/>
      <c r="D392" s="95"/>
      <c r="E392" s="9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4" t="s">
        <v>220</v>
      </c>
      <c r="B405" s="95"/>
      <c r="C405" s="95"/>
      <c r="D405" s="95"/>
      <c r="E405" s="9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219</v>
      </c>
      <c r="O405" s="39"/>
    </row>
    <row r="406" spans="1:15" ht="18" customHeight="1">
      <c r="A406" s="91" t="s">
        <v>221</v>
      </c>
      <c r="B406" s="92"/>
      <c r="C406" s="92"/>
      <c r="D406" s="92"/>
      <c r="E406" s="9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222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4" t="s">
        <v>218</v>
      </c>
      <c r="B419" s="95"/>
      <c r="C419" s="95"/>
      <c r="D419" s="95"/>
      <c r="E419" s="9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4" t="s">
        <v>220</v>
      </c>
      <c r="B432" s="95"/>
      <c r="C432" s="95"/>
      <c r="D432" s="95"/>
      <c r="E432" s="9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219</v>
      </c>
      <c r="O432" s="39"/>
    </row>
    <row r="433" spans="1:17" ht="18" customHeight="1">
      <c r="A433" s="91" t="s">
        <v>221</v>
      </c>
      <c r="B433" s="92"/>
      <c r="C433" s="92"/>
      <c r="D433" s="92"/>
      <c r="E433" s="9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222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4" t="s">
        <v>218</v>
      </c>
      <c r="B446" s="95"/>
      <c r="C446" s="95"/>
      <c r="D446" s="95"/>
      <c r="E446" s="9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4" t="s">
        <v>220</v>
      </c>
      <c r="B459" s="95"/>
      <c r="C459" s="95"/>
      <c r="D459" s="95"/>
      <c r="E459" s="9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219</v>
      </c>
      <c r="O459" s="39"/>
    </row>
    <row r="460" spans="1:15" ht="18" customHeight="1">
      <c r="A460" s="91" t="s">
        <v>221</v>
      </c>
      <c r="B460" s="92"/>
      <c r="C460" s="92"/>
      <c r="D460" s="92"/>
      <c r="E460" s="9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222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4" t="s">
        <v>218</v>
      </c>
      <c r="B473" s="95"/>
      <c r="C473" s="95"/>
      <c r="D473" s="95"/>
      <c r="E473" s="9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4" t="s">
        <v>220</v>
      </c>
      <c r="B486" s="95"/>
      <c r="C486" s="95"/>
      <c r="D486" s="95"/>
      <c r="E486" s="9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219</v>
      </c>
      <c r="O486" s="39"/>
    </row>
    <row r="487" spans="1:15" ht="18" customHeight="1">
      <c r="A487" s="91" t="s">
        <v>221</v>
      </c>
      <c r="B487" s="92"/>
      <c r="C487" s="92"/>
      <c r="D487" s="92"/>
      <c r="E487" s="9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222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4" t="s">
        <v>218</v>
      </c>
      <c r="B500" s="95"/>
      <c r="C500" s="95"/>
      <c r="D500" s="95"/>
      <c r="E500" s="9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4" t="s">
        <v>220</v>
      </c>
      <c r="B513" s="95"/>
      <c r="C513" s="95"/>
      <c r="D513" s="95"/>
      <c r="E513" s="9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219</v>
      </c>
      <c r="O513" s="39"/>
    </row>
    <row r="514" spans="1:15" ht="18" customHeight="1">
      <c r="A514" s="91" t="s">
        <v>221</v>
      </c>
      <c r="B514" s="92"/>
      <c r="C514" s="92"/>
      <c r="D514" s="92"/>
      <c r="E514" s="9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222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4" t="s">
        <v>218</v>
      </c>
      <c r="B527" s="95"/>
      <c r="C527" s="95"/>
      <c r="D527" s="95"/>
      <c r="E527" s="9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4" t="s">
        <v>220</v>
      </c>
      <c r="B540" s="95"/>
      <c r="C540" s="95"/>
      <c r="D540" s="95"/>
      <c r="E540" s="9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219</v>
      </c>
      <c r="O540" s="39"/>
    </row>
    <row r="541" spans="1:15" ht="18" customHeight="1">
      <c r="A541" s="91" t="s">
        <v>221</v>
      </c>
      <c r="B541" s="92"/>
      <c r="C541" s="92"/>
      <c r="D541" s="92"/>
      <c r="E541" s="9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222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4" t="s">
        <v>218</v>
      </c>
      <c r="B554" s="95"/>
      <c r="C554" s="95"/>
      <c r="D554" s="95"/>
      <c r="E554" s="9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4" t="s">
        <v>220</v>
      </c>
      <c r="B567" s="95"/>
      <c r="C567" s="95"/>
      <c r="D567" s="95"/>
      <c r="E567" s="9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219</v>
      </c>
      <c r="O567" s="39"/>
    </row>
    <row r="568" spans="1:15" ht="18" customHeight="1">
      <c r="A568" s="91" t="s">
        <v>221</v>
      </c>
      <c r="B568" s="92"/>
      <c r="C568" s="92"/>
      <c r="D568" s="92"/>
      <c r="E568" s="9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222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4" t="s">
        <v>218</v>
      </c>
      <c r="B581" s="95"/>
      <c r="C581" s="95"/>
      <c r="D581" s="95"/>
      <c r="E581" s="9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4" t="s">
        <v>220</v>
      </c>
      <c r="B594" s="95"/>
      <c r="C594" s="95"/>
      <c r="D594" s="95"/>
      <c r="E594" s="9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219</v>
      </c>
      <c r="O594" s="39"/>
    </row>
    <row r="595" spans="1:15" ht="18" customHeight="1">
      <c r="A595" s="91" t="s">
        <v>221</v>
      </c>
      <c r="B595" s="92"/>
      <c r="C595" s="92"/>
      <c r="D595" s="92"/>
      <c r="E595" s="9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222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4" t="s">
        <v>218</v>
      </c>
      <c r="B608" s="95"/>
      <c r="C608" s="95"/>
      <c r="D608" s="95"/>
      <c r="E608" s="9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4" t="s">
        <v>220</v>
      </c>
      <c r="B621" s="95"/>
      <c r="C621" s="95"/>
      <c r="D621" s="95"/>
      <c r="E621" s="9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219</v>
      </c>
      <c r="O621" s="39"/>
    </row>
    <row r="622" spans="1:15" ht="18" customHeight="1">
      <c r="A622" s="91" t="s">
        <v>221</v>
      </c>
      <c r="B622" s="92"/>
      <c r="C622" s="92"/>
      <c r="D622" s="92"/>
      <c r="E622" s="9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222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4" t="s">
        <v>218</v>
      </c>
      <c r="B635" s="95"/>
      <c r="C635" s="95"/>
      <c r="D635" s="95"/>
      <c r="E635" s="9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4" t="s">
        <v>220</v>
      </c>
      <c r="B648" s="95"/>
      <c r="C648" s="95"/>
      <c r="D648" s="95"/>
      <c r="E648" s="9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219</v>
      </c>
      <c r="O648" s="39"/>
    </row>
    <row r="649" spans="1:15" ht="18" customHeight="1">
      <c r="A649" s="91" t="s">
        <v>221</v>
      </c>
      <c r="B649" s="92"/>
      <c r="C649" s="92"/>
      <c r="D649" s="92"/>
      <c r="E649" s="9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222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4" t="s">
        <v>218</v>
      </c>
      <c r="B662" s="95"/>
      <c r="C662" s="95"/>
      <c r="D662" s="95"/>
      <c r="E662" s="9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4" t="s">
        <v>220</v>
      </c>
      <c r="B675" s="95"/>
      <c r="C675" s="95"/>
      <c r="D675" s="95"/>
      <c r="E675" s="9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219</v>
      </c>
      <c r="O675" s="39"/>
    </row>
    <row r="676" spans="1:15" ht="18" customHeight="1">
      <c r="A676" s="91" t="s">
        <v>221</v>
      </c>
      <c r="B676" s="92"/>
      <c r="C676" s="92"/>
      <c r="D676" s="92"/>
      <c r="E676" s="9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222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4" t="s">
        <v>218</v>
      </c>
      <c r="B689" s="95"/>
      <c r="C689" s="95"/>
      <c r="D689" s="95"/>
      <c r="E689" s="9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4" t="s">
        <v>220</v>
      </c>
      <c r="B702" s="95"/>
      <c r="C702" s="95"/>
      <c r="D702" s="95"/>
      <c r="E702" s="9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219</v>
      </c>
      <c r="O702" s="39"/>
    </row>
    <row r="703" spans="1:15" ht="18" customHeight="1">
      <c r="A703" s="91" t="s">
        <v>221</v>
      </c>
      <c r="B703" s="92"/>
      <c r="C703" s="92"/>
      <c r="D703" s="92"/>
      <c r="E703" s="9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222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4" t="s">
        <v>218</v>
      </c>
      <c r="B716" s="95"/>
      <c r="C716" s="95"/>
      <c r="D716" s="95"/>
      <c r="E716" s="9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4" t="s">
        <v>220</v>
      </c>
      <c r="B729" s="95"/>
      <c r="C729" s="95"/>
      <c r="D729" s="95"/>
      <c r="E729" s="9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219</v>
      </c>
      <c r="O729" s="39"/>
    </row>
    <row r="730" spans="1:15" ht="18" customHeight="1">
      <c r="A730" s="91" t="s">
        <v>221</v>
      </c>
      <c r="B730" s="92"/>
      <c r="C730" s="92"/>
      <c r="D730" s="92"/>
      <c r="E730" s="9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222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4" t="s">
        <v>218</v>
      </c>
      <c r="B743" s="95"/>
      <c r="C743" s="95"/>
      <c r="D743" s="95"/>
      <c r="E743" s="9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4" t="s">
        <v>220</v>
      </c>
      <c r="B756" s="95"/>
      <c r="C756" s="95"/>
      <c r="D756" s="95"/>
      <c r="E756" s="9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219</v>
      </c>
      <c r="O756" s="39"/>
    </row>
    <row r="757" spans="1:15" ht="18" customHeight="1">
      <c r="A757" s="91" t="s">
        <v>221</v>
      </c>
      <c r="B757" s="92"/>
      <c r="C757" s="92"/>
      <c r="D757" s="92"/>
      <c r="E757" s="9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222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4" t="s">
        <v>218</v>
      </c>
      <c r="B770" s="95"/>
      <c r="C770" s="95"/>
      <c r="D770" s="95"/>
      <c r="E770" s="9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4" t="s">
        <v>220</v>
      </c>
      <c r="B783" s="95"/>
      <c r="C783" s="95"/>
      <c r="D783" s="95"/>
      <c r="E783" s="9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219</v>
      </c>
      <c r="O783" s="39"/>
    </row>
    <row r="784" spans="1:15" ht="18" customHeight="1">
      <c r="A784" s="91" t="s">
        <v>221</v>
      </c>
      <c r="B784" s="92"/>
      <c r="C784" s="92"/>
      <c r="D784" s="92"/>
      <c r="E784" s="9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222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4" t="s">
        <v>218</v>
      </c>
      <c r="B797" s="95"/>
      <c r="C797" s="95"/>
      <c r="D797" s="95"/>
      <c r="E797" s="9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4" t="s">
        <v>220</v>
      </c>
      <c r="B810" s="95"/>
      <c r="C810" s="95"/>
      <c r="D810" s="95"/>
      <c r="E810" s="9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219</v>
      </c>
      <c r="O810" s="39"/>
    </row>
    <row r="811" spans="1:15" ht="18" customHeight="1">
      <c r="A811" s="91" t="s">
        <v>221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222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2026-07-13T16:06:13Z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