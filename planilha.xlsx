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233" documentId="13_ncr:1_{0A10D8D4-8450-4366-8075-B53B08E6B7EA}" xr6:coauthVersionLast="47" xr6:coauthVersionMax="47" xr10:uidLastSave="{4F68F183-581F-4C26-A6FF-78D827B85937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3" i="5" l="1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<sst xmlns="http://schemas.openxmlformats.org/spreadsheetml/2006/main" count="6513" uniqueCount="347">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</sst>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D357" sqref="D35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400</v>
      </c>
      <c r="G379" s="40">
        <f>G365+G378</f>
        <v>1966.4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N366" sqref="N36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0.7026724536990514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0.84156134258794024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0.92628356481016261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/>
      <c r="H366" s="140" t="str">
        <f>IFERROR(IF($G366="","",$G366*$S$378/$G$378/Cadastro!$E$33),"")</f>
        <v/>
      </c>
      <c r="I366" s="141">
        <f>IFERROR(IF($D366="","",VLOOKUP($D366,Cadastro!$C$4:$G$7,5,FALSE)),"")</f>
        <v>0.6</v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 t="s">
        <v>25</v>
      </c>
      <c r="M366" s="26" t="s">
        <v>143</v>
      </c>
      <c r="N366" s="26" t="s">
        <v>126</v>
      </c>
      <c r="O366" s="29">
        <v>0.29166666666666669</v>
      </c>
      <c r="P366" s="29"/>
      <c r="Q366" s="30">
        <f t="shared" ref="Q366:Q377" ca="1" si="88">IFERROR(IF(O366="","",IF(P366="",MOD(NOW()-O366,1),IF(P366&gt;=O366,P366-O366,P366+1-O366))),"")</f>
        <v>0.53253356481582159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0.53253356481582159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108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453.6</v>
      </c>
      <c r="L379" s="41"/>
      <c r="M379" s="41"/>
      <c r="N379" s="41"/>
      <c r="O379" s="41"/>
      <c r="P379" s="41"/>
      <c r="Q379" s="42">
        <f ca="1">IFERROR(Q365+Q378,"")</f>
        <v>0.61586689814915485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N371" sqref="N37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/>
      <c r="H366" s="140" t="str">
        <f>IFERROR(IF($G366="","",$G366*$S$378/$G$378/Cadastro!$E$33),"")</f>
        <v/>
      </c>
      <c r="I366" s="141">
        <f>IFERROR(IF($D366="","",VLOOKUP($D366,Cadastro!$C$4:$G$7,5,FALSE)),"")</f>
        <v>0.6</v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 t="s">
        <v>25</v>
      </c>
      <c r="M366" s="26" t="s">
        <v>143</v>
      </c>
      <c r="N366" s="26" t="s">
        <v>126</v>
      </c>
      <c r="O366" s="29">
        <v>0.30902777777777779</v>
      </c>
      <c r="P366" s="29"/>
      <c r="Q366" s="30">
        <f t="shared" ref="Q366:Q377" ca="1" si="86">IFERROR(IF(O366="","",IF(P366="",MOD(NOW()-O366,1),IF(P366&gt;=O366,P366-O366,P366+1-O366))),"")</f>
        <v>0.5151724536990514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0.5151724536990514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90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378.00000000000011</v>
      </c>
      <c r="L379" s="41"/>
      <c r="M379" s="41"/>
      <c r="N379" s="41"/>
      <c r="O379" s="41"/>
      <c r="P379" s="41"/>
      <c r="Q379" s="42">
        <f ca="1">IFERROR(Q365+Q378,"")</f>
        <v>0.71031134258794015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1" activePane="bottomLeft" state="frozen"/>
      <selection pane="bottomLeft" activeCell="N366" sqref="N36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/>
      <c r="H366" s="140" t="str">
        <f>IFERROR(IF($G366="","",$G366*$S$378/$G$378/Cadastro!$E$33),"")</f>
        <v/>
      </c>
      <c r="I366" s="141">
        <f>IFERROR(IF($D366="","",VLOOKUP($D366,Cadastro!$C$4:$G$7,5,FALSE)),"")</f>
        <v>0.6</v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 t="s">
        <v>27</v>
      </c>
      <c r="M366" s="26" t="s">
        <v>65</v>
      </c>
      <c r="N366" s="26" t="s">
        <v>35</v>
      </c>
      <c r="O366" s="29">
        <v>0.32083333333333336</v>
      </c>
      <c r="P366" s="29"/>
      <c r="Q366" s="30">
        <f t="shared" ref="Q366:Q377" ca="1" si="88">IFERROR(IF(O366="","",IF(P366="",MOD(NOW()-O366,1),IF(P366&gt;=O366,P366-O366,P366+1-O366))),"")</f>
        <v>0.50336689814866986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/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/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/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0.50336689814866986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196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823.2</v>
      </c>
      <c r="L379" s="41"/>
      <c r="M379" s="41"/>
      <c r="N379" s="41"/>
      <c r="O379" s="63"/>
      <c r="P379" s="63"/>
      <c r="Q379" s="42">
        <f ca="1">IFERROR(Q365+Q378,"")</f>
        <v>0.62142245370422555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2026-08-14T23:47:12Z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