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072" documentId="8_{AF585B22-221D-4780-BB9C-493D365A6A02}" xr6:coauthVersionLast="47" xr6:coauthVersionMax="47" xr10:uidLastSave="{3F8D59FE-B999-4C19-9B4A-0F6331B38151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<sst xmlns="http://schemas.openxmlformats.org/spreadsheetml/2006/main" count="2354" uniqueCount="228">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</sst>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177</v>
      </c>
      <c r="L48" s="16"/>
      <c r="M48" s="16"/>
    </row>
    <row r="49" spans="1:13" ht="18" customHeight="1">
      <c r="H49" s="91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180</v>
      </c>
      <c r="L50" s="16"/>
      <c r="M50" s="16"/>
    </row>
    <row r="51" spans="1:13" ht="24" customHeight="1">
      <c r="H51" s="91"/>
      <c r="I51" s="17"/>
      <c r="J51" s="17"/>
      <c r="K51" s="17" t="s">
        <v>181</v>
      </c>
      <c r="L51" s="17"/>
      <c r="M51" s="17"/>
    </row>
    <row r="52" spans="1:13" ht="24" customHeight="1">
      <c r="H52" s="91"/>
      <c r="I52" s="16"/>
      <c r="J52" s="16"/>
      <c r="K52" s="16" t="s">
        <v>182</v>
      </c>
      <c r="L52" s="16"/>
      <c r="M52" s="16"/>
    </row>
    <row r="53" spans="1:13" ht="36" customHeight="1">
      <c r="H53" s="91"/>
      <c r="I53" s="17"/>
      <c r="J53" s="17"/>
      <c r="K53" s="17" t="s">
        <v>183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E99" sqref="E9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195</v>
      </c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195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195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195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" activePane="bottomLeft" state="frozen"/>
      <selection pane="bottomLeft" activeCell="E107" sqref="E1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205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97">
        <v>276360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205</v>
      </c>
      <c r="F96" s="27">
        <v>8</v>
      </c>
      <c r="G96" s="34">
        <f t="shared" ref="G96:G107" si="21">IF(F96="","",IF(E96="PC 17",F96*4.2,IF(E96="PC 19",F96*5,"")))</f>
        <v>33.6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205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205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205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205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205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205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205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205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205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205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205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8</v>
      </c>
      <c r="G108" s="36">
        <f>SUM(G96:G107)</f>
        <v>33.6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120</v>
      </c>
      <c r="G109" s="40">
        <f>G95+G108</f>
        <v>552.80000000000007</v>
      </c>
      <c r="H109" s="41"/>
      <c r="I109" s="41"/>
      <c r="J109" s="41"/>
      <c r="K109" s="41"/>
      <c r="L109" s="41"/>
      <c r="M109" s="42">
        <f ca="1">IFERROR(M95+M108,"")</f>
        <v>0.26180555555555557</v>
      </c>
      <c r="N109" s="40" t="s">
        <v>201</v>
      </c>
      <c r="O109" s="95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66" activePane="bottomLeft" state="frozen"/>
      <selection pane="bottomLeft" activeCell="E100" sqref="E1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205</v>
      </c>
      <c r="F96" s="27">
        <v>3</v>
      </c>
      <c r="G96" s="34">
        <f t="shared" ref="G96:G107" si="21">IF(F96="","",IF(E96="PC 17",F96*4.2,IF(E96="PC 19",F96*5,"")))</f>
        <v>12.600000000000001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205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205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205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205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3</v>
      </c>
      <c r="G108" s="36">
        <f>SUM(G96:G107)</f>
        <v>12.600000000000001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92</v>
      </c>
      <c r="G109" s="40">
        <f>G95+G108</f>
        <v>457.6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73" activePane="bottomLeft" state="frozen"/>
      <selection pane="bottomLeft" activeCell="K97" sqref="K9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221</v>
      </c>
      <c r="L58" s="29">
        <v>0.54097222222222219</v>
      </c>
      <c r="M58" s="30" t="str">
        <f t="shared" ca="1" si="13"/>
        <v/>
      </c>
      <c r="N58" s="27" t="s">
        <v>222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205</v>
      </c>
      <c r="F96" s="27">
        <v>21</v>
      </c>
      <c r="G96" s="34">
        <f t="shared" ref="G96:G107" si="21">IF(F96="","",IF(E96="PC 17",F96*4.2,IF(E96="PC 19",F96*5,"")))</f>
        <v>88.2</v>
      </c>
      <c r="H96" s="26"/>
      <c r="I96" s="26"/>
      <c r="J96" s="26"/>
      <c r="K96" s="29">
        <v>0.85069444444444442</v>
      </c>
      <c r="L96" s="29"/>
      <c r="M96" s="35">
        <f t="shared" ref="M96:M107" ca="1" si="22">IFERROR(IF(K96="","",IF(L96="",MOD(NOW()-K96,1),IF(L96&gt;=K96,L96-K96,L96+1-K96))),"")</f>
        <v>5.4671296311425976E-3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205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205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205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205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205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205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205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205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205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205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205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21</v>
      </c>
      <c r="G108" s="36">
        <f>SUM(G96:G107)</f>
        <v>88.2</v>
      </c>
      <c r="H108" s="37"/>
      <c r="I108" s="37"/>
      <c r="J108" s="37"/>
      <c r="K108" s="61"/>
      <c r="L108" s="61"/>
      <c r="M108" s="38">
        <f ca="1">IFERROR(SUM(M96:M107),"")</f>
        <v>5.4671296311425976E-3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164</v>
      </c>
      <c r="G109" s="40">
        <f>G95+G108</f>
        <v>791.2</v>
      </c>
      <c r="H109" s="41"/>
      <c r="I109" s="41"/>
      <c r="J109" s="41"/>
      <c r="K109" s="63"/>
      <c r="L109" s="63"/>
      <c r="M109" s="42">
        <f ca="1">IFERROR(M95+M108,"")</f>
        <v>0.1936615740755871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2026-07-05T00:33:11Z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