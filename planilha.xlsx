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13" documentId="8_{C51EB6CB-002B-4D6B-B68F-DDEBDB4460C0}" xr6:coauthVersionLast="47" xr6:coauthVersionMax="47" xr10:uidLastSave="{12DA3BFA-8626-4E68-9DC7-0E6CD506FF38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<sst xmlns="http://schemas.openxmlformats.org/spreadsheetml/2006/main" count="2485" uniqueCount="263">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</sst>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63" activePane="bottomLeft" state="frozen"/>
      <selection pane="bottomLeft" activeCell="F92" sqref="F9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/>
      <c r="M85" s="35">
        <f t="shared" ca="1" si="19"/>
        <v>1.3060185228823684E-3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256</v>
      </c>
      <c r="G95" s="36">
        <f>SUM(G83:G94)</f>
        <v>1280</v>
      </c>
      <c r="H95" s="37"/>
      <c r="I95" s="37"/>
      <c r="J95" s="37"/>
      <c r="K95" s="37"/>
      <c r="L95" s="37"/>
      <c r="M95" s="38">
        <f ca="1">IFERROR(SUM(M83:M94),"")</f>
        <v>7.2139351856215672E-2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256</v>
      </c>
      <c r="G109" s="40">
        <f>G95+G108</f>
        <v>1280</v>
      </c>
      <c r="H109" s="41"/>
      <c r="I109" s="41"/>
      <c r="J109" s="41"/>
      <c r="K109" s="41"/>
      <c r="L109" s="41"/>
      <c r="M109" s="42">
        <f ca="1">IFERROR(M95+M108,"")</f>
        <v>7.2139351856215672E-2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92" sqref="F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0.54644490740611218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0.68533379629500102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0.77005601851722338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/>
      <c r="M87" s="35">
        <f t="shared" ca="1" si="19"/>
        <v>0.10130601852142718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90</v>
      </c>
      <c r="G95" s="36">
        <f>SUM(G83:G94)</f>
        <v>378</v>
      </c>
      <c r="H95" s="37"/>
      <c r="I95" s="37"/>
      <c r="J95" s="37"/>
      <c r="K95" s="37"/>
      <c r="L95" s="37"/>
      <c r="M95" s="38">
        <f ca="1">IFERROR(SUM(M83:M94),"")</f>
        <v>0.14644490741031607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90</v>
      </c>
      <c r="G109" s="40">
        <f>G95+G108</f>
        <v>378</v>
      </c>
      <c r="H109" s="41"/>
      <c r="I109" s="41"/>
      <c r="J109" s="41"/>
      <c r="K109" s="41"/>
      <c r="L109" s="41"/>
      <c r="M109" s="42">
        <f ca="1">IFERROR(M95+M108,"")</f>
        <v>0.14644490741031607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5" zoomScale="50" zoomScaleNormal="50" workbookViewId="0">
      <selection activeCell="F92" sqref="F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/>
      <c r="M84" s="30">
        <f t="shared" ca="1" si="19"/>
        <v>0.10130601852142718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 t="s">
        <v>19</v>
      </c>
      <c r="I85" s="33" t="s">
        <v>47</v>
      </c>
      <c r="J85" s="33" t="s">
        <v>27</v>
      </c>
      <c r="K85" s="29">
        <v>0.63472222222222219</v>
      </c>
      <c r="L85" s="29">
        <v>0.65555555555555556</v>
      </c>
      <c r="M85" s="35">
        <f t="shared" ca="1" si="19"/>
        <v>2.083333333333337E-2</v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42</v>
      </c>
      <c r="G95" s="36">
        <f>SUM(G83:G94)</f>
        <v>176.4</v>
      </c>
      <c r="H95" s="37"/>
      <c r="I95" s="37"/>
      <c r="J95" s="37"/>
      <c r="K95" s="37"/>
      <c r="L95" s="37"/>
      <c r="M95" s="38">
        <f ca="1">IFERROR(SUM(M83:M94),"")</f>
        <v>0.15408379629920499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42</v>
      </c>
      <c r="G109" s="40">
        <f>G95+G108</f>
        <v>176.4</v>
      </c>
      <c r="H109" s="41"/>
      <c r="I109" s="41"/>
      <c r="J109" s="41"/>
      <c r="K109" s="41"/>
      <c r="L109" s="41"/>
      <c r="M109" s="42">
        <f ca="1">IFERROR(M95+M108,"")</f>
        <v>0.15408379629920499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8" activePane="bottomLeft" state="frozen"/>
      <selection pane="bottomLeft" activeCell="F92" sqref="F9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146</v>
      </c>
      <c r="G95" s="36">
        <f>SUM(G83:G94)</f>
        <v>613.20000000000005</v>
      </c>
      <c r="H95" s="37"/>
      <c r="I95" s="37"/>
      <c r="J95" s="37"/>
      <c r="K95" s="61"/>
      <c r="L95" s="61"/>
      <c r="M95" s="38">
        <f ca="1">IFERROR(SUM(M83:M94),"")</f>
        <v>1.9444444444444431E-2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146</v>
      </c>
      <c r="G109" s="40">
        <f>G95+G108</f>
        <v>613.20000000000005</v>
      </c>
      <c r="H109" s="41"/>
      <c r="I109" s="41"/>
      <c r="J109" s="41"/>
      <c r="K109" s="63"/>
      <c r="L109" s="63"/>
      <c r="M109" s="42">
        <f ca="1">IFERROR(M95+M108,"")</f>
        <v>1.9444444444444431E-2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2026-08-04T20:02:11Z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