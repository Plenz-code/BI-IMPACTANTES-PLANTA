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672" documentId="8_{AF585B22-221D-4780-BB9C-493D365A6A02}" xr6:coauthVersionLast="47" xr6:coauthVersionMax="47" xr10:uidLastSave="{866B943C-E9C0-4B71-8A69-871507A9BDB3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<sst xmlns="http://schemas.openxmlformats.org/spreadsheetml/2006/main" count="8429" uniqueCount="364">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</sst>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activeCellId="1" sqref="G24:G34 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1162570</v>
      </c>
      <c r="D23" s="11">
        <f>IFERROR('Linha 1'!O541,"")</f>
        <v>826410</v>
      </c>
      <c r="E23" s="11">
        <f>IFERROR('Linha 2'!O541,"")</f>
        <v>234850</v>
      </c>
      <c r="F23" s="11">
        <f>IFERROR('Linha 3'!O541,"")</f>
        <v>362510</v>
      </c>
      <c r="G23" s="12">
        <f t="shared" si="0"/>
        <v>1423770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61145011</v>
      </c>
      <c r="D35" s="13">
        <f>IFERROR(SUM(D4:D34),"")</f>
        <v>23219750</v>
      </c>
      <c r="E35" s="13">
        <f>IFERROR(SUM(E4:E34),"")</f>
        <v>13645120</v>
      </c>
      <c r="F35" s="13">
        <f>IFERROR(SUM(F4:F34),"")</f>
        <v>27236870</v>
      </c>
      <c r="G35" s="13">
        <f>IFERROR(SUM(G4:G34),"")</f>
        <v>64101740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497" activePane="bottomLeft" state="frozen"/>
      <selection pane="bottomLeft" activeCell="F540" sqref="F54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8.285156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1162570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06" activePane="bottomLeft" state="frozen"/>
      <selection pane="bottomLeft" activeCell="F539" sqref="F53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259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260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261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264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265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266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267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268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270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274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275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276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277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272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279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280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281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283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284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287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288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3.7938310182653368E-2</v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0.19557719907154225</v>
      </c>
      <c r="N378" s="36" t="s">
        <v>231</v>
      </c>
      <c r="O378" s="77">
        <v>511980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0.30529942129376442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272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289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290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1.6410532407462597E-2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0.18724386574079596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0.33238275462968481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293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294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295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296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297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298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299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300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184</v>
      </c>
      <c r="G527" s="36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130</v>
      </c>
      <c r="G540" s="36">
        <f>SUM(G528:G539)</f>
        <v>546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314</v>
      </c>
      <c r="G541" s="40">
        <f>G527+G540</f>
        <v>1318.8000000000002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826410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00" zoomScale="50" zoomScaleNormal="50" workbookViewId="0">
      <selection activeCell="F539" sqref="F53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93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301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302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304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294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305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271</v>
      </c>
      <c r="K141" s="29">
        <v>0.71597222222222223</v>
      </c>
      <c r="L141" s="29" t="s">
        <v>307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309</v>
      </c>
      <c r="N166" s="27" t="s">
        <v>310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311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312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313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317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321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322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323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324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31</v>
      </c>
      <c r="G540" s="36">
        <f>SUM(G528:G539)</f>
        <v>130.20000000000002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82</v>
      </c>
      <c r="G541" s="40">
        <f>G527+G540</f>
        <v>344.40000000000009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234850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05" activePane="bottomLeft" state="frozen"/>
      <selection pane="bottomLeft" activeCell="F539" sqref="F53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73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294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329</v>
      </c>
      <c r="L58" s="29">
        <v>0.54097222222222219</v>
      </c>
      <c r="M58" s="30" t="str">
        <f t="shared" ca="1" si="13"/>
        <v/>
      </c>
      <c r="N58" s="27" t="s">
        <v>330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301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2.8216087965120096E-2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269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0.22752164352067572</v>
      </c>
      <c r="N135" s="36" t="s">
        <v>231</v>
      </c>
      <c r="O135" s="39">
        <v>729290</v>
      </c>
    </row>
    <row r="136" spans="1:18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0.59488275463178675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266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294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230</v>
      </c>
      <c r="B338" s="99"/>
      <c r="C338" s="99"/>
      <c r="D338" s="99"/>
      <c r="E338" s="100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358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359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360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361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362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363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87</v>
      </c>
      <c r="G540" s="36">
        <f>SUM(G528:G539)</f>
        <v>365.4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167</v>
      </c>
      <c r="G541" s="40">
        <f>G527+G540</f>
        <v>701.40000000000009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362510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2026-07-21T10:40:09Z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