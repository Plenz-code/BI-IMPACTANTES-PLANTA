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10" documentId="8_{C51EB6CB-002B-4D6B-B68F-DDEBDB4460C0}" xr6:coauthVersionLast="47" xr6:coauthVersionMax="47" xr10:uidLastSave="{2426F9D9-9A7A-48D6-8B5C-57C2EBFDEE56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<sst xmlns="http://schemas.openxmlformats.org/spreadsheetml/2006/main" count="2195" uniqueCount="265">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</sst>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4" activePane="bottomLeft" state="frozen"/>
      <selection pane="bottomLeft" activeCell="J69" sqref="J6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/>
      <c r="F69" s="27"/>
      <c r="G69" s="34" t="str">
        <f t="shared" ref="G69:G80" si="15">IF(F69="","",IF(E69="PC 17",F69*4.2,IF(E69="PC 19",F69*5,IF(E69="CB",F69*35,""))))</f>
        <v/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/>
      <c r="M69" s="35">
        <f t="shared" ref="M69:M80" ca="1" si="16">IFERROR(IF(K69="","",IF(L69="",MOD(NOW()-K69,1),IF(L69&gt;=K69,L69-K69,L69+1-K69))),"")</f>
        <v>1.6666782408719882E-2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1.6666782408719882E-2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375</v>
      </c>
      <c r="G82" s="40">
        <f>G68+G81</f>
        <v>1875</v>
      </c>
      <c r="H82" s="41"/>
      <c r="I82" s="41"/>
      <c r="J82" s="41"/>
      <c r="K82" s="41"/>
      <c r="L82" s="41"/>
      <c r="M82" s="42">
        <f ca="1">IFERROR(M68+M81,"")</f>
        <v>4.9305671297608877E-2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53" activePane="bottomLeft" state="frozen"/>
      <selection pane="bottomLeft" activeCell="K69" sqref="K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0.70972233796055662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0.84861122684944545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0.93333344907166782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/>
      <c r="F69" s="27"/>
      <c r="G69" s="34" t="str">
        <f t="shared" ref="G69:G80" si="15">IF(F69="","",IF(E69="PC 17",F69*4.2,IF(E69="PC 19",F69*5,IF(E69="CB",F69*24,""))))</f>
        <v/>
      </c>
      <c r="H69" s="33" t="s">
        <v>20</v>
      </c>
      <c r="I69" s="33" t="s">
        <v>146</v>
      </c>
      <c r="J69" s="26" t="s">
        <v>182</v>
      </c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136</v>
      </c>
      <c r="G82" s="40">
        <f>G68+G81</f>
        <v>571.20000000000005</v>
      </c>
      <c r="H82" s="41"/>
      <c r="I82" s="41"/>
      <c r="J82" s="41"/>
      <c r="K82" s="41"/>
      <c r="L82" s="41"/>
      <c r="M82" s="42">
        <f ca="1">IFERROR(M68+M81,"")</f>
        <v>0.1159722222222222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48" zoomScale="50" zoomScaleNormal="50" workbookViewId="0">
      <selection activeCell="L71" sqref="L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/>
      <c r="F69" s="27"/>
      <c r="G69" s="34" t="str">
        <f t="shared" ref="G69:G80" si="15">IF(F69="","",IF(E69="PC 17",F69*4.2,IF(E69="PC 19",F69*5,IF(E69="CB",F69*24,""))))</f>
        <v/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2.1527777777777812E-2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50</v>
      </c>
      <c r="G82" s="40">
        <f>G68+G81</f>
        <v>210</v>
      </c>
      <c r="H82" s="41"/>
      <c r="I82" s="41"/>
      <c r="J82" s="41"/>
      <c r="K82" s="41"/>
      <c r="L82" s="41"/>
      <c r="M82" s="42">
        <f ca="1">IFERROR(M68+M81,"")</f>
        <v>0.10486111111111124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2" activePane="bottomLeft" state="frozen"/>
      <selection pane="bottomLeft" activeCell="N70" sqref="N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/>
      <c r="M69" s="35">
        <f t="shared" ref="M69:M80" ca="1" si="16">IFERROR(IF(K69="","",IF(L69="",MOD(NOW()-K69,1),IF(L69&gt;=K69,L69-K69,L69+1-K69))),"")</f>
        <v>3.9583449077326804E-2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3.9583449077326804E-2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115</v>
      </c>
      <c r="G82" s="40">
        <f>G68+G81</f>
        <v>482.99999999999994</v>
      </c>
      <c r="H82" s="41"/>
      <c r="I82" s="41"/>
      <c r="J82" s="41"/>
      <c r="K82" s="63"/>
      <c r="L82" s="63"/>
      <c r="M82" s="42">
        <f ca="1">IFERROR(M68+M81,"")</f>
        <v>0.18472233796621579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2026-08-03T23:57:17Z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