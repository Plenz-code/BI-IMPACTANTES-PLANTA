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87" documentId="8_{AF585B22-221D-4780-BB9C-493D365A6A02}" xr6:coauthVersionLast="47" xr6:coauthVersionMax="47" xr10:uidLastSave="{C30635E3-9247-48AC-BBA4-D14225C4E492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<sst xmlns="http://schemas.openxmlformats.org/spreadsheetml/2006/main" count="11758" uniqueCount="426">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</sst>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5" sqref="F7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 t="shared" si="171"/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 t="shared" si="171"/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125</v>
      </c>
      <c r="G783" s="36">
        <f>SUM(G771:G782)</f>
        <v>625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475</v>
      </c>
      <c r="G784" s="40">
        <f>G770+G783</f>
        <v>2375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0" activePane="bottomLeft" state="frozen"/>
      <selection pane="bottomLeft" activeCell="H774" sqref="H7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0.7387178240751382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0.89635671296402708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1.0060789351862494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0.71719004629994743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0.88802337963328082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1.0331622685221697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/>
      <c r="J774" s="26"/>
      <c r="K774" s="29">
        <v>0.97777777777777775</v>
      </c>
      <c r="L774" s="29"/>
      <c r="M774" s="30">
        <f t="shared" ca="1" si="172"/>
        <v>5.2337963279569522E-4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71</v>
      </c>
      <c r="G783" s="36">
        <f>SUM(G771:G782)</f>
        <v>307</v>
      </c>
      <c r="H783" s="37"/>
      <c r="I783" s="37"/>
      <c r="J783" s="37"/>
      <c r="K783" s="37"/>
      <c r="L783" s="37"/>
      <c r="M783" s="38">
        <f ca="1">IFERROR(SUM(M771:M782),"")</f>
        <v>4.0801157410573441E-2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205</v>
      </c>
      <c r="G784" s="40">
        <f>G770+G783</f>
        <v>877.80000000000007</v>
      </c>
      <c r="H784" s="41"/>
      <c r="I784" s="41"/>
      <c r="J784" s="41"/>
      <c r="K784" s="41"/>
      <c r="L784" s="41"/>
      <c r="M784" s="42">
        <f ca="1">IFERROR(M770+M783,"")</f>
        <v>0.13594004629946227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5" sqref="F7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/>
      <c r="I774" s="26"/>
      <c r="J774" s="26"/>
      <c r="K774" s="29">
        <v>0.96250000000000002</v>
      </c>
      <c r="L774" s="29"/>
      <c r="M774" s="30">
        <f t="shared" ca="1" si="172"/>
        <v>1.5801157409441657E-2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25</v>
      </c>
      <c r="G783" s="36">
        <f>SUM(G771:G782)</f>
        <v>109</v>
      </c>
      <c r="H783" s="37"/>
      <c r="I783" s="37"/>
      <c r="J783" s="37"/>
      <c r="K783" s="37"/>
      <c r="L783" s="37"/>
      <c r="M783" s="38">
        <f ca="1">IFERROR(SUM(M771:M782),"")</f>
        <v>5.9551157409441724E-2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</v>
      </c>
      <c r="G784" s="40">
        <f>G770+G783</f>
        <v>285.2</v>
      </c>
      <c r="H784" s="41"/>
      <c r="I784" s="41"/>
      <c r="J784" s="41"/>
      <c r="K784" s="41"/>
      <c r="L784" s="41"/>
      <c r="M784" s="42">
        <f ca="1">IFERROR(M770+M783,"")</f>
        <v>0.17344004629833065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L771" sqref="L7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0.72899560185760492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0.92830115741316055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1.2956622685242716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/>
      <c r="M771" s="35">
        <f t="shared" ref="M771:M782" ca="1" si="172">IFERROR(IF(K771="","",IF(L771="",MOD(NOW()-K771,1),IF(L771&gt;=K771,L771-K771,L771+1-K771))),"")</f>
        <v>6.0789351919083856E-3</v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91</v>
      </c>
      <c r="G783" s="36">
        <f>SUM(G771:G782)</f>
        <v>391.8</v>
      </c>
      <c r="H783" s="37"/>
      <c r="I783" s="37"/>
      <c r="J783" s="37"/>
      <c r="K783" s="61"/>
      <c r="L783" s="61"/>
      <c r="M783" s="38">
        <f ca="1">IFERROR(SUM(M771:M782),"")</f>
        <v>6.0789351919083856E-3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99</v>
      </c>
      <c r="G784" s="40">
        <f>G770+G783</f>
        <v>425.40000000000003</v>
      </c>
      <c r="H784" s="41"/>
      <c r="I784" s="41"/>
      <c r="J784" s="41"/>
      <c r="K784" s="63"/>
      <c r="L784" s="63"/>
      <c r="M784" s="42">
        <f ca="1">IFERROR(M770+M783,"")</f>
        <v>0.46996782408079724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2026-07-30T03:29:18Z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